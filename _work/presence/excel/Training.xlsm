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78C0B761-6CFE-45E7-8610-DA52A9DFBE1B}" xr6:coauthVersionLast="44" xr6:coauthVersionMax="44" xr10:uidLastSave="{00000000-0000-0000-0000-000000000000}"/>
  <bookViews>
    <workbookView xWindow="-120" yWindow="-120" windowWidth="29040" windowHeight="15990"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Anwesend!$B$86:$L$88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82" i="3" l="1"/>
  <c r="Q80" i="3"/>
  <c r="Q79" i="3"/>
  <c r="Q78" i="3"/>
  <c r="Q71" i="3"/>
  <c r="Q68" i="3"/>
  <c r="Q66" i="3"/>
  <c r="Q59" i="3"/>
  <c r="Q58" i="3"/>
  <c r="Q57" i="3"/>
  <c r="Q56" i="3"/>
  <c r="Q55" i="3"/>
  <c r="Q25" i="3"/>
  <c r="Q31" i="3"/>
  <c r="Q6" i="3"/>
  <c r="CX32" i="3"/>
  <c r="CH32" i="3"/>
  <c r="BY32" i="3"/>
  <c r="CZ32" i="3"/>
  <c r="CQ32" i="3"/>
  <c r="L88" i="3"/>
  <c r="L87" i="3"/>
  <c r="R29" i="3"/>
  <c r="R21" i="3"/>
  <c r="R13" i="3"/>
  <c r="R26" i="3"/>
  <c r="R25" i="3"/>
  <c r="R15" i="3"/>
  <c r="R14" i="3"/>
  <c r="R28" i="3"/>
  <c r="R20" i="3"/>
  <c r="R16" i="3"/>
  <c r="R27" i="3"/>
  <c r="DI32" i="3"/>
  <c r="R10" i="3"/>
  <c r="L86" i="3"/>
  <c r="R24" i="3"/>
  <c r="R23" i="3"/>
  <c r="R22" i="3"/>
  <c r="R19" i="3"/>
  <c r="R18" i="3"/>
  <c r="R17" i="3"/>
  <c r="R12" i="3"/>
  <c r="R11" i="3"/>
  <c r="R9" i="3"/>
  <c r="R32" i="3"/>
  <c r="P32" i="3"/>
  <c r="P29" i="3" l="1"/>
  <c r="F29" i="3"/>
  <c r="G29" i="3"/>
  <c r="H29" i="3"/>
  <c r="I29" i="3"/>
  <c r="J29" i="3"/>
  <c r="K29" i="3"/>
  <c r="L29" i="3"/>
  <c r="P61" i="3"/>
  <c r="P73" i="3"/>
  <c r="CO73" i="3" l="1"/>
  <c r="CO61" i="3"/>
  <c r="CO74" i="3" s="1"/>
  <c r="CO32" i="3"/>
  <c r="CF32" i="3"/>
  <c r="BW73" i="3" l="1"/>
  <c r="BW74" i="3" s="1"/>
  <c r="BP73" i="3"/>
  <c r="BP61" i="3"/>
  <c r="BW32" i="3"/>
  <c r="BP32" i="3"/>
  <c r="BP74" i="3" l="1"/>
  <c r="P30" i="3"/>
  <c r="MF73" i="3" l="1"/>
  <c r="ME73" i="3"/>
  <c r="MD73" i="3"/>
  <c r="MC73" i="3"/>
  <c r="MB73" i="3"/>
  <c r="MA73" i="3"/>
  <c r="LZ73" i="3"/>
  <c r="LY73" i="3"/>
  <c r="LX73" i="3"/>
  <c r="LW73" i="3"/>
  <c r="LV73" i="3"/>
  <c r="LU73" i="3"/>
  <c r="LT73" i="3"/>
  <c r="LS73" i="3"/>
  <c r="LR73" i="3"/>
  <c r="LQ73" i="3"/>
  <c r="LP73" i="3"/>
  <c r="LO73" i="3"/>
  <c r="LN73" i="3"/>
  <c r="LM73" i="3"/>
  <c r="LL73" i="3"/>
  <c r="LK73" i="3"/>
  <c r="LJ73" i="3"/>
  <c r="LI73" i="3"/>
  <c r="LH73" i="3"/>
  <c r="LG73" i="3"/>
  <c r="LF73" i="3"/>
  <c r="LE73" i="3"/>
  <c r="LD73" i="3"/>
  <c r="LC73" i="3"/>
  <c r="LB73" i="3"/>
  <c r="LA73" i="3"/>
  <c r="KZ73" i="3"/>
  <c r="KY73" i="3"/>
  <c r="KX73" i="3"/>
  <c r="KW73" i="3"/>
  <c r="KV73" i="3"/>
  <c r="KU73" i="3"/>
  <c r="KT73" i="3"/>
  <c r="KS73" i="3"/>
  <c r="KR73" i="3"/>
  <c r="KQ73" i="3"/>
  <c r="KP73" i="3"/>
  <c r="KO73" i="3"/>
  <c r="KN73" i="3"/>
  <c r="KM73" i="3"/>
  <c r="KL73" i="3"/>
  <c r="KK73" i="3"/>
  <c r="KJ73" i="3"/>
  <c r="KI73" i="3"/>
  <c r="KH73" i="3"/>
  <c r="KG73" i="3"/>
  <c r="KF73" i="3"/>
  <c r="KE73" i="3"/>
  <c r="KD73" i="3"/>
  <c r="KC73" i="3"/>
  <c r="KB73" i="3"/>
  <c r="KA73" i="3"/>
  <c r="JZ73" i="3"/>
  <c r="JY73" i="3"/>
  <c r="JX73" i="3"/>
  <c r="JW73" i="3"/>
  <c r="JV73" i="3"/>
  <c r="JU73" i="3"/>
  <c r="JT73" i="3"/>
  <c r="JS73" i="3"/>
  <c r="JR73" i="3"/>
  <c r="JQ73" i="3"/>
  <c r="JP73" i="3"/>
  <c r="JO73" i="3"/>
  <c r="JN73" i="3"/>
  <c r="JM73" i="3"/>
  <c r="JL73" i="3"/>
  <c r="JK73" i="3"/>
  <c r="JJ73" i="3"/>
  <c r="JI73" i="3"/>
  <c r="JH73" i="3"/>
  <c r="JG73" i="3"/>
  <c r="JF73" i="3"/>
  <c r="JE73" i="3"/>
  <c r="JD73" i="3"/>
  <c r="JC73" i="3"/>
  <c r="JB73" i="3"/>
  <c r="JA73" i="3"/>
  <c r="IZ73" i="3"/>
  <c r="IY73" i="3"/>
  <c r="IX73" i="3"/>
  <c r="IW73" i="3"/>
  <c r="IV73" i="3"/>
  <c r="IU73" i="3"/>
  <c r="IT73" i="3"/>
  <c r="IS73" i="3"/>
  <c r="IR73" i="3"/>
  <c r="IQ73" i="3"/>
  <c r="IP73" i="3"/>
  <c r="IO73" i="3"/>
  <c r="IN73" i="3"/>
  <c r="IM73" i="3"/>
  <c r="IL73" i="3"/>
  <c r="IK73" i="3"/>
  <c r="IJ73" i="3"/>
  <c r="II73" i="3"/>
  <c r="IH73" i="3"/>
  <c r="IG73" i="3"/>
  <c r="IF73" i="3"/>
  <c r="IE73" i="3"/>
  <c r="ID73" i="3"/>
  <c r="IC73" i="3"/>
  <c r="IB73" i="3"/>
  <c r="IA73" i="3"/>
  <c r="HZ73" i="3"/>
  <c r="HY73" i="3"/>
  <c r="HX73" i="3"/>
  <c r="HW73" i="3"/>
  <c r="HV73" i="3"/>
  <c r="HU73" i="3"/>
  <c r="HT73" i="3"/>
  <c r="HS73" i="3"/>
  <c r="HR73" i="3"/>
  <c r="HQ73" i="3"/>
  <c r="HP73" i="3"/>
  <c r="HO73" i="3"/>
  <c r="HN73" i="3"/>
  <c r="HM73" i="3"/>
  <c r="HL73" i="3"/>
  <c r="HK73" i="3"/>
  <c r="HJ73" i="3"/>
  <c r="HI73" i="3"/>
  <c r="HH73" i="3"/>
  <c r="HG73" i="3"/>
  <c r="HF73" i="3"/>
  <c r="HE73" i="3"/>
  <c r="HD73" i="3"/>
  <c r="HC73" i="3"/>
  <c r="HB73" i="3"/>
  <c r="HA73" i="3"/>
  <c r="GZ73" i="3"/>
  <c r="GY73" i="3"/>
  <c r="GX73" i="3"/>
  <c r="GW73" i="3"/>
  <c r="GV73" i="3"/>
  <c r="GU73" i="3"/>
  <c r="GT73" i="3"/>
  <c r="GS73" i="3"/>
  <c r="GR73" i="3"/>
  <c r="GQ73" i="3"/>
  <c r="GP73" i="3"/>
  <c r="GO73" i="3"/>
  <c r="GN73" i="3"/>
  <c r="GM73" i="3"/>
  <c r="GL73" i="3"/>
  <c r="GK73" i="3"/>
  <c r="GJ73" i="3"/>
  <c r="GI73" i="3"/>
  <c r="GH73" i="3"/>
  <c r="GG73" i="3"/>
  <c r="GF73" i="3"/>
  <c r="GE73" i="3"/>
  <c r="GD73" i="3"/>
  <c r="GC73" i="3"/>
  <c r="GB73" i="3"/>
  <c r="GA73" i="3"/>
  <c r="FZ73" i="3"/>
  <c r="FY73" i="3"/>
  <c r="FX73" i="3"/>
  <c r="FW73" i="3"/>
  <c r="FV73" i="3"/>
  <c r="FU73" i="3"/>
  <c r="FT73" i="3"/>
  <c r="FS73" i="3"/>
  <c r="FR73" i="3"/>
  <c r="FQ73" i="3"/>
  <c r="FP73" i="3"/>
  <c r="FO73" i="3"/>
  <c r="FN73" i="3"/>
  <c r="FM73" i="3"/>
  <c r="FL73" i="3"/>
  <c r="FK73" i="3"/>
  <c r="FJ73" i="3"/>
  <c r="FI73" i="3"/>
  <c r="FH73" i="3"/>
  <c r="FG73" i="3"/>
  <c r="FF73" i="3"/>
  <c r="FE73" i="3"/>
  <c r="FD73" i="3"/>
  <c r="FC73" i="3"/>
  <c r="FB73" i="3"/>
  <c r="FA73" i="3"/>
  <c r="EZ73" i="3"/>
  <c r="EY73" i="3"/>
  <c r="EX73" i="3"/>
  <c r="EW73" i="3"/>
  <c r="EV73" i="3"/>
  <c r="EU73" i="3"/>
  <c r="ET73" i="3"/>
  <c r="ES73" i="3"/>
  <c r="ER73" i="3"/>
  <c r="EQ73" i="3"/>
  <c r="EP73" i="3"/>
  <c r="EO73" i="3"/>
  <c r="EN73" i="3"/>
  <c r="EM73" i="3"/>
  <c r="EL73" i="3"/>
  <c r="EK73" i="3"/>
  <c r="EJ73" i="3"/>
  <c r="EI73" i="3"/>
  <c r="EH73" i="3"/>
  <c r="EG73" i="3"/>
  <c r="EF73" i="3"/>
  <c r="EE73" i="3"/>
  <c r="ED73" i="3"/>
  <c r="EC73" i="3"/>
  <c r="EB73" i="3"/>
  <c r="EA73" i="3"/>
  <c r="DZ73" i="3"/>
  <c r="DY73" i="3"/>
  <c r="DX73" i="3"/>
  <c r="DW73" i="3"/>
  <c r="DV73" i="3"/>
  <c r="DU73" i="3"/>
  <c r="DT73" i="3"/>
  <c r="DS73" i="3"/>
  <c r="DR73" i="3"/>
  <c r="DQ73" i="3"/>
  <c r="DP73" i="3"/>
  <c r="DO73" i="3"/>
  <c r="DN73" i="3"/>
  <c r="DM73" i="3"/>
  <c r="DL73" i="3"/>
  <c r="DK73" i="3"/>
  <c r="DJ73" i="3"/>
  <c r="DI73" i="3"/>
  <c r="DF73" i="3"/>
  <c r="DE73" i="3"/>
  <c r="DD73" i="3"/>
  <c r="DC73" i="3"/>
  <c r="DB73" i="3"/>
  <c r="DA73" i="3"/>
  <c r="CZ73" i="3"/>
  <c r="CY73" i="3"/>
  <c r="CV73" i="3"/>
  <c r="CU73" i="3"/>
  <c r="CT73" i="3"/>
  <c r="CS73" i="3"/>
  <c r="CR73" i="3"/>
  <c r="CQ73" i="3"/>
  <c r="CN73" i="3"/>
  <c r="CM73" i="3"/>
  <c r="CL73" i="3"/>
  <c r="CK73" i="3"/>
  <c r="CJ73" i="3"/>
  <c r="CI73" i="3"/>
  <c r="CH73" i="3"/>
  <c r="CE73" i="3"/>
  <c r="CD73" i="3"/>
  <c r="CC73" i="3"/>
  <c r="CB73" i="3"/>
  <c r="CA73" i="3"/>
  <c r="BZ73" i="3"/>
  <c r="BY73" i="3"/>
  <c r="BV73" i="3"/>
  <c r="BU73" i="3"/>
  <c r="BT73" i="3"/>
  <c r="BS73" i="3"/>
  <c r="BR73" i="3"/>
  <c r="BQ73" i="3"/>
  <c r="BO73" i="3"/>
  <c r="BN73" i="3"/>
  <c r="BM73" i="3"/>
  <c r="BL73" i="3"/>
  <c r="BK73" i="3"/>
  <c r="BJ73" i="3"/>
  <c r="BI73" i="3"/>
  <c r="BH73" i="3"/>
  <c r="BG73" i="3"/>
  <c r="BF73" i="3"/>
  <c r="BE73" i="3"/>
  <c r="BD73" i="3"/>
  <c r="BC73" i="3"/>
  <c r="P46" i="3" l="1"/>
  <c r="L46" i="3"/>
  <c r="K46" i="3"/>
  <c r="J46" i="3"/>
  <c r="I46" i="3"/>
  <c r="H46" i="3"/>
  <c r="G46" i="3"/>
  <c r="F46" i="3"/>
  <c r="P54" i="3" l="1"/>
  <c r="L54" i="3"/>
  <c r="K54" i="3"/>
  <c r="J54" i="3"/>
  <c r="I54" i="3"/>
  <c r="H54" i="3"/>
  <c r="G54" i="3"/>
  <c r="F54" i="3"/>
  <c r="P50" i="3"/>
  <c r="L50" i="3"/>
  <c r="K50" i="3"/>
  <c r="J50" i="3"/>
  <c r="I50" i="3"/>
  <c r="H50" i="3"/>
  <c r="G50" i="3"/>
  <c r="F50" i="3"/>
  <c r="H70" i="3" l="1"/>
  <c r="G70" i="3"/>
  <c r="H69" i="3"/>
  <c r="G69" i="3"/>
  <c r="H68" i="3"/>
  <c r="G68" i="3"/>
  <c r="H67" i="3"/>
  <c r="G67" i="3"/>
  <c r="L67" i="3"/>
  <c r="K67" i="3"/>
  <c r="J67" i="3"/>
  <c r="I67" i="3"/>
  <c r="F67" i="3"/>
  <c r="P11" i="3"/>
  <c r="L11" i="3"/>
  <c r="K11" i="3"/>
  <c r="J11" i="3"/>
  <c r="I11" i="3"/>
  <c r="H11" i="3"/>
  <c r="G11" i="3"/>
  <c r="F11" i="3"/>
  <c r="P44" i="3"/>
  <c r="L44" i="3"/>
  <c r="K44" i="3"/>
  <c r="J44" i="3"/>
  <c r="I44" i="3"/>
  <c r="H44" i="3"/>
  <c r="G44" i="3"/>
  <c r="F44" i="3"/>
  <c r="S62" i="3" l="1"/>
  <c r="P72" i="3"/>
  <c r="BB73" i="3"/>
  <c r="BA73" i="3"/>
  <c r="AZ73" i="3"/>
  <c r="AY73" i="3"/>
  <c r="AX73" i="3"/>
  <c r="AW73" i="3"/>
  <c r="AV73" i="3"/>
  <c r="AU73" i="3"/>
  <c r="AT73" i="3"/>
  <c r="AS73" i="3"/>
  <c r="AR73" i="3"/>
  <c r="AQ73" i="3"/>
  <c r="AP73" i="3"/>
  <c r="AO73" i="3"/>
  <c r="AG73" i="3"/>
  <c r="AF73" i="3"/>
  <c r="AE73" i="3"/>
  <c r="AD73" i="3"/>
  <c r="AC73" i="3"/>
  <c r="AB73" i="3"/>
  <c r="AA73" i="3"/>
  <c r="Z73" i="3"/>
  <c r="Y73" i="3"/>
  <c r="X73" i="3"/>
  <c r="W73" i="3"/>
  <c r="V73" i="3"/>
  <c r="U73" i="3"/>
  <c r="T73" i="3"/>
  <c r="AN73" i="3"/>
  <c r="AM73" i="3"/>
  <c r="AL73" i="3"/>
  <c r="AK73" i="3"/>
  <c r="AJ73" i="3"/>
  <c r="AH73" i="3"/>
  <c r="AI73" i="3"/>
  <c r="L58" i="3"/>
  <c r="K58" i="3"/>
  <c r="J58" i="3"/>
  <c r="I58" i="3"/>
  <c r="H58" i="3"/>
  <c r="G58" i="3"/>
  <c r="F58" i="3"/>
  <c r="L57" i="3"/>
  <c r="K57" i="3"/>
  <c r="J57" i="3"/>
  <c r="I57" i="3"/>
  <c r="H57" i="3"/>
  <c r="G57" i="3"/>
  <c r="F57" i="3"/>
  <c r="L56" i="3"/>
  <c r="K56" i="3"/>
  <c r="J56" i="3"/>
  <c r="I56" i="3"/>
  <c r="H56" i="3"/>
  <c r="G56" i="3"/>
  <c r="F56" i="3"/>
  <c r="L55" i="3"/>
  <c r="K55" i="3"/>
  <c r="J55" i="3"/>
  <c r="I55" i="3"/>
  <c r="H55" i="3"/>
  <c r="G55" i="3"/>
  <c r="F55" i="3"/>
  <c r="MF61" i="3"/>
  <c r="ME61" i="3"/>
  <c r="MD61" i="3"/>
  <c r="MC61" i="3"/>
  <c r="MB61" i="3"/>
  <c r="MA61" i="3"/>
  <c r="LZ61" i="3"/>
  <c r="LY61" i="3"/>
  <c r="LX61" i="3"/>
  <c r="LW61" i="3"/>
  <c r="LV61" i="3"/>
  <c r="LU61" i="3"/>
  <c r="LT61" i="3"/>
  <c r="LS61" i="3"/>
  <c r="LR61" i="3"/>
  <c r="LQ61" i="3"/>
  <c r="LP61" i="3"/>
  <c r="LO61" i="3"/>
  <c r="LN61" i="3"/>
  <c r="LM61" i="3"/>
  <c r="LL61" i="3"/>
  <c r="LK61" i="3"/>
  <c r="LJ61" i="3"/>
  <c r="LI61" i="3"/>
  <c r="LH61" i="3"/>
  <c r="LG61" i="3"/>
  <c r="LF61" i="3"/>
  <c r="LE61" i="3"/>
  <c r="LD61" i="3"/>
  <c r="LC61" i="3"/>
  <c r="LB61" i="3"/>
  <c r="LA61" i="3"/>
  <c r="KZ61" i="3"/>
  <c r="KY61" i="3"/>
  <c r="KX61" i="3"/>
  <c r="KW61" i="3"/>
  <c r="KV61" i="3"/>
  <c r="KU61" i="3"/>
  <c r="KT61" i="3"/>
  <c r="KS61" i="3"/>
  <c r="KR61" i="3"/>
  <c r="KQ61" i="3"/>
  <c r="KP61" i="3"/>
  <c r="KO61" i="3"/>
  <c r="KN61" i="3"/>
  <c r="KM61" i="3"/>
  <c r="KL61" i="3"/>
  <c r="KK61" i="3"/>
  <c r="KJ61" i="3"/>
  <c r="KI61" i="3"/>
  <c r="KH61" i="3"/>
  <c r="KG61" i="3"/>
  <c r="KF61" i="3"/>
  <c r="KE61" i="3"/>
  <c r="KD61" i="3"/>
  <c r="KC61" i="3"/>
  <c r="KB61" i="3"/>
  <c r="KA61" i="3"/>
  <c r="JZ61" i="3"/>
  <c r="JY61" i="3"/>
  <c r="JX61" i="3"/>
  <c r="JW61" i="3"/>
  <c r="JV61" i="3"/>
  <c r="JU61" i="3"/>
  <c r="JT61" i="3"/>
  <c r="JS61" i="3"/>
  <c r="JR61" i="3"/>
  <c r="JQ61" i="3"/>
  <c r="JP61" i="3"/>
  <c r="JO61" i="3"/>
  <c r="JN61" i="3"/>
  <c r="JM61" i="3"/>
  <c r="JL61" i="3"/>
  <c r="JK61" i="3"/>
  <c r="JJ61" i="3"/>
  <c r="JI61" i="3"/>
  <c r="JH61" i="3"/>
  <c r="JG61" i="3"/>
  <c r="JF61" i="3"/>
  <c r="JE61" i="3"/>
  <c r="JD61" i="3"/>
  <c r="JC61" i="3"/>
  <c r="JB61" i="3"/>
  <c r="JA61" i="3"/>
  <c r="IZ61" i="3"/>
  <c r="IY61" i="3"/>
  <c r="IX61" i="3"/>
  <c r="IW61" i="3"/>
  <c r="IV61" i="3"/>
  <c r="IU61" i="3"/>
  <c r="IT61" i="3"/>
  <c r="IS61" i="3"/>
  <c r="IR61" i="3"/>
  <c r="IQ61" i="3"/>
  <c r="IP61" i="3"/>
  <c r="IO61" i="3"/>
  <c r="IN61" i="3"/>
  <c r="IM61" i="3"/>
  <c r="IL61" i="3"/>
  <c r="IK61" i="3"/>
  <c r="IJ61" i="3"/>
  <c r="II61" i="3"/>
  <c r="IH61" i="3"/>
  <c r="IG61" i="3"/>
  <c r="IF61" i="3"/>
  <c r="IE61" i="3"/>
  <c r="ID61" i="3"/>
  <c r="IC61" i="3"/>
  <c r="IB61" i="3"/>
  <c r="IA61" i="3"/>
  <c r="HZ61" i="3"/>
  <c r="HY61" i="3"/>
  <c r="HX61" i="3"/>
  <c r="HW61" i="3"/>
  <c r="HV61" i="3"/>
  <c r="HU61" i="3"/>
  <c r="HT61" i="3"/>
  <c r="HS61" i="3"/>
  <c r="HR61" i="3"/>
  <c r="HQ61" i="3"/>
  <c r="HP61" i="3"/>
  <c r="HO61" i="3"/>
  <c r="HN61" i="3"/>
  <c r="HM61" i="3"/>
  <c r="HL61" i="3"/>
  <c r="HK61" i="3"/>
  <c r="HJ61" i="3"/>
  <c r="HI61" i="3"/>
  <c r="HH61" i="3"/>
  <c r="HG61" i="3"/>
  <c r="HF61" i="3"/>
  <c r="HE61" i="3"/>
  <c r="HD61" i="3"/>
  <c r="HC61" i="3"/>
  <c r="HB61" i="3"/>
  <c r="HA61" i="3"/>
  <c r="GZ61" i="3"/>
  <c r="GY61" i="3"/>
  <c r="GX61" i="3"/>
  <c r="GW61" i="3"/>
  <c r="GV61" i="3"/>
  <c r="GU61" i="3"/>
  <c r="GT61" i="3"/>
  <c r="GS61" i="3"/>
  <c r="GR61" i="3"/>
  <c r="GQ61" i="3"/>
  <c r="GP61" i="3"/>
  <c r="GO61" i="3"/>
  <c r="GN61" i="3"/>
  <c r="GM61" i="3"/>
  <c r="GL61" i="3"/>
  <c r="GK61" i="3"/>
  <c r="GJ61" i="3"/>
  <c r="GI61" i="3"/>
  <c r="GH61" i="3"/>
  <c r="GG61" i="3"/>
  <c r="GF61" i="3"/>
  <c r="GE61" i="3"/>
  <c r="GD61" i="3"/>
  <c r="GC61" i="3"/>
  <c r="GB61" i="3"/>
  <c r="GA61" i="3"/>
  <c r="FZ61" i="3"/>
  <c r="FY61" i="3"/>
  <c r="FX61" i="3"/>
  <c r="FW61" i="3"/>
  <c r="FV61" i="3"/>
  <c r="FU61" i="3"/>
  <c r="FT61" i="3"/>
  <c r="FS61" i="3"/>
  <c r="FR61" i="3"/>
  <c r="FQ61" i="3"/>
  <c r="FP61" i="3"/>
  <c r="FO61" i="3"/>
  <c r="FN61" i="3"/>
  <c r="FM61" i="3"/>
  <c r="FL61" i="3"/>
  <c r="FK61" i="3"/>
  <c r="FJ61" i="3"/>
  <c r="FI61" i="3"/>
  <c r="FH61" i="3"/>
  <c r="FG61" i="3"/>
  <c r="FF61" i="3"/>
  <c r="FE61" i="3"/>
  <c r="FD61" i="3"/>
  <c r="FC61" i="3"/>
  <c r="FB61" i="3"/>
  <c r="FA61" i="3"/>
  <c r="EZ61" i="3"/>
  <c r="EY61" i="3"/>
  <c r="EX61" i="3"/>
  <c r="EW61" i="3"/>
  <c r="EV61" i="3"/>
  <c r="EU61" i="3"/>
  <c r="ET61" i="3"/>
  <c r="ES61" i="3"/>
  <c r="ER61" i="3"/>
  <c r="EQ61" i="3"/>
  <c r="EP61" i="3"/>
  <c r="EO61" i="3"/>
  <c r="EN61" i="3"/>
  <c r="EM61" i="3"/>
  <c r="EL61" i="3"/>
  <c r="EK61" i="3"/>
  <c r="EJ61" i="3"/>
  <c r="EI61" i="3"/>
  <c r="EH61" i="3"/>
  <c r="EG61" i="3"/>
  <c r="EF61" i="3"/>
  <c r="EE61" i="3"/>
  <c r="ED61" i="3"/>
  <c r="EC61" i="3"/>
  <c r="EB61" i="3"/>
  <c r="EA61" i="3"/>
  <c r="DZ61" i="3"/>
  <c r="DY61" i="3"/>
  <c r="DX61" i="3"/>
  <c r="DW61" i="3"/>
  <c r="DV61" i="3"/>
  <c r="DU61" i="3"/>
  <c r="DT61" i="3"/>
  <c r="DS61" i="3"/>
  <c r="DR61" i="3"/>
  <c r="DQ61" i="3"/>
  <c r="DP61" i="3"/>
  <c r="DO61" i="3"/>
  <c r="DN61" i="3"/>
  <c r="DM61" i="3"/>
  <c r="DL61" i="3"/>
  <c r="DK61" i="3"/>
  <c r="DJ61" i="3"/>
  <c r="DI61" i="3"/>
  <c r="DF61" i="3"/>
  <c r="DE61" i="3"/>
  <c r="DD61" i="3"/>
  <c r="DC61" i="3"/>
  <c r="DB61" i="3"/>
  <c r="DA61" i="3"/>
  <c r="CZ61" i="3"/>
  <c r="CY61" i="3"/>
  <c r="CV61" i="3"/>
  <c r="CU61" i="3"/>
  <c r="CT61" i="3"/>
  <c r="CS61" i="3"/>
  <c r="CR61" i="3"/>
  <c r="CQ61" i="3"/>
  <c r="CN61" i="3"/>
  <c r="CM61" i="3"/>
  <c r="CL61" i="3"/>
  <c r="CK61" i="3"/>
  <c r="CJ61" i="3"/>
  <c r="CI61" i="3"/>
  <c r="CH61" i="3"/>
  <c r="CE61" i="3"/>
  <c r="CD61" i="3"/>
  <c r="CC61" i="3"/>
  <c r="CB61" i="3"/>
  <c r="CA61" i="3"/>
  <c r="BZ61" i="3"/>
  <c r="BY61" i="3"/>
  <c r="BV61" i="3"/>
  <c r="BU61" i="3"/>
  <c r="BT61" i="3"/>
  <c r="BS61" i="3"/>
  <c r="BR61" i="3"/>
  <c r="BQ61" i="3"/>
  <c r="BO61" i="3"/>
  <c r="BN61" i="3"/>
  <c r="BM61" i="3"/>
  <c r="BL61" i="3"/>
  <c r="BK61" i="3"/>
  <c r="BJ61" i="3"/>
  <c r="BI61" i="3"/>
  <c r="BH61" i="3"/>
  <c r="BG61" i="3"/>
  <c r="BF61" i="3"/>
  <c r="BE61" i="3"/>
  <c r="BD61" i="3"/>
  <c r="BC61" i="3"/>
  <c r="BB61" i="3"/>
  <c r="BA61" i="3"/>
  <c r="AZ61" i="3"/>
  <c r="AY61" i="3"/>
  <c r="AY74" i="3" s="1"/>
  <c r="AX61" i="3"/>
  <c r="AW61" i="3"/>
  <c r="AV61" i="3"/>
  <c r="AV74" i="3" s="1"/>
  <c r="AU61" i="3"/>
  <c r="AT61" i="3"/>
  <c r="AS61" i="3"/>
  <c r="AR61" i="3"/>
  <c r="AQ61" i="3"/>
  <c r="AQ74" i="3" s="1"/>
  <c r="AP61" i="3"/>
  <c r="AO61" i="3"/>
  <c r="S61" i="3"/>
  <c r="AG61" i="3"/>
  <c r="AF61" i="3"/>
  <c r="AE61" i="3"/>
  <c r="AD61" i="3"/>
  <c r="AC61" i="3"/>
  <c r="AB61" i="3"/>
  <c r="AB74" i="3" s="1"/>
  <c r="AA61" i="3"/>
  <c r="Z61" i="3"/>
  <c r="Y61" i="3"/>
  <c r="X61" i="3"/>
  <c r="W61" i="3"/>
  <c r="V61" i="3"/>
  <c r="U61" i="3"/>
  <c r="T61" i="3"/>
  <c r="T74" i="3" s="1"/>
  <c r="AN61" i="3"/>
  <c r="AM61" i="3"/>
  <c r="AL61" i="3"/>
  <c r="AK61" i="3"/>
  <c r="AJ61" i="3"/>
  <c r="AH61" i="3"/>
  <c r="AI61" i="3"/>
  <c r="R58" i="3"/>
  <c r="R57" i="3"/>
  <c r="P60" i="3"/>
  <c r="P43" i="3"/>
  <c r="L43" i="3"/>
  <c r="K43" i="3"/>
  <c r="J43" i="3"/>
  <c r="I43" i="3"/>
  <c r="H43" i="3"/>
  <c r="G43" i="3"/>
  <c r="F43" i="3"/>
  <c r="EQ32" i="3"/>
  <c r="H59" i="3"/>
  <c r="G59" i="3"/>
  <c r="H53" i="3"/>
  <c r="G53" i="3"/>
  <c r="H52" i="3"/>
  <c r="G52" i="3"/>
  <c r="H51" i="3"/>
  <c r="G51" i="3"/>
  <c r="H49" i="3"/>
  <c r="G49" i="3"/>
  <c r="H48" i="3"/>
  <c r="G48" i="3"/>
  <c r="H47" i="3"/>
  <c r="G47" i="3"/>
  <c r="H45" i="3"/>
  <c r="G45" i="3"/>
  <c r="H42" i="3"/>
  <c r="G42" i="3"/>
  <c r="H41" i="3"/>
  <c r="G41" i="3"/>
  <c r="L53" i="3"/>
  <c r="K53" i="3"/>
  <c r="J53" i="3"/>
  <c r="I53" i="3"/>
  <c r="F53" i="3"/>
  <c r="L52" i="3"/>
  <c r="K52" i="3"/>
  <c r="J52" i="3"/>
  <c r="I52" i="3"/>
  <c r="F52" i="3"/>
  <c r="L51" i="3"/>
  <c r="K51" i="3"/>
  <c r="J51" i="3"/>
  <c r="I51" i="3"/>
  <c r="F51" i="3"/>
  <c r="L45" i="3"/>
  <c r="K45" i="3"/>
  <c r="J45" i="3"/>
  <c r="I45" i="3"/>
  <c r="F45" i="3"/>
  <c r="S35" i="3"/>
  <c r="S36" i="3" s="1"/>
  <c r="S63" i="3" s="1"/>
  <c r="AN74" i="3" l="1"/>
  <c r="AA74" i="3"/>
  <c r="AG74" i="3"/>
  <c r="AM74" i="3"/>
  <c r="Z74" i="3"/>
  <c r="Q70" i="3"/>
  <c r="Q69" i="3"/>
  <c r="Q67" i="3"/>
  <c r="Q73" i="3"/>
  <c r="Q52" i="3"/>
  <c r="Q44" i="3"/>
  <c r="Q42" i="3"/>
  <c r="Q53" i="3"/>
  <c r="Q51" i="3"/>
  <c r="Q43" i="3"/>
  <c r="Q54" i="3"/>
  <c r="Q50" i="3"/>
  <c r="Q41" i="3"/>
  <c r="Q49" i="3"/>
  <c r="Q46" i="3"/>
  <c r="Q48" i="3"/>
  <c r="Q45" i="3"/>
  <c r="Q47" i="3"/>
  <c r="Q61" i="3"/>
  <c r="AE74" i="3"/>
  <c r="AT74" i="3"/>
  <c r="BB74" i="3"/>
  <c r="W74" i="3"/>
  <c r="AJ74" i="3"/>
  <c r="AH74" i="3"/>
  <c r="V74" i="3"/>
  <c r="AD74" i="3"/>
  <c r="AC74" i="3"/>
  <c r="X74" i="3"/>
  <c r="AF74" i="3"/>
  <c r="AO74" i="3"/>
  <c r="AZ74" i="3"/>
  <c r="AR74" i="3"/>
  <c r="AS74" i="3"/>
  <c r="BA74" i="3"/>
  <c r="AU74" i="3"/>
  <c r="AP74" i="3"/>
  <c r="AX74" i="3"/>
  <c r="U74" i="3"/>
  <c r="AW74" i="3"/>
  <c r="EQ74" i="3"/>
  <c r="AL74" i="3"/>
  <c r="Y74" i="3"/>
  <c r="AI74" i="3"/>
  <c r="AK74" i="3"/>
  <c r="R55" i="3"/>
  <c r="R56" i="3"/>
  <c r="S2" i="3"/>
  <c r="GG32" i="3"/>
  <c r="GG74" i="3"/>
  <c r="T1" i="3"/>
  <c r="T2" i="3" l="1"/>
  <c r="T62" i="3"/>
  <c r="U1" i="3"/>
  <c r="T35" i="3"/>
  <c r="T36" i="3" s="1"/>
  <c r="T63" i="3" s="1"/>
  <c r="P6" i="3"/>
  <c r="P8" i="3"/>
  <c r="U35" i="3" l="1"/>
  <c r="U36" i="3" s="1"/>
  <c r="U63" i="3" s="1"/>
  <c r="U62" i="3"/>
  <c r="V1" i="3"/>
  <c r="U2" i="3"/>
  <c r="N32"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X32" i="3"/>
  <c r="F7" i="3"/>
  <c r="P7" i="3"/>
  <c r="P9" i="3"/>
  <c r="P10" i="3"/>
  <c r="P12" i="3"/>
  <c r="P13" i="3"/>
  <c r="P14" i="3"/>
  <c r="P15" i="3"/>
  <c r="P16" i="3"/>
  <c r="P17" i="3"/>
  <c r="P18" i="3"/>
  <c r="P19" i="3"/>
  <c r="P20" i="3"/>
  <c r="P21" i="3"/>
  <c r="P22" i="3"/>
  <c r="P23" i="3"/>
  <c r="P24" i="3"/>
  <c r="P25" i="3"/>
  <c r="P26" i="3"/>
  <c r="P27" i="3"/>
  <c r="Q27" i="3"/>
  <c r="P28" i="3"/>
  <c r="P31" i="3"/>
  <c r="O32" i="3"/>
  <c r="S32" i="3"/>
  <c r="T32" i="3"/>
  <c r="U32" i="3"/>
  <c r="V32" i="3"/>
  <c r="W32" i="3"/>
  <c r="Y32" i="3"/>
  <c r="Z32" i="3"/>
  <c r="AA32" i="3"/>
  <c r="AB32" i="3"/>
  <c r="AC32" i="3"/>
  <c r="AD32" i="3"/>
  <c r="AE32" i="3"/>
  <c r="AF32" i="3"/>
  <c r="AG32" i="3"/>
  <c r="AH32" i="3"/>
  <c r="AI32" i="3"/>
  <c r="AJ32" i="3"/>
  <c r="AK32" i="3"/>
  <c r="AL32" i="3"/>
  <c r="AM32" i="3"/>
  <c r="AN32" i="3"/>
  <c r="AO32" i="3"/>
  <c r="AP32" i="3"/>
  <c r="AQ32" i="3"/>
  <c r="AR32" i="3"/>
  <c r="AS32" i="3"/>
  <c r="AT32" i="3"/>
  <c r="AU32" i="3"/>
  <c r="AV32" i="3"/>
  <c r="AW32" i="3"/>
  <c r="AX32" i="3"/>
  <c r="AY32" i="3"/>
  <c r="AZ32" i="3"/>
  <c r="BA32" i="3"/>
  <c r="BB32" i="3"/>
  <c r="BC32" i="3"/>
  <c r="BD32" i="3"/>
  <c r="BE32" i="3"/>
  <c r="BF32" i="3"/>
  <c r="BG32" i="3"/>
  <c r="BH32" i="3"/>
  <c r="BI32" i="3"/>
  <c r="BJ32" i="3"/>
  <c r="BK32" i="3"/>
  <c r="BL32" i="3"/>
  <c r="BM32" i="3"/>
  <c r="BN32" i="3"/>
  <c r="BO32" i="3"/>
  <c r="BQ32" i="3"/>
  <c r="BR32" i="3"/>
  <c r="BS32" i="3"/>
  <c r="BT32" i="3"/>
  <c r="BU32" i="3"/>
  <c r="BV32" i="3"/>
  <c r="BZ32" i="3"/>
  <c r="CA32" i="3"/>
  <c r="CB32" i="3"/>
  <c r="CC32" i="3"/>
  <c r="CD32" i="3"/>
  <c r="CE32" i="3"/>
  <c r="CI32" i="3"/>
  <c r="CJ32" i="3"/>
  <c r="CK32" i="3"/>
  <c r="CL32" i="3"/>
  <c r="CM32" i="3"/>
  <c r="CN32" i="3"/>
  <c r="CR32" i="3"/>
  <c r="CS32" i="3"/>
  <c r="CT32" i="3"/>
  <c r="CU32" i="3"/>
  <c r="CV32" i="3"/>
  <c r="CY32" i="3"/>
  <c r="DA32" i="3"/>
  <c r="DB32" i="3"/>
  <c r="DC32" i="3"/>
  <c r="DD32" i="3"/>
  <c r="DE32" i="3"/>
  <c r="DF32" i="3"/>
  <c r="DJ32" i="3"/>
  <c r="DK32" i="3"/>
  <c r="DL32" i="3"/>
  <c r="DM32" i="3"/>
  <c r="DN32" i="3"/>
  <c r="DO32" i="3"/>
  <c r="DP32" i="3"/>
  <c r="DQ32" i="3"/>
  <c r="DR32" i="3"/>
  <c r="DS32" i="3"/>
  <c r="DT32" i="3"/>
  <c r="DU32" i="3"/>
  <c r="DV32" i="3"/>
  <c r="DW32" i="3"/>
  <c r="DX32" i="3"/>
  <c r="DY32" i="3"/>
  <c r="DZ32" i="3"/>
  <c r="EA32" i="3"/>
  <c r="EB32" i="3"/>
  <c r="ED32" i="3"/>
  <c r="EE32" i="3"/>
  <c r="EF32" i="3"/>
  <c r="EG32" i="3"/>
  <c r="EH32" i="3"/>
  <c r="EI32" i="3"/>
  <c r="EJ32" i="3"/>
  <c r="EK32" i="3"/>
  <c r="EL32" i="3"/>
  <c r="EM32" i="3"/>
  <c r="EN32" i="3"/>
  <c r="EO32" i="3"/>
  <c r="EP32" i="3"/>
  <c r="ER32" i="3"/>
  <c r="ES32" i="3"/>
  <c r="ET32" i="3"/>
  <c r="EU32" i="3"/>
  <c r="EV32" i="3"/>
  <c r="EW32" i="3"/>
  <c r="EX32" i="3"/>
  <c r="EY32" i="3"/>
  <c r="EZ32" i="3"/>
  <c r="FA32" i="3"/>
  <c r="FB32" i="3"/>
  <c r="FC32" i="3"/>
  <c r="FD32" i="3"/>
  <c r="FE32" i="3"/>
  <c r="FF32" i="3"/>
  <c r="FG32" i="3"/>
  <c r="FH32" i="3"/>
  <c r="FI32" i="3"/>
  <c r="FJ32" i="3"/>
  <c r="FK32" i="3"/>
  <c r="FL32" i="3"/>
  <c r="FM32" i="3"/>
  <c r="FN32" i="3"/>
  <c r="FO32" i="3"/>
  <c r="FP32" i="3"/>
  <c r="FQ32" i="3"/>
  <c r="FR32" i="3"/>
  <c r="FS32" i="3"/>
  <c r="FT32" i="3"/>
  <c r="FU32" i="3"/>
  <c r="FV32" i="3"/>
  <c r="FW32" i="3"/>
  <c r="FX32" i="3"/>
  <c r="FY32" i="3"/>
  <c r="FZ32" i="3"/>
  <c r="GA32" i="3"/>
  <c r="GB32" i="3"/>
  <c r="GC32" i="3"/>
  <c r="GD32" i="3"/>
  <c r="GE32" i="3"/>
  <c r="GF32" i="3"/>
  <c r="GH32" i="3"/>
  <c r="GI32" i="3"/>
  <c r="GJ32" i="3"/>
  <c r="GK32" i="3"/>
  <c r="GL32" i="3"/>
  <c r="GM32" i="3"/>
  <c r="GO32" i="3"/>
  <c r="GP32" i="3"/>
  <c r="GQ32" i="3"/>
  <c r="GR32" i="3"/>
  <c r="GS32" i="3"/>
  <c r="GT32" i="3"/>
  <c r="GU32" i="3"/>
  <c r="GV32" i="3"/>
  <c r="GW32" i="3"/>
  <c r="GX32" i="3"/>
  <c r="GY32" i="3"/>
  <c r="GZ32" i="3"/>
  <c r="HA32" i="3"/>
  <c r="HB32" i="3"/>
  <c r="HC32" i="3"/>
  <c r="HD32" i="3"/>
  <c r="HE32" i="3"/>
  <c r="HF32" i="3"/>
  <c r="HG32" i="3"/>
  <c r="HH32" i="3"/>
  <c r="HI32" i="3"/>
  <c r="HJ32" i="3"/>
  <c r="HK32" i="3"/>
  <c r="HL32" i="3"/>
  <c r="HM32" i="3"/>
  <c r="HN32" i="3"/>
  <c r="HO32" i="3"/>
  <c r="HP32" i="3"/>
  <c r="HQ32" i="3"/>
  <c r="HR32" i="3"/>
  <c r="HS32" i="3"/>
  <c r="HT32" i="3"/>
  <c r="HU32" i="3"/>
  <c r="HV32" i="3"/>
  <c r="HW32" i="3"/>
  <c r="HX32" i="3"/>
  <c r="HY32" i="3"/>
  <c r="HZ32" i="3"/>
  <c r="IA32" i="3"/>
  <c r="IB32" i="3"/>
  <c r="IC32" i="3"/>
  <c r="ID32" i="3"/>
  <c r="IE32" i="3"/>
  <c r="IF32" i="3"/>
  <c r="IG32" i="3"/>
  <c r="IH32" i="3"/>
  <c r="II32" i="3"/>
  <c r="IJ32" i="3"/>
  <c r="IK32" i="3"/>
  <c r="IL32" i="3"/>
  <c r="IM32" i="3"/>
  <c r="IN32" i="3"/>
  <c r="IO32" i="3"/>
  <c r="IP32" i="3"/>
  <c r="IQ32" i="3"/>
  <c r="IR32" i="3"/>
  <c r="IS32" i="3"/>
  <c r="IT32" i="3"/>
  <c r="IU32" i="3"/>
  <c r="IV32" i="3"/>
  <c r="IW32" i="3"/>
  <c r="IX32" i="3"/>
  <c r="IY32" i="3"/>
  <c r="IZ32" i="3"/>
  <c r="JA32" i="3"/>
  <c r="JB32" i="3"/>
  <c r="JC32" i="3"/>
  <c r="JD32" i="3"/>
  <c r="JE32" i="3"/>
  <c r="JF32" i="3"/>
  <c r="JG32" i="3"/>
  <c r="JH32" i="3"/>
  <c r="JI32" i="3"/>
  <c r="JJ32" i="3"/>
  <c r="JK32" i="3"/>
  <c r="JL32" i="3"/>
  <c r="JM32" i="3"/>
  <c r="JN32" i="3"/>
  <c r="JO32" i="3"/>
  <c r="JP32" i="3"/>
  <c r="JQ32" i="3"/>
  <c r="JR32" i="3"/>
  <c r="JS32" i="3"/>
  <c r="JT32" i="3"/>
  <c r="JU32" i="3"/>
  <c r="JV32" i="3"/>
  <c r="JW32" i="3"/>
  <c r="JX32" i="3"/>
  <c r="JY32" i="3"/>
  <c r="JZ32" i="3"/>
  <c r="KA32" i="3"/>
  <c r="KB32" i="3"/>
  <c r="KC32" i="3"/>
  <c r="KD32" i="3"/>
  <c r="KE32" i="3"/>
  <c r="KF32" i="3"/>
  <c r="KG32" i="3"/>
  <c r="KH32" i="3"/>
  <c r="KI32" i="3"/>
  <c r="KJ32" i="3"/>
  <c r="KK32" i="3"/>
  <c r="KL32" i="3"/>
  <c r="KM32" i="3"/>
  <c r="KN32" i="3"/>
  <c r="KO32" i="3"/>
  <c r="KP32" i="3"/>
  <c r="KQ32" i="3"/>
  <c r="KR32" i="3"/>
  <c r="KS32" i="3"/>
  <c r="KT32" i="3"/>
  <c r="KU32" i="3"/>
  <c r="KV32" i="3"/>
  <c r="KW32" i="3"/>
  <c r="KX32" i="3"/>
  <c r="KY32" i="3"/>
  <c r="KZ32" i="3"/>
  <c r="LA32" i="3"/>
  <c r="LB32" i="3"/>
  <c r="LC32" i="3"/>
  <c r="LD32" i="3"/>
  <c r="LE32" i="3"/>
  <c r="LF32" i="3"/>
  <c r="LG32" i="3"/>
  <c r="LH32" i="3"/>
  <c r="LI32" i="3"/>
  <c r="LJ32" i="3"/>
  <c r="LK32" i="3"/>
  <c r="LL32" i="3"/>
  <c r="LM32" i="3"/>
  <c r="LN32" i="3"/>
  <c r="LO32" i="3"/>
  <c r="LP32" i="3"/>
  <c r="LQ32" i="3"/>
  <c r="LR32" i="3"/>
  <c r="LS32" i="3"/>
  <c r="LT32" i="3"/>
  <c r="LU32" i="3"/>
  <c r="LV32" i="3"/>
  <c r="LW32" i="3"/>
  <c r="LX32" i="3"/>
  <c r="LY32" i="3"/>
  <c r="LZ32" i="3"/>
  <c r="MA32" i="3"/>
  <c r="MB32" i="3"/>
  <c r="MC32" i="3"/>
  <c r="MD32" i="3"/>
  <c r="ME32" i="3"/>
  <c r="MF32" i="3"/>
  <c r="P33" i="3"/>
  <c r="P40" i="3"/>
  <c r="F41" i="3"/>
  <c r="I41" i="3"/>
  <c r="J41" i="3"/>
  <c r="K41" i="3"/>
  <c r="L41" i="3"/>
  <c r="P41" i="3"/>
  <c r="F42" i="3"/>
  <c r="I42" i="3"/>
  <c r="J42" i="3"/>
  <c r="K42" i="3"/>
  <c r="L42" i="3"/>
  <c r="P42" i="3"/>
  <c r="P45" i="3"/>
  <c r="F47" i="3"/>
  <c r="I47" i="3"/>
  <c r="J47" i="3"/>
  <c r="K47" i="3"/>
  <c r="L47" i="3"/>
  <c r="P47" i="3"/>
  <c r="F48" i="3"/>
  <c r="I48" i="3"/>
  <c r="J48" i="3"/>
  <c r="K48" i="3"/>
  <c r="L48" i="3"/>
  <c r="P48" i="3"/>
  <c r="F49" i="3"/>
  <c r="I49" i="3"/>
  <c r="J49" i="3"/>
  <c r="K49" i="3"/>
  <c r="L49" i="3"/>
  <c r="P49" i="3"/>
  <c r="P51" i="3"/>
  <c r="P52" i="3"/>
  <c r="P53" i="3"/>
  <c r="P55" i="3"/>
  <c r="P56" i="3"/>
  <c r="P57" i="3"/>
  <c r="P58" i="3"/>
  <c r="F59" i="3"/>
  <c r="I59" i="3"/>
  <c r="J59" i="3"/>
  <c r="K59" i="3"/>
  <c r="L59" i="3"/>
  <c r="P59" i="3"/>
  <c r="F65" i="3"/>
  <c r="I65" i="3"/>
  <c r="J65" i="3"/>
  <c r="K65" i="3"/>
  <c r="L65" i="3"/>
  <c r="P65" i="3"/>
  <c r="F66" i="3"/>
  <c r="I66" i="3"/>
  <c r="J66" i="3"/>
  <c r="K66" i="3"/>
  <c r="L66" i="3"/>
  <c r="P66" i="3"/>
  <c r="P67" i="3"/>
  <c r="F68" i="3"/>
  <c r="I68" i="3"/>
  <c r="J68" i="3"/>
  <c r="K68" i="3"/>
  <c r="L68" i="3"/>
  <c r="P68" i="3"/>
  <c r="F69" i="3"/>
  <c r="I69" i="3"/>
  <c r="J69" i="3"/>
  <c r="K69" i="3"/>
  <c r="L69" i="3"/>
  <c r="P69" i="3"/>
  <c r="F70" i="3"/>
  <c r="I70" i="3"/>
  <c r="J70" i="3"/>
  <c r="K70" i="3"/>
  <c r="L70" i="3"/>
  <c r="P70" i="3"/>
  <c r="P71" i="3"/>
  <c r="S73" i="3"/>
  <c r="S74" i="3" s="1"/>
  <c r="BC74" i="3"/>
  <c r="BD74" i="3"/>
  <c r="BE74" i="3"/>
  <c r="BF74" i="3"/>
  <c r="BG74" i="3"/>
  <c r="BH74" i="3"/>
  <c r="BI74" i="3"/>
  <c r="BJ74" i="3"/>
  <c r="BK74" i="3"/>
  <c r="BL74" i="3"/>
  <c r="BM74" i="3"/>
  <c r="BN74" i="3"/>
  <c r="BO74" i="3"/>
  <c r="BQ74" i="3"/>
  <c r="BR74" i="3"/>
  <c r="BS74" i="3"/>
  <c r="BT74" i="3"/>
  <c r="BU74" i="3"/>
  <c r="BV74" i="3"/>
  <c r="BY74" i="3"/>
  <c r="BZ74" i="3"/>
  <c r="CA74" i="3"/>
  <c r="CB74" i="3"/>
  <c r="CC74" i="3"/>
  <c r="CD74" i="3"/>
  <c r="CE74" i="3"/>
  <c r="CH74" i="3"/>
  <c r="CI74" i="3"/>
  <c r="CJ74" i="3"/>
  <c r="CK74" i="3"/>
  <c r="CL74" i="3"/>
  <c r="CM74" i="3"/>
  <c r="CN74" i="3"/>
  <c r="CQ74" i="3"/>
  <c r="CR74" i="3"/>
  <c r="CS74" i="3"/>
  <c r="CT74" i="3"/>
  <c r="CU74" i="3"/>
  <c r="CV74" i="3"/>
  <c r="CY74" i="3"/>
  <c r="CZ74" i="3"/>
  <c r="DA74" i="3"/>
  <c r="DB74" i="3"/>
  <c r="DC74" i="3"/>
  <c r="DD74" i="3"/>
  <c r="DE74" i="3"/>
  <c r="DF74" i="3"/>
  <c r="DI74" i="3"/>
  <c r="DJ74" i="3"/>
  <c r="DK74" i="3"/>
  <c r="DL74" i="3"/>
  <c r="DM74" i="3"/>
  <c r="DN74" i="3"/>
  <c r="DO74" i="3"/>
  <c r="DP74" i="3"/>
  <c r="DQ74" i="3"/>
  <c r="DR74" i="3"/>
  <c r="DS74" i="3"/>
  <c r="DT74" i="3"/>
  <c r="DU74" i="3"/>
  <c r="DV74" i="3"/>
  <c r="DW74" i="3"/>
  <c r="DX74" i="3"/>
  <c r="DY74" i="3"/>
  <c r="DZ74" i="3"/>
  <c r="EA74" i="3"/>
  <c r="EB74" i="3"/>
  <c r="EC74" i="3"/>
  <c r="ED74" i="3"/>
  <c r="EE74" i="3"/>
  <c r="EF74" i="3"/>
  <c r="EG74" i="3"/>
  <c r="EH74" i="3"/>
  <c r="EI74" i="3"/>
  <c r="EJ74" i="3"/>
  <c r="EK74" i="3"/>
  <c r="EL74" i="3"/>
  <c r="EM74" i="3"/>
  <c r="EN74" i="3"/>
  <c r="EO74" i="3"/>
  <c r="EP74" i="3"/>
  <c r="ER74" i="3"/>
  <c r="ES74" i="3"/>
  <c r="ET74" i="3"/>
  <c r="EU74" i="3"/>
  <c r="EV74" i="3"/>
  <c r="EW74" i="3"/>
  <c r="EX74" i="3"/>
  <c r="EY74" i="3"/>
  <c r="EZ74" i="3"/>
  <c r="FA74" i="3"/>
  <c r="FB74" i="3"/>
  <c r="FC74" i="3"/>
  <c r="FD74" i="3"/>
  <c r="FE74" i="3"/>
  <c r="FF74" i="3"/>
  <c r="FG74" i="3"/>
  <c r="FH74" i="3"/>
  <c r="FI74" i="3"/>
  <c r="FJ74" i="3"/>
  <c r="FK74" i="3"/>
  <c r="FL74" i="3"/>
  <c r="FM74" i="3"/>
  <c r="FN74" i="3"/>
  <c r="FO74" i="3"/>
  <c r="FP74" i="3"/>
  <c r="FQ74" i="3"/>
  <c r="FR74" i="3"/>
  <c r="FS74" i="3"/>
  <c r="FT74" i="3"/>
  <c r="FU74" i="3"/>
  <c r="FV74" i="3"/>
  <c r="FW74" i="3"/>
  <c r="FX74" i="3"/>
  <c r="FY74" i="3"/>
  <c r="FZ74" i="3"/>
  <c r="GA74" i="3"/>
  <c r="GB74" i="3"/>
  <c r="GC74" i="3"/>
  <c r="GD74" i="3"/>
  <c r="GE74" i="3"/>
  <c r="GF74" i="3"/>
  <c r="GH74" i="3"/>
  <c r="GI74" i="3"/>
  <c r="GJ74" i="3"/>
  <c r="GK74" i="3"/>
  <c r="GL74" i="3"/>
  <c r="GM74" i="3"/>
  <c r="GN74" i="3"/>
  <c r="GO74" i="3"/>
  <c r="GP74" i="3"/>
  <c r="GQ74" i="3"/>
  <c r="GR74" i="3"/>
  <c r="GS74" i="3"/>
  <c r="GT74" i="3"/>
  <c r="GU74" i="3"/>
  <c r="GV74" i="3"/>
  <c r="GW74" i="3"/>
  <c r="GX74" i="3"/>
  <c r="GY74" i="3"/>
  <c r="GZ74" i="3"/>
  <c r="HA74" i="3"/>
  <c r="HB74" i="3"/>
  <c r="HC74" i="3"/>
  <c r="HD74" i="3"/>
  <c r="HE74" i="3"/>
  <c r="HF74" i="3"/>
  <c r="HG74" i="3"/>
  <c r="HH74" i="3"/>
  <c r="HI74" i="3"/>
  <c r="HJ74" i="3"/>
  <c r="HK74" i="3"/>
  <c r="HL74" i="3"/>
  <c r="HM74" i="3"/>
  <c r="HN74" i="3"/>
  <c r="HO74" i="3"/>
  <c r="HP74" i="3"/>
  <c r="HQ74" i="3"/>
  <c r="HR74" i="3"/>
  <c r="HS74" i="3"/>
  <c r="HT74" i="3"/>
  <c r="HU74" i="3"/>
  <c r="HV74" i="3"/>
  <c r="HW74" i="3"/>
  <c r="HX74" i="3"/>
  <c r="HY74" i="3"/>
  <c r="HZ74" i="3"/>
  <c r="IA74" i="3"/>
  <c r="IB74" i="3"/>
  <c r="IC74" i="3"/>
  <c r="ID74" i="3"/>
  <c r="IE74" i="3"/>
  <c r="IF74" i="3"/>
  <c r="IG74" i="3"/>
  <c r="IH74" i="3"/>
  <c r="II74" i="3"/>
  <c r="IJ74" i="3"/>
  <c r="IK74" i="3"/>
  <c r="IL74" i="3"/>
  <c r="IM74" i="3"/>
  <c r="IN74" i="3"/>
  <c r="IO74" i="3"/>
  <c r="IP74" i="3"/>
  <c r="IQ74" i="3"/>
  <c r="IR74" i="3"/>
  <c r="IS74" i="3"/>
  <c r="IT74" i="3"/>
  <c r="IU74" i="3"/>
  <c r="IV74" i="3"/>
  <c r="IW74" i="3"/>
  <c r="IX74" i="3"/>
  <c r="IY74" i="3"/>
  <c r="IZ74" i="3"/>
  <c r="JA74" i="3"/>
  <c r="JB74" i="3"/>
  <c r="JC74" i="3"/>
  <c r="JD74" i="3"/>
  <c r="JE74" i="3"/>
  <c r="JF74" i="3"/>
  <c r="JG74" i="3"/>
  <c r="JH74" i="3"/>
  <c r="JI74" i="3"/>
  <c r="JJ74" i="3"/>
  <c r="JK74" i="3"/>
  <c r="JL74" i="3"/>
  <c r="JM74" i="3"/>
  <c r="JN74" i="3"/>
  <c r="JO74" i="3"/>
  <c r="JP74" i="3"/>
  <c r="JQ74" i="3"/>
  <c r="JR74" i="3"/>
  <c r="JS74" i="3"/>
  <c r="JT74" i="3"/>
  <c r="JU74" i="3"/>
  <c r="JV74" i="3"/>
  <c r="JW74" i="3"/>
  <c r="JX74" i="3"/>
  <c r="JY74" i="3"/>
  <c r="JZ74" i="3"/>
  <c r="KA74" i="3"/>
  <c r="KB74" i="3"/>
  <c r="KC74" i="3"/>
  <c r="KD74" i="3"/>
  <c r="KE74" i="3"/>
  <c r="KF74" i="3"/>
  <c r="KG74" i="3"/>
  <c r="KH74" i="3"/>
  <c r="KI74" i="3"/>
  <c r="KJ74" i="3"/>
  <c r="KK74" i="3"/>
  <c r="KL74" i="3"/>
  <c r="KM74" i="3"/>
  <c r="KN74" i="3"/>
  <c r="KO74" i="3"/>
  <c r="KP74" i="3"/>
  <c r="KQ74" i="3"/>
  <c r="KR74" i="3"/>
  <c r="KS74" i="3"/>
  <c r="KT74" i="3"/>
  <c r="KU74" i="3"/>
  <c r="KV74" i="3"/>
  <c r="KW74" i="3"/>
  <c r="KX74" i="3"/>
  <c r="KY74" i="3"/>
  <c r="KZ74" i="3"/>
  <c r="LA74" i="3"/>
  <c r="LB74" i="3"/>
  <c r="LC74" i="3"/>
  <c r="LD74" i="3"/>
  <c r="LE74" i="3"/>
  <c r="LF74" i="3"/>
  <c r="LG74" i="3"/>
  <c r="LH74" i="3"/>
  <c r="LI74" i="3"/>
  <c r="LJ74" i="3"/>
  <c r="LK74" i="3"/>
  <c r="LL74" i="3"/>
  <c r="LM74" i="3"/>
  <c r="LN74" i="3"/>
  <c r="LO74" i="3"/>
  <c r="LP74" i="3"/>
  <c r="LQ74" i="3"/>
  <c r="LR74" i="3"/>
  <c r="LS74" i="3"/>
  <c r="LT74" i="3"/>
  <c r="LU74" i="3"/>
  <c r="LV74" i="3"/>
  <c r="LW74" i="3"/>
  <c r="LX74" i="3"/>
  <c r="LY74" i="3"/>
  <c r="LZ74" i="3"/>
  <c r="MA74" i="3"/>
  <c r="MB74" i="3"/>
  <c r="MC74" i="3"/>
  <c r="MD74" i="3"/>
  <c r="ME74" i="3"/>
  <c r="MF74" i="3"/>
  <c r="P77" i="3"/>
  <c r="P78" i="3"/>
  <c r="P79" i="3"/>
  <c r="P80" i="3"/>
  <c r="P81" i="3"/>
  <c r="P82" i="3"/>
  <c r="P83" i="3"/>
  <c r="Q23" i="3" l="1"/>
  <c r="Q15" i="3"/>
  <c r="Q11" i="3"/>
  <c r="Q24" i="3"/>
  <c r="Q22" i="3"/>
  <c r="Q14" i="3"/>
  <c r="Q28" i="3"/>
  <c r="Q18" i="3"/>
  <c r="Q9" i="3"/>
  <c r="Q7" i="3"/>
  <c r="Q21" i="3"/>
  <c r="Q13" i="3"/>
  <c r="Q20" i="3"/>
  <c r="Q10" i="3"/>
  <c r="Q17" i="3"/>
  <c r="Q29" i="3"/>
  <c r="Q12" i="3"/>
  <c r="Q19" i="3"/>
  <c r="Q26" i="3"/>
  <c r="Q16" i="3"/>
  <c r="Q32" i="3"/>
  <c r="Q81" i="3"/>
  <c r="Q77" i="3"/>
  <c r="R30" i="3"/>
  <c r="Q30" i="3" s="1"/>
  <c r="V35" i="3"/>
  <c r="V36" i="3" s="1"/>
  <c r="V63" i="3" s="1"/>
  <c r="V62" i="3"/>
  <c r="V2" i="3"/>
  <c r="W1" i="3"/>
  <c r="H32" i="3"/>
  <c r="G32" i="3"/>
  <c r="K32" i="3"/>
  <c r="L32" i="3"/>
  <c r="I32" i="3"/>
  <c r="F32" i="3"/>
  <c r="J32" i="3"/>
  <c r="R8" i="3"/>
  <c r="Q8" i="3" s="1"/>
  <c r="W35" i="3" l="1"/>
  <c r="W36" i="3" s="1"/>
  <c r="W63" i="3" s="1"/>
  <c r="W62" i="3"/>
  <c r="W2" i="3"/>
  <c r="X1" i="3"/>
  <c r="X35" i="3" l="1"/>
  <c r="X36" i="3" s="1"/>
  <c r="X63" i="3" s="1"/>
  <c r="X62" i="3"/>
  <c r="X2" i="3"/>
  <c r="Y1" i="3"/>
  <c r="Y2" i="3" s="1"/>
  <c r="Y35" i="3" l="1"/>
  <c r="Y36" i="3" s="1"/>
  <c r="Y63" i="3" s="1"/>
  <c r="Y62" i="3"/>
  <c r="Z1" i="3"/>
  <c r="Z35" i="3" l="1"/>
  <c r="Z36" i="3" s="1"/>
  <c r="Z63" i="3" s="1"/>
  <c r="Z62" i="3"/>
  <c r="Z2" i="3"/>
  <c r="AA1" i="3"/>
  <c r="AA35" i="3" l="1"/>
  <c r="AA36" i="3" s="1"/>
  <c r="AA63" i="3" s="1"/>
  <c r="AA62" i="3"/>
  <c r="AA2" i="3"/>
  <c r="AB1" i="3"/>
  <c r="AB35" i="3" l="1"/>
  <c r="AB36" i="3" s="1"/>
  <c r="AB63" i="3" s="1"/>
  <c r="AB62" i="3"/>
  <c r="AB2" i="3"/>
  <c r="AC1" i="3"/>
  <c r="AC35" i="3" l="1"/>
  <c r="AC36" i="3" s="1"/>
  <c r="AC63" i="3" s="1"/>
  <c r="AC62" i="3"/>
  <c r="AD1" i="3"/>
  <c r="AC2" i="3"/>
  <c r="AD35" i="3" l="1"/>
  <c r="AD36" i="3" s="1"/>
  <c r="AD63" i="3" s="1"/>
  <c r="AD62" i="3"/>
  <c r="AD2" i="3"/>
  <c r="AE1" i="3"/>
  <c r="AE35" i="3" l="1"/>
  <c r="AE36" i="3" s="1"/>
  <c r="AE63" i="3" s="1"/>
  <c r="AE62" i="3"/>
  <c r="AE2" i="3"/>
  <c r="AF1" i="3"/>
  <c r="AF35" i="3" l="1"/>
  <c r="AF36" i="3" s="1"/>
  <c r="AF63" i="3" s="1"/>
  <c r="AF62" i="3"/>
  <c r="AF2" i="3"/>
  <c r="AG1" i="3"/>
  <c r="AG35" i="3" l="1"/>
  <c r="AG36" i="3" s="1"/>
  <c r="AG63" i="3" s="1"/>
  <c r="AG62" i="3"/>
  <c r="AG2" i="3"/>
  <c r="AH1" i="3"/>
  <c r="AH35" i="3" l="1"/>
  <c r="AH36" i="3" s="1"/>
  <c r="AH63" i="3" s="1"/>
  <c r="AH62" i="3"/>
  <c r="AH2" i="3"/>
  <c r="AI1" i="3"/>
  <c r="AI35" i="3" l="1"/>
  <c r="AI36" i="3" s="1"/>
  <c r="AI63" i="3" s="1"/>
  <c r="AI62" i="3"/>
  <c r="AI2" i="3"/>
  <c r="AJ1" i="3"/>
  <c r="AJ35" i="3" l="1"/>
  <c r="AJ36" i="3" s="1"/>
  <c r="AJ63" i="3" s="1"/>
  <c r="AJ62" i="3"/>
  <c r="AJ2" i="3"/>
  <c r="AK1" i="3"/>
  <c r="AK35" i="3" l="1"/>
  <c r="AK36" i="3" s="1"/>
  <c r="AK63" i="3" s="1"/>
  <c r="AK62" i="3"/>
  <c r="AK2" i="3"/>
  <c r="AL1" i="3"/>
  <c r="AL35" i="3" l="1"/>
  <c r="AL36" i="3" s="1"/>
  <c r="AL63" i="3" s="1"/>
  <c r="AL62" i="3"/>
  <c r="AL2" i="3"/>
  <c r="AM1" i="3"/>
  <c r="AM35" i="3" l="1"/>
  <c r="AM36" i="3" s="1"/>
  <c r="AM63" i="3" s="1"/>
  <c r="AM62" i="3"/>
  <c r="AM2" i="3"/>
  <c r="AN1" i="3"/>
  <c r="AN35" i="3" l="1"/>
  <c r="AN36" i="3" s="1"/>
  <c r="AN63" i="3" s="1"/>
  <c r="AN62" i="3"/>
  <c r="AN2" i="3"/>
  <c r="AO1" i="3"/>
  <c r="AO35" i="3" l="1"/>
  <c r="AO36" i="3" s="1"/>
  <c r="AO63" i="3" s="1"/>
  <c r="AO62" i="3"/>
  <c r="AO2" i="3"/>
  <c r="AP1" i="3"/>
  <c r="AQ1" i="3" s="1"/>
  <c r="AP2" i="3" l="1"/>
  <c r="AQ35" i="3"/>
  <c r="AQ36" i="3" s="1"/>
  <c r="AQ63" i="3" s="1"/>
  <c r="AQ62" i="3"/>
  <c r="AP35" i="3"/>
  <c r="AP36" i="3" s="1"/>
  <c r="AP63" i="3" s="1"/>
  <c r="AP62" i="3"/>
  <c r="AR1" i="3"/>
  <c r="AQ2" i="3"/>
  <c r="AR35" i="3" l="1"/>
  <c r="AR36" i="3" s="1"/>
  <c r="AR63" i="3" s="1"/>
  <c r="AR62" i="3"/>
  <c r="AS1" i="3"/>
  <c r="AR2" i="3"/>
  <c r="AS35" i="3" l="1"/>
  <c r="AS36" i="3" s="1"/>
  <c r="AS63" i="3" s="1"/>
  <c r="AS62" i="3"/>
  <c r="AT1" i="3"/>
  <c r="AS2" i="3"/>
  <c r="AT35" i="3" l="1"/>
  <c r="AT36" i="3" s="1"/>
  <c r="AT63" i="3" s="1"/>
  <c r="AT62" i="3"/>
  <c r="AU1" i="3"/>
  <c r="AT2" i="3"/>
  <c r="AU35" i="3" l="1"/>
  <c r="AU36" i="3" s="1"/>
  <c r="AU63" i="3" s="1"/>
  <c r="AU62" i="3"/>
  <c r="AV1" i="3"/>
  <c r="AU2" i="3"/>
  <c r="AV35" i="3" l="1"/>
  <c r="AV36" i="3" s="1"/>
  <c r="AV63" i="3" s="1"/>
  <c r="AV62" i="3"/>
  <c r="AW1" i="3"/>
  <c r="AV2" i="3"/>
  <c r="AW35" i="3" l="1"/>
  <c r="AW36" i="3" s="1"/>
  <c r="AW63" i="3" s="1"/>
  <c r="AW62" i="3"/>
  <c r="AX1" i="3"/>
  <c r="AW2" i="3"/>
  <c r="AX35" i="3" l="1"/>
  <c r="AX36" i="3" s="1"/>
  <c r="AX63" i="3" s="1"/>
  <c r="AX62" i="3"/>
  <c r="AY1" i="3"/>
  <c r="AX2" i="3"/>
  <c r="AY35" i="3" l="1"/>
  <c r="AY36" i="3" s="1"/>
  <c r="AY63" i="3" s="1"/>
  <c r="AY62" i="3"/>
  <c r="AZ1" i="3"/>
  <c r="AY2" i="3"/>
  <c r="AZ35" i="3" l="1"/>
  <c r="AZ36" i="3" s="1"/>
  <c r="AZ63" i="3" s="1"/>
  <c r="AZ62" i="3"/>
  <c r="BA1" i="3"/>
  <c r="AZ2" i="3"/>
  <c r="BA35" i="3" l="1"/>
  <c r="BA36" i="3" s="1"/>
  <c r="BA63" i="3" s="1"/>
  <c r="BA62" i="3"/>
  <c r="BB1" i="3"/>
  <c r="BA2" i="3"/>
  <c r="BB35" i="3" l="1"/>
  <c r="BB36" i="3" s="1"/>
  <c r="BB63" i="3" s="1"/>
  <c r="BB62" i="3"/>
  <c r="BC1" i="3"/>
  <c r="BB2" i="3"/>
  <c r="BC35" i="3" l="1"/>
  <c r="BC36" i="3" s="1"/>
  <c r="BC63" i="3" s="1"/>
  <c r="BC62" i="3"/>
  <c r="BD1" i="3"/>
  <c r="BC2" i="3"/>
  <c r="BD35" i="3" l="1"/>
  <c r="BD36" i="3" s="1"/>
  <c r="BD63" i="3" s="1"/>
  <c r="BD62" i="3"/>
  <c r="BE1" i="3"/>
  <c r="BD2" i="3"/>
  <c r="BE35" i="3" l="1"/>
  <c r="BE36" i="3" s="1"/>
  <c r="BE63" i="3" s="1"/>
  <c r="BE62" i="3"/>
  <c r="BF1" i="3"/>
  <c r="BE2" i="3"/>
  <c r="BF35" i="3" l="1"/>
  <c r="BF36" i="3" s="1"/>
  <c r="BF63" i="3" s="1"/>
  <c r="BF62" i="3"/>
  <c r="BG1" i="3"/>
  <c r="BF2" i="3"/>
  <c r="BG35" i="3" l="1"/>
  <c r="BG36" i="3" s="1"/>
  <c r="BG63" i="3" s="1"/>
  <c r="BG62" i="3"/>
  <c r="BH1" i="3"/>
  <c r="BG2" i="3"/>
  <c r="BH35" i="3" l="1"/>
  <c r="BH36" i="3" s="1"/>
  <c r="BH63" i="3" s="1"/>
  <c r="BH62" i="3"/>
  <c r="BI1" i="3"/>
  <c r="BH2" i="3"/>
  <c r="BI35" i="3" l="1"/>
  <c r="BI36" i="3" s="1"/>
  <c r="BI63" i="3" s="1"/>
  <c r="BI62" i="3"/>
  <c r="BJ1" i="3"/>
  <c r="BI2" i="3"/>
  <c r="BJ35" i="3" l="1"/>
  <c r="BJ36" i="3" s="1"/>
  <c r="BJ63" i="3" s="1"/>
  <c r="BJ62" i="3"/>
  <c r="BK1" i="3"/>
  <c r="BJ2" i="3"/>
  <c r="BK35" i="3" l="1"/>
  <c r="BK36" i="3" s="1"/>
  <c r="BK63" i="3" s="1"/>
  <c r="BK62" i="3"/>
  <c r="BL1" i="3"/>
  <c r="BK2" i="3"/>
  <c r="BL35" i="3" l="1"/>
  <c r="BL36" i="3" s="1"/>
  <c r="BL63" i="3" s="1"/>
  <c r="BL62" i="3"/>
  <c r="BM1" i="3"/>
  <c r="BL2" i="3"/>
  <c r="BM35" i="3" l="1"/>
  <c r="BM36" i="3" s="1"/>
  <c r="BM63" i="3" s="1"/>
  <c r="BM62" i="3"/>
  <c r="BN1" i="3"/>
  <c r="BM2" i="3"/>
  <c r="BN35" i="3" l="1"/>
  <c r="BN36" i="3" s="1"/>
  <c r="BN63" i="3" s="1"/>
  <c r="BN62" i="3"/>
  <c r="BO1" i="3"/>
  <c r="BP1" i="3" s="1"/>
  <c r="BP62" i="3" s="1"/>
  <c r="BN2" i="3"/>
  <c r="BQ1" i="3" l="1"/>
  <c r="BP35" i="3"/>
  <c r="BO35" i="3"/>
  <c r="BO36" i="3" s="1"/>
  <c r="BO63" i="3" s="1"/>
  <c r="BO62" i="3"/>
  <c r="BO2" i="3"/>
  <c r="BQ35" i="3" l="1"/>
  <c r="BQ36" i="3" s="1"/>
  <c r="BQ63" i="3" s="1"/>
  <c r="BQ62" i="3"/>
  <c r="BR1" i="3"/>
  <c r="BQ2" i="3"/>
  <c r="BR35" i="3" l="1"/>
  <c r="BR36" i="3" s="1"/>
  <c r="BR63" i="3" s="1"/>
  <c r="BR62" i="3"/>
  <c r="BS1" i="3"/>
  <c r="BR2" i="3"/>
  <c r="BS35" i="3" l="1"/>
  <c r="BS36" i="3" s="1"/>
  <c r="BS63" i="3" s="1"/>
  <c r="BS62" i="3"/>
  <c r="BT1" i="3"/>
  <c r="BS2" i="3"/>
  <c r="BT35" i="3" l="1"/>
  <c r="BT36" i="3" s="1"/>
  <c r="BT63" i="3" s="1"/>
  <c r="BT62" i="3"/>
  <c r="BU1" i="3"/>
  <c r="BT2" i="3"/>
  <c r="BU35" i="3" l="1"/>
  <c r="BU36" i="3" s="1"/>
  <c r="BU63" i="3" s="1"/>
  <c r="BU62" i="3"/>
  <c r="BV1" i="3"/>
  <c r="BW1" i="3" s="1"/>
  <c r="BU2" i="3"/>
  <c r="BW35" i="3" l="1"/>
  <c r="BW62" i="3"/>
  <c r="BZ1" i="3"/>
  <c r="BW2" i="3"/>
  <c r="BV35" i="3"/>
  <c r="BV36" i="3" s="1"/>
  <c r="BV63" i="3" s="1"/>
  <c r="BV62" i="3"/>
  <c r="BV2" i="3"/>
  <c r="BZ35" i="3" l="1"/>
  <c r="BZ36" i="3" s="1"/>
  <c r="BZ63" i="3" s="1"/>
  <c r="BZ62" i="3"/>
  <c r="CA1" i="3"/>
  <c r="BZ2" i="3"/>
  <c r="CA35" i="3" l="1"/>
  <c r="CA36" i="3" s="1"/>
  <c r="CA63" i="3" s="1"/>
  <c r="CA62" i="3"/>
  <c r="CB1" i="3"/>
  <c r="CA2" i="3"/>
  <c r="CB35" i="3" l="1"/>
  <c r="CB36" i="3" s="1"/>
  <c r="CB63" i="3" s="1"/>
  <c r="CB62" i="3"/>
  <c r="CC1" i="3"/>
  <c r="CB2" i="3"/>
  <c r="CC35" i="3" l="1"/>
  <c r="CC36" i="3" s="1"/>
  <c r="CC63" i="3" s="1"/>
  <c r="CC62" i="3"/>
  <c r="CD1" i="3"/>
  <c r="CC2" i="3"/>
  <c r="CD35" i="3" l="1"/>
  <c r="CD36" i="3" s="1"/>
  <c r="CD63" i="3" s="1"/>
  <c r="CD62" i="3"/>
  <c r="CE1" i="3"/>
  <c r="CD2" i="3"/>
  <c r="CE35" i="3" l="1"/>
  <c r="CE36" i="3" s="1"/>
  <c r="CE63" i="3" s="1"/>
  <c r="CE62" i="3"/>
  <c r="CF1" i="3"/>
  <c r="CF35" i="3" s="1"/>
  <c r="CF36" i="3" s="1"/>
  <c r="CE2" i="3"/>
  <c r="CF62" i="3" l="1"/>
  <c r="CF2" i="3"/>
  <c r="CI1" i="3"/>
  <c r="CI35" i="3" l="1"/>
  <c r="CI36" i="3" s="1"/>
  <c r="CI63" i="3" s="1"/>
  <c r="CI62" i="3"/>
  <c r="CJ1" i="3"/>
  <c r="CI2" i="3"/>
  <c r="CJ35" i="3" l="1"/>
  <c r="CJ36" i="3" s="1"/>
  <c r="CJ63" i="3" s="1"/>
  <c r="CJ62" i="3"/>
  <c r="CK1" i="3"/>
  <c r="CJ2" i="3"/>
  <c r="CK35" i="3" l="1"/>
  <c r="CK36" i="3" s="1"/>
  <c r="CK63" i="3" s="1"/>
  <c r="CK62" i="3"/>
  <c r="CL1" i="3"/>
  <c r="CK2" i="3"/>
  <c r="CL35" i="3" l="1"/>
  <c r="CL36" i="3" s="1"/>
  <c r="CL63" i="3" s="1"/>
  <c r="CL62" i="3"/>
  <c r="CM1" i="3"/>
  <c r="CL2" i="3"/>
  <c r="CM35" i="3" l="1"/>
  <c r="CM36" i="3" s="1"/>
  <c r="CM63" i="3" s="1"/>
  <c r="CM62" i="3"/>
  <c r="CN1" i="3"/>
  <c r="CO1" i="3" s="1"/>
  <c r="CM2" i="3"/>
  <c r="CO62" i="3" l="1"/>
  <c r="CR1" i="3"/>
  <c r="CO2" i="3"/>
  <c r="CO35" i="3"/>
  <c r="CO36" i="3" s="1"/>
  <c r="CO63" i="3" s="1"/>
  <c r="CN35" i="3"/>
  <c r="CN36" i="3" s="1"/>
  <c r="CN63" i="3" s="1"/>
  <c r="CN62" i="3"/>
  <c r="CN2" i="3"/>
  <c r="CR35" i="3" l="1"/>
  <c r="CR36" i="3" s="1"/>
  <c r="CR63" i="3" s="1"/>
  <c r="CR62" i="3"/>
  <c r="CS1" i="3"/>
  <c r="CR2" i="3"/>
  <c r="CS35" i="3" l="1"/>
  <c r="CS36" i="3" s="1"/>
  <c r="CS63" i="3" s="1"/>
  <c r="CS62" i="3"/>
  <c r="CT1" i="3"/>
  <c r="CS2" i="3"/>
  <c r="CT35" i="3" l="1"/>
  <c r="CT36" i="3" s="1"/>
  <c r="CT63" i="3" s="1"/>
  <c r="CT62" i="3"/>
  <c r="CU1" i="3"/>
  <c r="CT2" i="3"/>
  <c r="CU35" i="3" l="1"/>
  <c r="CU36" i="3" s="1"/>
  <c r="CU63" i="3" s="1"/>
  <c r="CU62" i="3"/>
  <c r="CV1" i="3"/>
  <c r="CW1" i="3" s="1"/>
  <c r="CU2" i="3"/>
  <c r="CX1" i="3" l="1"/>
  <c r="CW35" i="3"/>
  <c r="CW36" i="3" s="1"/>
  <c r="CW63" i="3" s="1"/>
  <c r="CW62" i="3"/>
  <c r="CV35" i="3"/>
  <c r="CV36" i="3" s="1"/>
  <c r="CV63" i="3" s="1"/>
  <c r="CV62" i="3"/>
  <c r="CV2" i="3"/>
  <c r="CX62" i="3" l="1"/>
  <c r="CX35" i="3"/>
  <c r="CX36" i="3" s="1"/>
  <c r="CX63" i="3" s="1"/>
  <c r="CW2" i="3"/>
  <c r="DA1" i="3" l="1"/>
  <c r="CX2" i="3"/>
  <c r="DA35" i="3" l="1"/>
  <c r="DA36" i="3" s="1"/>
  <c r="DA63" i="3" s="1"/>
  <c r="DA62" i="3"/>
  <c r="DB1" i="3"/>
  <c r="DA2" i="3"/>
  <c r="DB35" i="3" l="1"/>
  <c r="DB36" i="3" s="1"/>
  <c r="DB63" i="3" s="1"/>
  <c r="DB62" i="3"/>
  <c r="DC1" i="3"/>
  <c r="DB2" i="3"/>
  <c r="DC35" i="3" l="1"/>
  <c r="DC36" i="3" s="1"/>
  <c r="DC63" i="3" s="1"/>
  <c r="DC62" i="3"/>
  <c r="DD1" i="3"/>
  <c r="DC2" i="3"/>
  <c r="DD35" i="3" l="1"/>
  <c r="DD36" i="3" s="1"/>
  <c r="DD63" i="3" s="1"/>
  <c r="DD62" i="3"/>
  <c r="DE1" i="3"/>
  <c r="DD2" i="3"/>
  <c r="DE35" i="3" l="1"/>
  <c r="DE36" i="3" s="1"/>
  <c r="DE63" i="3" s="1"/>
  <c r="DE62" i="3"/>
  <c r="DF1" i="3"/>
  <c r="DG1" i="3" s="1"/>
  <c r="DE2" i="3"/>
  <c r="DG2" i="3" l="1"/>
  <c r="DG62" i="3"/>
  <c r="DJ1" i="3"/>
  <c r="DG35" i="3"/>
  <c r="DF35" i="3"/>
  <c r="DF36" i="3" s="1"/>
  <c r="DF63" i="3" s="1"/>
  <c r="DF62" i="3"/>
  <c r="DF2" i="3"/>
  <c r="DJ35" i="3" l="1"/>
  <c r="DJ36" i="3" s="1"/>
  <c r="DJ63" i="3" s="1"/>
  <c r="DJ62" i="3"/>
  <c r="DK1" i="3"/>
  <c r="DJ2" i="3"/>
  <c r="DK35" i="3" l="1"/>
  <c r="DK36" i="3" s="1"/>
  <c r="DK63" i="3" s="1"/>
  <c r="DK62" i="3"/>
  <c r="DL1" i="3"/>
  <c r="DK2" i="3"/>
  <c r="DL35" i="3" l="1"/>
  <c r="DL36" i="3" s="1"/>
  <c r="DL63" i="3" s="1"/>
  <c r="DL62" i="3"/>
  <c r="DM1" i="3"/>
  <c r="DL2" i="3"/>
  <c r="DM35" i="3" l="1"/>
  <c r="DM36" i="3" s="1"/>
  <c r="DM63" i="3" s="1"/>
  <c r="DM62" i="3"/>
  <c r="DN1" i="3"/>
  <c r="DM2" i="3"/>
  <c r="DN35" i="3" l="1"/>
  <c r="DN36" i="3" s="1"/>
  <c r="DN63" i="3" s="1"/>
  <c r="DN62" i="3"/>
  <c r="DO1" i="3"/>
  <c r="DN2" i="3"/>
  <c r="DO35" i="3" l="1"/>
  <c r="DO36" i="3" s="1"/>
  <c r="DO63" i="3" s="1"/>
  <c r="DO62" i="3"/>
  <c r="DP1" i="3"/>
  <c r="DO2" i="3"/>
  <c r="DP35" i="3" l="1"/>
  <c r="DP36" i="3" s="1"/>
  <c r="DP63" i="3" s="1"/>
  <c r="DP62" i="3"/>
  <c r="DQ1" i="3"/>
  <c r="DP2" i="3"/>
  <c r="DQ35" i="3" l="1"/>
  <c r="DQ36" i="3" s="1"/>
  <c r="DQ63" i="3" s="1"/>
  <c r="DQ62" i="3"/>
  <c r="DR1" i="3"/>
  <c r="DQ2" i="3"/>
  <c r="DR35" i="3" l="1"/>
  <c r="DR36" i="3" s="1"/>
  <c r="DR63" i="3" s="1"/>
  <c r="DR62" i="3"/>
  <c r="DS1" i="3"/>
  <c r="DR2" i="3"/>
  <c r="DS35" i="3" l="1"/>
  <c r="DS36" i="3" s="1"/>
  <c r="DS63" i="3" s="1"/>
  <c r="DS62" i="3"/>
  <c r="DT1" i="3"/>
  <c r="DS2" i="3"/>
  <c r="DT35" i="3" l="1"/>
  <c r="DT36" i="3" s="1"/>
  <c r="DT63" i="3" s="1"/>
  <c r="DT62" i="3"/>
  <c r="DU1" i="3"/>
  <c r="DT2" i="3"/>
  <c r="DU35" i="3" l="1"/>
  <c r="DU36" i="3" s="1"/>
  <c r="DU63" i="3" s="1"/>
  <c r="DU62" i="3"/>
  <c r="DV1" i="3"/>
  <c r="DU2" i="3"/>
  <c r="DV35" i="3" l="1"/>
  <c r="DV36" i="3" s="1"/>
  <c r="DV63" i="3" s="1"/>
  <c r="DV62" i="3"/>
  <c r="DW1" i="3"/>
  <c r="DV2" i="3"/>
  <c r="DW35" i="3" l="1"/>
  <c r="DW36" i="3" s="1"/>
  <c r="DW63" i="3" s="1"/>
  <c r="DW62" i="3"/>
  <c r="DX1" i="3"/>
  <c r="DW2" i="3"/>
  <c r="DX35" i="3" l="1"/>
  <c r="DX36" i="3" s="1"/>
  <c r="DX63" i="3" s="1"/>
  <c r="DX62" i="3"/>
  <c r="DY1" i="3"/>
  <c r="DX2" i="3"/>
  <c r="DY35" i="3" l="1"/>
  <c r="DY36" i="3" s="1"/>
  <c r="DY63" i="3" s="1"/>
  <c r="DY62" i="3"/>
  <c r="DZ1" i="3"/>
  <c r="DY2" i="3"/>
  <c r="DZ35" i="3" l="1"/>
  <c r="DZ36" i="3" s="1"/>
  <c r="DZ63" i="3" s="1"/>
  <c r="DZ62" i="3"/>
  <c r="EA1" i="3"/>
  <c r="DZ2" i="3"/>
  <c r="EA35" i="3" l="1"/>
  <c r="EA36" i="3" s="1"/>
  <c r="EA63" i="3" s="1"/>
  <c r="EA62" i="3"/>
  <c r="EB1" i="3"/>
  <c r="EA2" i="3"/>
  <c r="EB35" i="3" l="1"/>
  <c r="EB36" i="3" s="1"/>
  <c r="EB63" i="3" s="1"/>
  <c r="EB62" i="3"/>
  <c r="EC1" i="3"/>
  <c r="EB2" i="3"/>
  <c r="EC35" i="3" l="1"/>
  <c r="EC36" i="3" s="1"/>
  <c r="EC63" i="3" s="1"/>
  <c r="EC62" i="3"/>
  <c r="ED1" i="3"/>
  <c r="EC2" i="3"/>
  <c r="ED35" i="3" l="1"/>
  <c r="ED36" i="3" s="1"/>
  <c r="ED63" i="3" s="1"/>
  <c r="ED62" i="3"/>
  <c r="EE1" i="3"/>
  <c r="ED2" i="3"/>
  <c r="EE35" i="3" l="1"/>
  <c r="EE36" i="3" s="1"/>
  <c r="EE63" i="3" s="1"/>
  <c r="EE62" i="3"/>
  <c r="EF1" i="3"/>
  <c r="EE2" i="3"/>
  <c r="EF35" i="3" l="1"/>
  <c r="EF36" i="3" s="1"/>
  <c r="EF63" i="3" s="1"/>
  <c r="EF62" i="3"/>
  <c r="EG1" i="3"/>
  <c r="EF2" i="3"/>
  <c r="EG35" i="3" l="1"/>
  <c r="EG36" i="3" s="1"/>
  <c r="EG63" i="3" s="1"/>
  <c r="EG62" i="3"/>
  <c r="EH1" i="3"/>
  <c r="EG2" i="3"/>
  <c r="EH35" i="3" l="1"/>
  <c r="EH36" i="3" s="1"/>
  <c r="EH63" i="3" s="1"/>
  <c r="EH62" i="3"/>
  <c r="EI1" i="3"/>
  <c r="EH2" i="3"/>
  <c r="EI35" i="3" l="1"/>
  <c r="EI36" i="3" s="1"/>
  <c r="EI63" i="3" s="1"/>
  <c r="EI62" i="3"/>
  <c r="EJ1" i="3"/>
  <c r="EI2" i="3"/>
  <c r="EJ35" i="3" l="1"/>
  <c r="EJ36" i="3" s="1"/>
  <c r="EJ63" i="3" s="1"/>
  <c r="EJ62" i="3"/>
  <c r="EK1" i="3"/>
  <c r="EJ2" i="3"/>
  <c r="EK35" i="3" l="1"/>
  <c r="EK36" i="3" s="1"/>
  <c r="EK63" i="3" s="1"/>
  <c r="EK62" i="3"/>
  <c r="EL1" i="3"/>
  <c r="EK2" i="3"/>
  <c r="EL35" i="3" l="1"/>
  <c r="EL36" i="3" s="1"/>
  <c r="EL63" i="3" s="1"/>
  <c r="EL62" i="3"/>
  <c r="EM1" i="3"/>
  <c r="EL2" i="3"/>
  <c r="EM35" i="3" l="1"/>
  <c r="EM36" i="3" s="1"/>
  <c r="EM63" i="3" s="1"/>
  <c r="EM62" i="3"/>
  <c r="EN1" i="3"/>
  <c r="EM2" i="3"/>
  <c r="EN35" i="3" l="1"/>
  <c r="EN36" i="3" s="1"/>
  <c r="EN63" i="3" s="1"/>
  <c r="EN62" i="3"/>
  <c r="EO1" i="3"/>
  <c r="EO62" i="3" s="1"/>
  <c r="EN2" i="3"/>
  <c r="EO35" i="3" l="1"/>
  <c r="EO36" i="3" s="1"/>
  <c r="EO63" i="3" s="1"/>
  <c r="EP1" i="3"/>
  <c r="EP62" i="3" s="1"/>
  <c r="EO2" i="3"/>
  <c r="EP35" i="3" l="1"/>
  <c r="EP36" i="3" s="1"/>
  <c r="EP63" i="3" s="1"/>
  <c r="EQ1" i="3"/>
  <c r="EQ62" i="3" s="1"/>
  <c r="EP2" i="3"/>
  <c r="EQ2" i="3" l="1"/>
  <c r="EQ35" i="3"/>
  <c r="EQ36" i="3" s="1"/>
  <c r="EQ63" i="3" s="1"/>
  <c r="ER1" i="3"/>
  <c r="ER35" i="3" l="1"/>
  <c r="ER36" i="3" s="1"/>
  <c r="ER63" i="3" s="1"/>
  <c r="ER62" i="3"/>
  <c r="ES1" i="3"/>
  <c r="ER2" i="3"/>
  <c r="ES35" i="3" l="1"/>
  <c r="ES36" i="3" s="1"/>
  <c r="ES63" i="3" s="1"/>
  <c r="ES62" i="3"/>
  <c r="ET1" i="3"/>
  <c r="ES2" i="3"/>
  <c r="ET35" i="3" l="1"/>
  <c r="ET36" i="3" s="1"/>
  <c r="ET63" i="3" s="1"/>
  <c r="ET62" i="3"/>
  <c r="EU1" i="3"/>
  <c r="ET2" i="3"/>
  <c r="EU35" i="3" l="1"/>
  <c r="EU36" i="3" s="1"/>
  <c r="EU63" i="3" s="1"/>
  <c r="EU62" i="3"/>
  <c r="EV1" i="3"/>
  <c r="EU2" i="3"/>
  <c r="EV35" i="3" l="1"/>
  <c r="EV36" i="3" s="1"/>
  <c r="EV63" i="3" s="1"/>
  <c r="EV62" i="3"/>
  <c r="EW1" i="3"/>
  <c r="EV2" i="3"/>
  <c r="EW35" i="3" l="1"/>
  <c r="EW36" i="3" s="1"/>
  <c r="EW63" i="3" s="1"/>
  <c r="EW62" i="3"/>
  <c r="EX1" i="3"/>
  <c r="EW2" i="3"/>
  <c r="EX35" i="3" l="1"/>
  <c r="EX36" i="3" s="1"/>
  <c r="EX63" i="3" s="1"/>
  <c r="EX62" i="3"/>
  <c r="EY1" i="3"/>
  <c r="EX2" i="3"/>
  <c r="EY35" i="3" l="1"/>
  <c r="EY36" i="3" s="1"/>
  <c r="EY63" i="3" s="1"/>
  <c r="EY62" i="3"/>
  <c r="EZ1" i="3"/>
  <c r="EY2" i="3"/>
  <c r="EZ35" i="3" l="1"/>
  <c r="EZ36" i="3" s="1"/>
  <c r="EZ63" i="3" s="1"/>
  <c r="EZ62" i="3"/>
  <c r="FA1" i="3"/>
  <c r="EZ2" i="3"/>
  <c r="FA35" i="3" l="1"/>
  <c r="FA36" i="3" s="1"/>
  <c r="FA63" i="3" s="1"/>
  <c r="FA62" i="3"/>
  <c r="FB1" i="3"/>
  <c r="FA2" i="3"/>
  <c r="FB35" i="3" l="1"/>
  <c r="FB36" i="3" s="1"/>
  <c r="FB63" i="3" s="1"/>
  <c r="FB62" i="3"/>
  <c r="FC1" i="3"/>
  <c r="FB2" i="3"/>
  <c r="FC35" i="3" l="1"/>
  <c r="FC36" i="3" s="1"/>
  <c r="FC63" i="3" s="1"/>
  <c r="FC62" i="3"/>
  <c r="FD1" i="3"/>
  <c r="FC2" i="3"/>
  <c r="FD35" i="3" l="1"/>
  <c r="FD36" i="3" s="1"/>
  <c r="FD63" i="3" s="1"/>
  <c r="FD62" i="3"/>
  <c r="FE1" i="3"/>
  <c r="FD2" i="3"/>
  <c r="FE35" i="3" l="1"/>
  <c r="FE36" i="3" s="1"/>
  <c r="FE63" i="3" s="1"/>
  <c r="FE62" i="3"/>
  <c r="FF1" i="3"/>
  <c r="FE2" i="3"/>
  <c r="FF35" i="3" l="1"/>
  <c r="FF36" i="3" s="1"/>
  <c r="FF63" i="3" s="1"/>
  <c r="FF62" i="3"/>
  <c r="FG1" i="3"/>
  <c r="FF2" i="3"/>
  <c r="FG35" i="3" l="1"/>
  <c r="FG36" i="3" s="1"/>
  <c r="FG63" i="3" s="1"/>
  <c r="FG62" i="3"/>
  <c r="FH1" i="3"/>
  <c r="FG2" i="3"/>
  <c r="FH35" i="3" l="1"/>
  <c r="FH36" i="3" s="1"/>
  <c r="FH63" i="3" s="1"/>
  <c r="FH62" i="3"/>
  <c r="FI1" i="3"/>
  <c r="FH2" i="3"/>
  <c r="FI35" i="3" l="1"/>
  <c r="FI36" i="3" s="1"/>
  <c r="FI63" i="3" s="1"/>
  <c r="FI62" i="3"/>
  <c r="FJ1" i="3"/>
  <c r="FI2" i="3"/>
  <c r="FJ35" i="3" l="1"/>
  <c r="FJ36" i="3" s="1"/>
  <c r="FJ63" i="3" s="1"/>
  <c r="FJ62" i="3"/>
  <c r="FK1" i="3"/>
  <c r="FJ2" i="3"/>
  <c r="FK35" i="3" l="1"/>
  <c r="FK36" i="3" s="1"/>
  <c r="FK63" i="3" s="1"/>
  <c r="FK62" i="3"/>
  <c r="FL1" i="3"/>
  <c r="FK2" i="3"/>
  <c r="FL35" i="3" l="1"/>
  <c r="FL36" i="3" s="1"/>
  <c r="FL63" i="3" s="1"/>
  <c r="FL62" i="3"/>
  <c r="FM1" i="3"/>
  <c r="FL2" i="3"/>
  <c r="FM35" i="3" l="1"/>
  <c r="FM36" i="3" s="1"/>
  <c r="FM63" i="3" s="1"/>
  <c r="FM62" i="3"/>
  <c r="FN1" i="3"/>
  <c r="FM2" i="3"/>
  <c r="FN35" i="3" l="1"/>
  <c r="FN36" i="3" s="1"/>
  <c r="FN63" i="3" s="1"/>
  <c r="FN62" i="3"/>
  <c r="FO1" i="3"/>
  <c r="FN2" i="3"/>
  <c r="FO35" i="3" l="1"/>
  <c r="FO36" i="3" s="1"/>
  <c r="FO63" i="3" s="1"/>
  <c r="FO62" i="3"/>
  <c r="FP1" i="3"/>
  <c r="FO2" i="3"/>
  <c r="FP35" i="3" l="1"/>
  <c r="FP36" i="3" s="1"/>
  <c r="FP63" i="3" s="1"/>
  <c r="FP62" i="3"/>
  <c r="FQ1" i="3"/>
  <c r="FP2" i="3"/>
  <c r="FQ35" i="3" l="1"/>
  <c r="FQ36" i="3" s="1"/>
  <c r="FQ63" i="3" s="1"/>
  <c r="FQ62" i="3"/>
  <c r="FR1" i="3"/>
  <c r="FQ2" i="3"/>
  <c r="FR35" i="3" l="1"/>
  <c r="FR36" i="3" s="1"/>
  <c r="FR63" i="3" s="1"/>
  <c r="FR62" i="3"/>
  <c r="FS1" i="3"/>
  <c r="FR2" i="3"/>
  <c r="FS35" i="3" l="1"/>
  <c r="FS36" i="3" s="1"/>
  <c r="FS63" i="3" s="1"/>
  <c r="FS62" i="3"/>
  <c r="FT1" i="3"/>
  <c r="FS2" i="3"/>
  <c r="FT35" i="3" l="1"/>
  <c r="FT36" i="3" s="1"/>
  <c r="FT63" i="3" s="1"/>
  <c r="FT62" i="3"/>
  <c r="FU1" i="3"/>
  <c r="FT2" i="3"/>
  <c r="FU35" i="3" l="1"/>
  <c r="FU36" i="3" s="1"/>
  <c r="FU63" i="3" s="1"/>
  <c r="FU62" i="3"/>
  <c r="FV1" i="3"/>
  <c r="FU2" i="3"/>
  <c r="FV35" i="3" l="1"/>
  <c r="FV36" i="3" s="1"/>
  <c r="FV63" i="3" s="1"/>
  <c r="FV62" i="3"/>
  <c r="FW1" i="3"/>
  <c r="FV2" i="3"/>
  <c r="FW35" i="3" l="1"/>
  <c r="FW36" i="3" s="1"/>
  <c r="FW63" i="3" s="1"/>
  <c r="FW62" i="3"/>
  <c r="FX1" i="3"/>
  <c r="FW2" i="3"/>
  <c r="FX35" i="3" l="1"/>
  <c r="FX36" i="3" s="1"/>
  <c r="FX63" i="3" s="1"/>
  <c r="FX62" i="3"/>
  <c r="FY1" i="3"/>
  <c r="FX2" i="3"/>
  <c r="FY35" i="3" l="1"/>
  <c r="FY36" i="3" s="1"/>
  <c r="FY63" i="3" s="1"/>
  <c r="FY62" i="3"/>
  <c r="FZ1" i="3"/>
  <c r="FY2" i="3"/>
  <c r="FZ35" i="3" l="1"/>
  <c r="FZ36" i="3" s="1"/>
  <c r="FZ63" i="3" s="1"/>
  <c r="FZ62" i="3"/>
  <c r="GA1" i="3"/>
  <c r="FZ2" i="3"/>
  <c r="GA35" i="3" l="1"/>
  <c r="GA36" i="3" s="1"/>
  <c r="GA63" i="3" s="1"/>
  <c r="GA62" i="3"/>
  <c r="GB1" i="3"/>
  <c r="GA2" i="3"/>
  <c r="GB35" i="3" l="1"/>
  <c r="GB36" i="3" s="1"/>
  <c r="GB63" i="3" s="1"/>
  <c r="GB62" i="3"/>
  <c r="GC1" i="3"/>
  <c r="GB2" i="3"/>
  <c r="GC35" i="3" l="1"/>
  <c r="GC36" i="3" s="1"/>
  <c r="GC63" i="3" s="1"/>
  <c r="GC62" i="3"/>
  <c r="GD1" i="3"/>
  <c r="GC2" i="3"/>
  <c r="GD35" i="3" l="1"/>
  <c r="GD36" i="3" s="1"/>
  <c r="GD63" i="3" s="1"/>
  <c r="GD62" i="3"/>
  <c r="GE1" i="3"/>
  <c r="GD2" i="3"/>
  <c r="GE35" i="3" l="1"/>
  <c r="GE36" i="3" s="1"/>
  <c r="GE63" i="3" s="1"/>
  <c r="GE62" i="3"/>
  <c r="GF1" i="3"/>
  <c r="GE2" i="3"/>
  <c r="GF35" i="3" l="1"/>
  <c r="GF36" i="3" s="1"/>
  <c r="GF63" i="3" s="1"/>
  <c r="GF62" i="3"/>
  <c r="GG1" i="3"/>
  <c r="GF2" i="3"/>
  <c r="GG35" i="3" l="1"/>
  <c r="GG36" i="3" s="1"/>
  <c r="GG63" i="3" s="1"/>
  <c r="GG62" i="3"/>
  <c r="GH1" i="3"/>
  <c r="GG2" i="3"/>
  <c r="GH35" i="3" l="1"/>
  <c r="GH36" i="3" s="1"/>
  <c r="GH63" i="3" s="1"/>
  <c r="GH62" i="3"/>
  <c r="GI1" i="3"/>
  <c r="GH2" i="3"/>
  <c r="GI35" i="3" l="1"/>
  <c r="GI36" i="3" s="1"/>
  <c r="GI63" i="3" s="1"/>
  <c r="GI62" i="3"/>
  <c r="GJ1" i="3"/>
  <c r="GI2" i="3"/>
  <c r="GJ35" i="3" l="1"/>
  <c r="GJ36" i="3" s="1"/>
  <c r="GJ63" i="3" s="1"/>
  <c r="GJ62" i="3"/>
  <c r="GK1" i="3"/>
  <c r="GJ2" i="3"/>
  <c r="GK35" i="3" l="1"/>
  <c r="GK36" i="3" s="1"/>
  <c r="GK63" i="3" s="1"/>
  <c r="GK62" i="3"/>
  <c r="GL1" i="3"/>
  <c r="GK2" i="3"/>
  <c r="GL35" i="3" l="1"/>
  <c r="GL36" i="3" s="1"/>
  <c r="GL63" i="3" s="1"/>
  <c r="GL62" i="3"/>
  <c r="GM1" i="3"/>
  <c r="GL2" i="3"/>
  <c r="GM35" i="3" l="1"/>
  <c r="GM36" i="3" s="1"/>
  <c r="GM63" i="3" s="1"/>
  <c r="GM62" i="3"/>
  <c r="GN1" i="3"/>
  <c r="GM2" i="3"/>
  <c r="GN35" i="3" l="1"/>
  <c r="GN36" i="3" s="1"/>
  <c r="GN63" i="3" s="1"/>
  <c r="GN62" i="3"/>
  <c r="GO1" i="3"/>
  <c r="GN2" i="3"/>
  <c r="GO35" i="3" l="1"/>
  <c r="GO36" i="3" s="1"/>
  <c r="GO63" i="3" s="1"/>
  <c r="GO62" i="3"/>
  <c r="GP1" i="3"/>
  <c r="GO2" i="3"/>
  <c r="GP35" i="3" l="1"/>
  <c r="GP36" i="3" s="1"/>
  <c r="GP63" i="3" s="1"/>
  <c r="GP62" i="3"/>
  <c r="GQ1" i="3"/>
  <c r="GP2" i="3"/>
  <c r="GQ35" i="3" l="1"/>
  <c r="GQ36" i="3" s="1"/>
  <c r="GQ63" i="3" s="1"/>
  <c r="GQ62" i="3"/>
  <c r="GR1" i="3"/>
  <c r="GQ2" i="3"/>
  <c r="GR35" i="3" l="1"/>
  <c r="GR36" i="3" s="1"/>
  <c r="GR63" i="3" s="1"/>
  <c r="GR62" i="3"/>
  <c r="GS1" i="3"/>
  <c r="GR2" i="3"/>
  <c r="GS35" i="3" l="1"/>
  <c r="GS36" i="3" s="1"/>
  <c r="GS63" i="3" s="1"/>
  <c r="GS62" i="3"/>
  <c r="GT1" i="3"/>
  <c r="GS2" i="3"/>
  <c r="GT35" i="3" l="1"/>
  <c r="GT36" i="3" s="1"/>
  <c r="GT63" i="3" s="1"/>
  <c r="GT62" i="3"/>
  <c r="GU1" i="3"/>
  <c r="GT2" i="3"/>
  <c r="GU35" i="3" l="1"/>
  <c r="GU36" i="3" s="1"/>
  <c r="GU63" i="3" s="1"/>
  <c r="GU62" i="3"/>
  <c r="GV1" i="3"/>
  <c r="GU2" i="3"/>
  <c r="GV35" i="3" l="1"/>
  <c r="GV36" i="3" s="1"/>
  <c r="GV63" i="3" s="1"/>
  <c r="GV62" i="3"/>
  <c r="GW1" i="3"/>
  <c r="GV2" i="3"/>
  <c r="GW35" i="3" l="1"/>
  <c r="GW36" i="3" s="1"/>
  <c r="GW63" i="3" s="1"/>
  <c r="GW62" i="3"/>
  <c r="GX1" i="3"/>
  <c r="GW2" i="3"/>
  <c r="GX35" i="3" l="1"/>
  <c r="GX36" i="3" s="1"/>
  <c r="GX63" i="3" s="1"/>
  <c r="GX62" i="3"/>
  <c r="GY1" i="3"/>
  <c r="GX2" i="3"/>
  <c r="GY35" i="3" l="1"/>
  <c r="GY36" i="3" s="1"/>
  <c r="GY63" i="3" s="1"/>
  <c r="GY62" i="3"/>
  <c r="GZ1" i="3"/>
  <c r="GY2" i="3"/>
  <c r="GZ35" i="3" l="1"/>
  <c r="GZ36" i="3" s="1"/>
  <c r="GZ63" i="3" s="1"/>
  <c r="GZ62" i="3"/>
  <c r="HA1" i="3"/>
  <c r="GZ2" i="3"/>
  <c r="HA35" i="3" l="1"/>
  <c r="HA36" i="3" s="1"/>
  <c r="HA63" i="3" s="1"/>
  <c r="HA62" i="3"/>
  <c r="HB1" i="3"/>
  <c r="HA2" i="3"/>
  <c r="HB35" i="3" l="1"/>
  <c r="HB36" i="3" s="1"/>
  <c r="HB63" i="3" s="1"/>
  <c r="HB62" i="3"/>
  <c r="HC1" i="3"/>
  <c r="HB2" i="3"/>
  <c r="HC35" i="3" l="1"/>
  <c r="HC36" i="3" s="1"/>
  <c r="HC63" i="3" s="1"/>
  <c r="HC62" i="3"/>
  <c r="HD1" i="3"/>
  <c r="HC2" i="3"/>
  <c r="HD35" i="3" l="1"/>
  <c r="HD36" i="3" s="1"/>
  <c r="HD63" i="3" s="1"/>
  <c r="HD62" i="3"/>
  <c r="HE1" i="3"/>
  <c r="HD2" i="3"/>
  <c r="HE35" i="3" l="1"/>
  <c r="HE36" i="3" s="1"/>
  <c r="HE63" i="3" s="1"/>
  <c r="HE62" i="3"/>
  <c r="HF1" i="3"/>
  <c r="HE2" i="3"/>
  <c r="HF35" i="3" l="1"/>
  <c r="HF36" i="3" s="1"/>
  <c r="HF63" i="3" s="1"/>
  <c r="HF62" i="3"/>
  <c r="HG1" i="3"/>
  <c r="HF2" i="3"/>
  <c r="HG35" i="3" l="1"/>
  <c r="HG36" i="3" s="1"/>
  <c r="HG63" i="3" s="1"/>
  <c r="HG62" i="3"/>
  <c r="HH1" i="3"/>
  <c r="HG2" i="3"/>
  <c r="HH35" i="3" l="1"/>
  <c r="HH36" i="3" s="1"/>
  <c r="HH63" i="3" s="1"/>
  <c r="HH62" i="3"/>
  <c r="HI1" i="3"/>
  <c r="HH2" i="3"/>
  <c r="HI35" i="3" l="1"/>
  <c r="HI36" i="3" s="1"/>
  <c r="HI63" i="3" s="1"/>
  <c r="HI62" i="3"/>
  <c r="HJ1" i="3"/>
  <c r="HI2" i="3"/>
  <c r="HJ35" i="3" l="1"/>
  <c r="HJ36" i="3" s="1"/>
  <c r="HJ63" i="3" s="1"/>
  <c r="HJ62" i="3"/>
  <c r="HK1" i="3"/>
  <c r="HJ2" i="3"/>
  <c r="HK35" i="3" l="1"/>
  <c r="HK36" i="3" s="1"/>
  <c r="HK63" i="3" s="1"/>
  <c r="HK62" i="3"/>
  <c r="HL1" i="3"/>
  <c r="HK2" i="3"/>
  <c r="HL35" i="3" l="1"/>
  <c r="HL36" i="3" s="1"/>
  <c r="HL63" i="3" s="1"/>
  <c r="HL62" i="3"/>
  <c r="HM1" i="3"/>
  <c r="HL2" i="3"/>
  <c r="HM35" i="3" l="1"/>
  <c r="HM36" i="3" s="1"/>
  <c r="HM63" i="3" s="1"/>
  <c r="HM62" i="3"/>
  <c r="HN1" i="3"/>
  <c r="HM2" i="3"/>
  <c r="HN35" i="3" l="1"/>
  <c r="HN36" i="3" s="1"/>
  <c r="HN63" i="3" s="1"/>
  <c r="HN62" i="3"/>
  <c r="HO1" i="3"/>
  <c r="HN2" i="3"/>
  <c r="HO35" i="3" l="1"/>
  <c r="HO36" i="3" s="1"/>
  <c r="HO63" i="3" s="1"/>
  <c r="HO62" i="3"/>
  <c r="HP1" i="3"/>
  <c r="HO2" i="3"/>
  <c r="HP35" i="3" l="1"/>
  <c r="HP36" i="3" s="1"/>
  <c r="HP63" i="3" s="1"/>
  <c r="HP62" i="3"/>
  <c r="HQ1" i="3"/>
  <c r="HP2" i="3"/>
  <c r="HQ35" i="3" l="1"/>
  <c r="HQ36" i="3" s="1"/>
  <c r="HQ63" i="3" s="1"/>
  <c r="HQ62" i="3"/>
  <c r="HR1" i="3"/>
  <c r="HQ2" i="3"/>
  <c r="HR35" i="3" l="1"/>
  <c r="HR36" i="3" s="1"/>
  <c r="HR63" i="3" s="1"/>
  <c r="HR62" i="3"/>
  <c r="HS1" i="3"/>
  <c r="HR2" i="3"/>
  <c r="HS35" i="3" l="1"/>
  <c r="HS36" i="3" s="1"/>
  <c r="HS63" i="3" s="1"/>
  <c r="HS62" i="3"/>
  <c r="HT1" i="3"/>
  <c r="HS2" i="3"/>
  <c r="HT35" i="3" l="1"/>
  <c r="HT36" i="3" s="1"/>
  <c r="HT63" i="3" s="1"/>
  <c r="HT62" i="3"/>
  <c r="HU1" i="3"/>
  <c r="HT2" i="3"/>
  <c r="HU35" i="3" l="1"/>
  <c r="HU36" i="3" s="1"/>
  <c r="HU63" i="3" s="1"/>
  <c r="HU62" i="3"/>
  <c r="HV1" i="3"/>
  <c r="HU2" i="3"/>
  <c r="HV35" i="3" l="1"/>
  <c r="HV36" i="3" s="1"/>
  <c r="HV63" i="3" s="1"/>
  <c r="HV62" i="3"/>
  <c r="HW1" i="3"/>
  <c r="HV2" i="3"/>
  <c r="HW35" i="3" l="1"/>
  <c r="HW36" i="3" s="1"/>
  <c r="HW63" i="3" s="1"/>
  <c r="HW62" i="3"/>
  <c r="HX1" i="3"/>
  <c r="HW2" i="3"/>
  <c r="HX35" i="3" l="1"/>
  <c r="HX36" i="3" s="1"/>
  <c r="HX63" i="3" s="1"/>
  <c r="HX62" i="3"/>
  <c r="HY1" i="3"/>
  <c r="HX2" i="3"/>
  <c r="HY35" i="3" l="1"/>
  <c r="HY36" i="3" s="1"/>
  <c r="HY63" i="3" s="1"/>
  <c r="HY62" i="3"/>
  <c r="HZ1" i="3"/>
  <c r="HY2" i="3"/>
  <c r="HZ35" i="3" l="1"/>
  <c r="HZ36" i="3" s="1"/>
  <c r="HZ63" i="3" s="1"/>
  <c r="HZ62" i="3"/>
  <c r="IA1" i="3"/>
  <c r="HZ2" i="3"/>
  <c r="IA35" i="3" l="1"/>
  <c r="IA36" i="3" s="1"/>
  <c r="IA63" i="3" s="1"/>
  <c r="IA62" i="3"/>
  <c r="IB1" i="3"/>
  <c r="IA2" i="3"/>
  <c r="IB35" i="3" l="1"/>
  <c r="IB36" i="3" s="1"/>
  <c r="IB63" i="3" s="1"/>
  <c r="IB62" i="3"/>
  <c r="IC1" i="3"/>
  <c r="IB2" i="3"/>
  <c r="IC35" i="3" l="1"/>
  <c r="IC36" i="3" s="1"/>
  <c r="IC63" i="3" s="1"/>
  <c r="IC62" i="3"/>
  <c r="ID1" i="3"/>
  <c r="IC2" i="3"/>
  <c r="ID35" i="3" l="1"/>
  <c r="ID36" i="3" s="1"/>
  <c r="ID63" i="3" s="1"/>
  <c r="ID62" i="3"/>
  <c r="IE1" i="3"/>
  <c r="ID2" i="3"/>
  <c r="IE35" i="3" l="1"/>
  <c r="IE36" i="3" s="1"/>
  <c r="IE63" i="3" s="1"/>
  <c r="IE62" i="3"/>
  <c r="IF1" i="3"/>
  <c r="IE2" i="3"/>
  <c r="IF35" i="3" l="1"/>
  <c r="IF36" i="3" s="1"/>
  <c r="IF63" i="3" s="1"/>
  <c r="IF62" i="3"/>
  <c r="IG1" i="3"/>
  <c r="IF2" i="3"/>
  <c r="IG35" i="3" l="1"/>
  <c r="IG36" i="3" s="1"/>
  <c r="IG63" i="3" s="1"/>
  <c r="IG62" i="3"/>
  <c r="IH1" i="3"/>
  <c r="IG2" i="3"/>
  <c r="IH35" i="3" l="1"/>
  <c r="IH36" i="3" s="1"/>
  <c r="IH63" i="3" s="1"/>
  <c r="IH62" i="3"/>
  <c r="II1" i="3"/>
  <c r="IH2" i="3"/>
  <c r="II35" i="3" l="1"/>
  <c r="II36" i="3" s="1"/>
  <c r="II63" i="3" s="1"/>
  <c r="II62" i="3"/>
  <c r="IJ1" i="3"/>
  <c r="II2" i="3"/>
  <c r="IJ35" i="3" l="1"/>
  <c r="IJ36" i="3" s="1"/>
  <c r="IJ63" i="3" s="1"/>
  <c r="IJ62" i="3"/>
  <c r="IK1" i="3"/>
  <c r="IJ2" i="3"/>
  <c r="IK35" i="3" l="1"/>
  <c r="IK36" i="3" s="1"/>
  <c r="IK63" i="3" s="1"/>
  <c r="IK62" i="3"/>
  <c r="IL1" i="3"/>
  <c r="IK2" i="3"/>
  <c r="IL35" i="3" l="1"/>
  <c r="IL36" i="3" s="1"/>
  <c r="IL63" i="3" s="1"/>
  <c r="IL62" i="3"/>
  <c r="IM1" i="3"/>
  <c r="IL2" i="3"/>
  <c r="IM35" i="3" l="1"/>
  <c r="IM36" i="3" s="1"/>
  <c r="IM63" i="3" s="1"/>
  <c r="IM62" i="3"/>
  <c r="IN1" i="3"/>
  <c r="IM2" i="3"/>
  <c r="IN35" i="3" l="1"/>
  <c r="IN36" i="3" s="1"/>
  <c r="IN63" i="3" s="1"/>
  <c r="IN62" i="3"/>
  <c r="IO1" i="3"/>
  <c r="IN2" i="3"/>
  <c r="IO35" i="3" l="1"/>
  <c r="IO36" i="3" s="1"/>
  <c r="IO63" i="3" s="1"/>
  <c r="IO62" i="3"/>
  <c r="IP1" i="3"/>
  <c r="IO2" i="3"/>
  <c r="IP35" i="3" l="1"/>
  <c r="IP36" i="3" s="1"/>
  <c r="IP63" i="3" s="1"/>
  <c r="IP62" i="3"/>
  <c r="IQ1" i="3"/>
  <c r="IP2" i="3"/>
  <c r="IQ35" i="3" l="1"/>
  <c r="IQ36" i="3" s="1"/>
  <c r="IQ63" i="3" s="1"/>
  <c r="IQ62" i="3"/>
  <c r="IR1" i="3"/>
  <c r="IQ2" i="3"/>
  <c r="IR35" i="3" l="1"/>
  <c r="IR36" i="3" s="1"/>
  <c r="IR63" i="3" s="1"/>
  <c r="IR62" i="3"/>
  <c r="IS1" i="3"/>
  <c r="IR2" i="3"/>
  <c r="IS35" i="3" l="1"/>
  <c r="IS36" i="3" s="1"/>
  <c r="IS63" i="3" s="1"/>
  <c r="IS62" i="3"/>
  <c r="IT1" i="3"/>
  <c r="IS2" i="3"/>
  <c r="IT35" i="3" l="1"/>
  <c r="IT36" i="3" s="1"/>
  <c r="IT63" i="3" s="1"/>
  <c r="IT62" i="3"/>
  <c r="IU1" i="3"/>
  <c r="IT2" i="3"/>
  <c r="IU35" i="3" l="1"/>
  <c r="IU36" i="3" s="1"/>
  <c r="IU63" i="3" s="1"/>
  <c r="IU62" i="3"/>
  <c r="IV1" i="3"/>
  <c r="IU2" i="3"/>
  <c r="IV35" i="3" l="1"/>
  <c r="IV36" i="3" s="1"/>
  <c r="IV63" i="3" s="1"/>
  <c r="IV62" i="3"/>
  <c r="IW1" i="3"/>
  <c r="IV2" i="3"/>
  <c r="IW35" i="3" l="1"/>
  <c r="IW36" i="3" s="1"/>
  <c r="IW63" i="3" s="1"/>
  <c r="IW62" i="3"/>
  <c r="IX1" i="3"/>
  <c r="IW2" i="3"/>
  <c r="IX35" i="3" l="1"/>
  <c r="IX36" i="3" s="1"/>
  <c r="IX63" i="3" s="1"/>
  <c r="IX62" i="3"/>
  <c r="IY1" i="3"/>
  <c r="IX2" i="3"/>
  <c r="IY35" i="3" l="1"/>
  <c r="IY36" i="3" s="1"/>
  <c r="IY63" i="3" s="1"/>
  <c r="IY62" i="3"/>
  <c r="IZ1" i="3"/>
  <c r="IY2" i="3"/>
  <c r="IZ35" i="3" l="1"/>
  <c r="IZ36" i="3" s="1"/>
  <c r="IZ63" i="3" s="1"/>
  <c r="IZ62" i="3"/>
  <c r="JA1" i="3"/>
  <c r="IZ2" i="3"/>
  <c r="JA35" i="3" l="1"/>
  <c r="JA36" i="3" s="1"/>
  <c r="JA63" i="3" s="1"/>
  <c r="JA62" i="3"/>
  <c r="JB1" i="3"/>
  <c r="JA2" i="3"/>
  <c r="JB35" i="3" l="1"/>
  <c r="JB36" i="3" s="1"/>
  <c r="JB63" i="3" s="1"/>
  <c r="JB62" i="3"/>
  <c r="JC1" i="3"/>
  <c r="JB2" i="3"/>
  <c r="JC35" i="3" l="1"/>
  <c r="JC36" i="3" s="1"/>
  <c r="JC63" i="3" s="1"/>
  <c r="JC62" i="3"/>
  <c r="JD1" i="3"/>
  <c r="JC2" i="3"/>
  <c r="JD35" i="3" l="1"/>
  <c r="JD36" i="3" s="1"/>
  <c r="JD63" i="3" s="1"/>
  <c r="JD62" i="3"/>
  <c r="JE1" i="3"/>
  <c r="JD2" i="3"/>
  <c r="JE35" i="3" l="1"/>
  <c r="JE36" i="3" s="1"/>
  <c r="JE63" i="3" s="1"/>
  <c r="JE62" i="3"/>
  <c r="JF1" i="3"/>
  <c r="JE2" i="3"/>
  <c r="JF35" i="3" l="1"/>
  <c r="JF36" i="3" s="1"/>
  <c r="JF63" i="3" s="1"/>
  <c r="JF62" i="3"/>
  <c r="JG1" i="3"/>
  <c r="JF2" i="3"/>
  <c r="JG35" i="3" l="1"/>
  <c r="JG36" i="3" s="1"/>
  <c r="JG63" i="3" s="1"/>
  <c r="JG62" i="3"/>
  <c r="JH1" i="3"/>
  <c r="JG2" i="3"/>
  <c r="JH35" i="3" l="1"/>
  <c r="JH36" i="3" s="1"/>
  <c r="JH63" i="3" s="1"/>
  <c r="JH62" i="3"/>
  <c r="JI1" i="3"/>
  <c r="JH2" i="3"/>
  <c r="JI35" i="3" l="1"/>
  <c r="JI36" i="3" s="1"/>
  <c r="JI63" i="3" s="1"/>
  <c r="JI62" i="3"/>
  <c r="JJ1" i="3"/>
  <c r="JI2" i="3"/>
  <c r="JJ35" i="3" l="1"/>
  <c r="JJ36" i="3" s="1"/>
  <c r="JJ63" i="3" s="1"/>
  <c r="JJ62" i="3"/>
  <c r="JK1" i="3"/>
  <c r="JJ2" i="3"/>
  <c r="JK35" i="3" l="1"/>
  <c r="JK36" i="3" s="1"/>
  <c r="JK63" i="3" s="1"/>
  <c r="JK62" i="3"/>
  <c r="JL1" i="3"/>
  <c r="JK2" i="3"/>
  <c r="JL35" i="3" l="1"/>
  <c r="JL36" i="3" s="1"/>
  <c r="JL63" i="3" s="1"/>
  <c r="JL62" i="3"/>
  <c r="JM1" i="3"/>
  <c r="JL2" i="3"/>
  <c r="JM35" i="3" l="1"/>
  <c r="JM36" i="3" s="1"/>
  <c r="JM63" i="3" s="1"/>
  <c r="JM62" i="3"/>
  <c r="JN1" i="3"/>
  <c r="JM2" i="3"/>
  <c r="JN35" i="3" l="1"/>
  <c r="JN36" i="3" s="1"/>
  <c r="JN63" i="3" s="1"/>
  <c r="JN62" i="3"/>
  <c r="JO1" i="3"/>
  <c r="JN2" i="3"/>
  <c r="JO35" i="3" l="1"/>
  <c r="JO36" i="3" s="1"/>
  <c r="JO63" i="3" s="1"/>
  <c r="JO62" i="3"/>
  <c r="JP1" i="3"/>
  <c r="JO2" i="3"/>
  <c r="JP35" i="3" l="1"/>
  <c r="JP36" i="3" s="1"/>
  <c r="JP63" i="3" s="1"/>
  <c r="JP62" i="3"/>
  <c r="JQ1" i="3"/>
  <c r="JP2" i="3"/>
  <c r="JQ35" i="3" l="1"/>
  <c r="JQ36" i="3" s="1"/>
  <c r="JQ63" i="3" s="1"/>
  <c r="JQ62" i="3"/>
  <c r="JR1" i="3"/>
  <c r="JQ2" i="3"/>
  <c r="JR35" i="3" l="1"/>
  <c r="JR36" i="3" s="1"/>
  <c r="JR63" i="3" s="1"/>
  <c r="JR62" i="3"/>
  <c r="JS1" i="3"/>
  <c r="JR2" i="3"/>
  <c r="JS35" i="3" l="1"/>
  <c r="JS36" i="3" s="1"/>
  <c r="JS63" i="3" s="1"/>
  <c r="JS62" i="3"/>
  <c r="JT1" i="3"/>
  <c r="JS2" i="3"/>
  <c r="JT35" i="3" l="1"/>
  <c r="JT36" i="3" s="1"/>
  <c r="JT63" i="3" s="1"/>
  <c r="JT62" i="3"/>
  <c r="JU1" i="3"/>
  <c r="JT2" i="3"/>
  <c r="JU35" i="3" l="1"/>
  <c r="JU36" i="3" s="1"/>
  <c r="JU63" i="3" s="1"/>
  <c r="JU62" i="3"/>
  <c r="JV1" i="3"/>
  <c r="JU2" i="3"/>
  <c r="JV35" i="3" l="1"/>
  <c r="JV36" i="3" s="1"/>
  <c r="JV63" i="3" s="1"/>
  <c r="JV62" i="3"/>
  <c r="JW1" i="3"/>
  <c r="JV2" i="3"/>
  <c r="JW35" i="3" l="1"/>
  <c r="JW36" i="3" s="1"/>
  <c r="JW63" i="3" s="1"/>
  <c r="JW62" i="3"/>
  <c r="JX1" i="3"/>
  <c r="JW2" i="3"/>
  <c r="JX35" i="3" l="1"/>
  <c r="JX36" i="3" s="1"/>
  <c r="JX63" i="3" s="1"/>
  <c r="JX62" i="3"/>
  <c r="JY1" i="3"/>
  <c r="JX2" i="3"/>
  <c r="JY35" i="3" l="1"/>
  <c r="JY36" i="3" s="1"/>
  <c r="JY63" i="3" s="1"/>
  <c r="JY62" i="3"/>
  <c r="JZ1" i="3"/>
  <c r="JY2" i="3"/>
  <c r="JZ35" i="3" l="1"/>
  <c r="JZ36" i="3" s="1"/>
  <c r="JZ63" i="3" s="1"/>
  <c r="JZ62" i="3"/>
  <c r="KA1" i="3"/>
  <c r="JZ2" i="3"/>
  <c r="KA35" i="3" l="1"/>
  <c r="KA36" i="3" s="1"/>
  <c r="KA63" i="3" s="1"/>
  <c r="KA62" i="3"/>
  <c r="KB1" i="3"/>
  <c r="KA2" i="3"/>
  <c r="KB35" i="3" l="1"/>
  <c r="KB36" i="3" s="1"/>
  <c r="KB63" i="3" s="1"/>
  <c r="KB62" i="3"/>
  <c r="KC1" i="3"/>
  <c r="KB2" i="3"/>
  <c r="KC35" i="3" l="1"/>
  <c r="KC36" i="3" s="1"/>
  <c r="KC63" i="3" s="1"/>
  <c r="KC62" i="3"/>
  <c r="KD1" i="3"/>
  <c r="KC2" i="3"/>
  <c r="KD35" i="3" l="1"/>
  <c r="KD36" i="3" s="1"/>
  <c r="KD63" i="3" s="1"/>
  <c r="KD62" i="3"/>
  <c r="KE1" i="3"/>
  <c r="KD2" i="3"/>
  <c r="KE35" i="3" l="1"/>
  <c r="KE36" i="3" s="1"/>
  <c r="KE63" i="3" s="1"/>
  <c r="KE62" i="3"/>
  <c r="KF1" i="3"/>
  <c r="KE2" i="3"/>
  <c r="KF35" i="3" l="1"/>
  <c r="KF36" i="3" s="1"/>
  <c r="KF63" i="3" s="1"/>
  <c r="KF62" i="3"/>
  <c r="KG1" i="3"/>
  <c r="KF2" i="3"/>
  <c r="KG35" i="3" l="1"/>
  <c r="KG36" i="3" s="1"/>
  <c r="KG63" i="3" s="1"/>
  <c r="KG62" i="3"/>
  <c r="KH1" i="3"/>
  <c r="KG2" i="3"/>
  <c r="KH35" i="3" l="1"/>
  <c r="KH36" i="3" s="1"/>
  <c r="KH63" i="3" s="1"/>
  <c r="KH62" i="3"/>
  <c r="KI1" i="3"/>
  <c r="KH2" i="3"/>
  <c r="KI35" i="3" l="1"/>
  <c r="KI36" i="3" s="1"/>
  <c r="KI63" i="3" s="1"/>
  <c r="KI62" i="3"/>
  <c r="KJ1" i="3"/>
  <c r="KI2" i="3"/>
  <c r="KJ35" i="3" l="1"/>
  <c r="KJ36" i="3" s="1"/>
  <c r="KJ63" i="3" s="1"/>
  <c r="KJ62" i="3"/>
  <c r="KK1" i="3"/>
  <c r="KJ2" i="3"/>
  <c r="KK35" i="3" l="1"/>
  <c r="KK36" i="3" s="1"/>
  <c r="KK63" i="3" s="1"/>
  <c r="KK62" i="3"/>
  <c r="KL1" i="3"/>
  <c r="KK2" i="3"/>
  <c r="KL35" i="3" l="1"/>
  <c r="KL36" i="3" s="1"/>
  <c r="KL63" i="3" s="1"/>
  <c r="KL62" i="3"/>
  <c r="KM1" i="3"/>
  <c r="KL2" i="3"/>
  <c r="KM35" i="3" l="1"/>
  <c r="KM36" i="3" s="1"/>
  <c r="KM63" i="3" s="1"/>
  <c r="KM62" i="3"/>
  <c r="KN1" i="3"/>
  <c r="KM2" i="3"/>
  <c r="KN35" i="3" l="1"/>
  <c r="KN36" i="3" s="1"/>
  <c r="KN63" i="3" s="1"/>
  <c r="KN62" i="3"/>
  <c r="KO1" i="3"/>
  <c r="KN2" i="3"/>
  <c r="KO35" i="3" l="1"/>
  <c r="KO36" i="3" s="1"/>
  <c r="KO63" i="3" s="1"/>
  <c r="KO62" i="3"/>
  <c r="KP1" i="3"/>
  <c r="KO2" i="3"/>
  <c r="KP35" i="3" l="1"/>
  <c r="KP36" i="3" s="1"/>
  <c r="KP63" i="3" s="1"/>
  <c r="KP62" i="3"/>
  <c r="KQ1" i="3"/>
  <c r="KP2" i="3"/>
  <c r="KQ35" i="3" l="1"/>
  <c r="KQ36" i="3" s="1"/>
  <c r="KQ63" i="3" s="1"/>
  <c r="KQ62" i="3"/>
  <c r="KR1" i="3"/>
  <c r="KQ2" i="3"/>
  <c r="KR35" i="3" l="1"/>
  <c r="KR36" i="3" s="1"/>
  <c r="KR63" i="3" s="1"/>
  <c r="KR62" i="3"/>
  <c r="KS1" i="3"/>
  <c r="KR2" i="3"/>
  <c r="KS35" i="3" l="1"/>
  <c r="KS36" i="3" s="1"/>
  <c r="KS63" i="3" s="1"/>
  <c r="KS62" i="3"/>
  <c r="KT1" i="3"/>
  <c r="KS2" i="3"/>
  <c r="KT35" i="3" l="1"/>
  <c r="KT36" i="3" s="1"/>
  <c r="KT63" i="3" s="1"/>
  <c r="KT62" i="3"/>
  <c r="KU1" i="3"/>
  <c r="KT2" i="3"/>
  <c r="KU35" i="3" l="1"/>
  <c r="KU36" i="3" s="1"/>
  <c r="KU63" i="3" s="1"/>
  <c r="KU62" i="3"/>
  <c r="KV1" i="3"/>
  <c r="KU2" i="3"/>
  <c r="KV35" i="3" l="1"/>
  <c r="KV36" i="3" s="1"/>
  <c r="KV63" i="3" s="1"/>
  <c r="KV62" i="3"/>
  <c r="KW1" i="3"/>
  <c r="KV2" i="3"/>
  <c r="KW35" i="3" l="1"/>
  <c r="KW36" i="3" s="1"/>
  <c r="KW63" i="3" s="1"/>
  <c r="KW62" i="3"/>
  <c r="KX1" i="3"/>
  <c r="KW2" i="3"/>
  <c r="KX35" i="3" l="1"/>
  <c r="KX36" i="3" s="1"/>
  <c r="KX63" i="3" s="1"/>
  <c r="KX62" i="3"/>
  <c r="KY1" i="3"/>
  <c r="KX2" i="3"/>
  <c r="KY35" i="3" l="1"/>
  <c r="KY36" i="3" s="1"/>
  <c r="KY63" i="3" s="1"/>
  <c r="KY62" i="3"/>
  <c r="KZ1" i="3"/>
  <c r="KY2" i="3"/>
  <c r="KZ35" i="3" l="1"/>
  <c r="KZ36" i="3" s="1"/>
  <c r="KZ63" i="3" s="1"/>
  <c r="KZ62" i="3"/>
  <c r="LA1" i="3"/>
  <c r="KZ2" i="3"/>
  <c r="LA35" i="3" l="1"/>
  <c r="LA36" i="3" s="1"/>
  <c r="LA63" i="3" s="1"/>
  <c r="LA62" i="3"/>
  <c r="LB1" i="3"/>
  <c r="LA2" i="3"/>
  <c r="LB35" i="3" l="1"/>
  <c r="LB36" i="3" s="1"/>
  <c r="LB63" i="3" s="1"/>
  <c r="LB62" i="3"/>
  <c r="LC1" i="3"/>
  <c r="LB2" i="3"/>
  <c r="LC35" i="3" l="1"/>
  <c r="LC36" i="3" s="1"/>
  <c r="LC63" i="3" s="1"/>
  <c r="LC62" i="3"/>
  <c r="LD1" i="3"/>
  <c r="LC2" i="3"/>
  <c r="LD35" i="3" l="1"/>
  <c r="LD36" i="3" s="1"/>
  <c r="LD63" i="3" s="1"/>
  <c r="LD62" i="3"/>
  <c r="LE1" i="3"/>
  <c r="LD2" i="3"/>
  <c r="LE35" i="3" l="1"/>
  <c r="LE36" i="3" s="1"/>
  <c r="LE63" i="3" s="1"/>
  <c r="LE62" i="3"/>
  <c r="LF1" i="3"/>
  <c r="LE2" i="3"/>
  <c r="LF35" i="3" l="1"/>
  <c r="LF36" i="3" s="1"/>
  <c r="LF63" i="3" s="1"/>
  <c r="LF62" i="3"/>
  <c r="LG1" i="3"/>
  <c r="LF2" i="3"/>
  <c r="LG35" i="3" l="1"/>
  <c r="LG36" i="3" s="1"/>
  <c r="LG63" i="3" s="1"/>
  <c r="LG62" i="3"/>
  <c r="LH1" i="3"/>
  <c r="LG2" i="3"/>
  <c r="LH35" i="3" l="1"/>
  <c r="LH36" i="3" s="1"/>
  <c r="LH63" i="3" s="1"/>
  <c r="LH62" i="3"/>
  <c r="LI1" i="3"/>
  <c r="LH2" i="3"/>
  <c r="LI35" i="3" l="1"/>
  <c r="LI36" i="3" s="1"/>
  <c r="LI63" i="3" s="1"/>
  <c r="LI62" i="3"/>
  <c r="LJ1" i="3"/>
  <c r="LI2" i="3"/>
  <c r="LJ35" i="3" l="1"/>
  <c r="LJ36" i="3" s="1"/>
  <c r="LJ63" i="3" s="1"/>
  <c r="LJ62" i="3"/>
  <c r="LK1" i="3"/>
  <c r="LJ2" i="3"/>
  <c r="LK35" i="3" l="1"/>
  <c r="LK36" i="3" s="1"/>
  <c r="LK63" i="3" s="1"/>
  <c r="LK62" i="3"/>
  <c r="LL1" i="3"/>
  <c r="LK2" i="3"/>
  <c r="LL35" i="3" l="1"/>
  <c r="LL36" i="3" s="1"/>
  <c r="LL63" i="3" s="1"/>
  <c r="LL62" i="3"/>
  <c r="LM1" i="3"/>
  <c r="LL2" i="3"/>
  <c r="LM35" i="3" l="1"/>
  <c r="LM36" i="3" s="1"/>
  <c r="LM63" i="3" s="1"/>
  <c r="LM62" i="3"/>
  <c r="LN1" i="3"/>
  <c r="LM2" i="3"/>
  <c r="LN35" i="3" l="1"/>
  <c r="LN36" i="3" s="1"/>
  <c r="LN63" i="3" s="1"/>
  <c r="LN62" i="3"/>
  <c r="LO1" i="3"/>
  <c r="LN2" i="3"/>
  <c r="LO35" i="3" l="1"/>
  <c r="LO36" i="3" s="1"/>
  <c r="LO63" i="3" s="1"/>
  <c r="LO62" i="3"/>
  <c r="LP1" i="3"/>
  <c r="LO2" i="3"/>
  <c r="LP35" i="3" l="1"/>
  <c r="LP36" i="3" s="1"/>
  <c r="LP63" i="3" s="1"/>
  <c r="LP62" i="3"/>
  <c r="LQ1" i="3"/>
  <c r="LP2" i="3"/>
  <c r="LQ35" i="3" l="1"/>
  <c r="LQ36" i="3" s="1"/>
  <c r="LQ63" i="3" s="1"/>
  <c r="LQ62" i="3"/>
  <c r="LR1" i="3"/>
  <c r="LQ2" i="3"/>
  <c r="LR35" i="3" l="1"/>
  <c r="LR36" i="3" s="1"/>
  <c r="LR63" i="3" s="1"/>
  <c r="LR62" i="3"/>
  <c r="LS1" i="3"/>
  <c r="LR2" i="3"/>
  <c r="LS35" i="3" l="1"/>
  <c r="LS36" i="3" s="1"/>
  <c r="LS63" i="3" s="1"/>
  <c r="LS62" i="3"/>
  <c r="LT1" i="3"/>
  <c r="LS2" i="3"/>
  <c r="LT35" i="3" l="1"/>
  <c r="LT36" i="3" s="1"/>
  <c r="LT63" i="3" s="1"/>
  <c r="LT62" i="3"/>
  <c r="LU1" i="3"/>
  <c r="LT2" i="3"/>
  <c r="LU35" i="3" l="1"/>
  <c r="LU36" i="3" s="1"/>
  <c r="LU63" i="3" s="1"/>
  <c r="LU62" i="3"/>
  <c r="LV1" i="3"/>
  <c r="LU2" i="3"/>
  <c r="LV35" i="3" l="1"/>
  <c r="LV36" i="3" s="1"/>
  <c r="LV63" i="3" s="1"/>
  <c r="LV62" i="3"/>
  <c r="LW1" i="3"/>
  <c r="LV2" i="3"/>
  <c r="LW35" i="3" l="1"/>
  <c r="LW36" i="3" s="1"/>
  <c r="LW63" i="3" s="1"/>
  <c r="LW62" i="3"/>
  <c r="LX1" i="3"/>
  <c r="LW2" i="3"/>
  <c r="LX35" i="3" l="1"/>
  <c r="LX36" i="3" s="1"/>
  <c r="LX63" i="3" s="1"/>
  <c r="LX62" i="3"/>
  <c r="LY1" i="3"/>
  <c r="LX2" i="3"/>
  <c r="LY35" i="3" l="1"/>
  <c r="LY36" i="3" s="1"/>
  <c r="LY63" i="3" s="1"/>
  <c r="LY62" i="3"/>
  <c r="LZ1" i="3"/>
  <c r="LY2" i="3"/>
  <c r="LZ35" i="3" l="1"/>
  <c r="LZ36" i="3" s="1"/>
  <c r="LZ63" i="3" s="1"/>
  <c r="LZ62" i="3"/>
  <c r="MA1" i="3"/>
  <c r="LZ2" i="3"/>
  <c r="MA35" i="3" l="1"/>
  <c r="MA36" i="3" s="1"/>
  <c r="MA63" i="3" s="1"/>
  <c r="MA62" i="3"/>
  <c r="MB1" i="3"/>
  <c r="MA2" i="3"/>
  <c r="MB35" i="3" l="1"/>
  <c r="MB36" i="3" s="1"/>
  <c r="MB63" i="3" s="1"/>
  <c r="MB62" i="3"/>
  <c r="MC1" i="3"/>
  <c r="MB2" i="3"/>
  <c r="MC35" i="3" l="1"/>
  <c r="MC36" i="3" s="1"/>
  <c r="MC63" i="3" s="1"/>
  <c r="MC62" i="3"/>
  <c r="MD1" i="3"/>
  <c r="MC2" i="3"/>
  <c r="MD35" i="3" l="1"/>
  <c r="MD36" i="3" s="1"/>
  <c r="MD63" i="3" s="1"/>
  <c r="MD62" i="3"/>
  <c r="ME1" i="3"/>
  <c r="MD2" i="3"/>
  <c r="ME35" i="3" l="1"/>
  <c r="ME36" i="3" s="1"/>
  <c r="ME63" i="3" s="1"/>
  <c r="ME62" i="3"/>
  <c r="MF1" i="3"/>
  <c r="ME2" i="3"/>
  <c r="R7" i="3"/>
  <c r="MF35" i="3" l="1"/>
  <c r="MF36" i="3" s="1"/>
  <c r="MF63" i="3" s="1"/>
  <c r="MF62" i="3"/>
  <c r="MF2" i="3"/>
</calcChain>
</file>

<file path=xl/sharedStrings.xml><?xml version="1.0" encoding="utf-8"?>
<sst xmlns="http://schemas.openxmlformats.org/spreadsheetml/2006/main" count="1069" uniqueCount="428">
  <si>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</si>
  <si>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</si>
  <si>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</si>
  <si>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</si>
  <si>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</si>
  <si>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</si>
  <si>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</si>
  <si>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</si>
  <si>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</si>
  <si>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</si>
  <si>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</si>
  <si>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</si>
  <si>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</si>
  <si>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</si>
  <si>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</si>
  <si>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</si>
  <si>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</si>
  <si>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</si>
  <si>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</si>
  <si>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</si>
  <si>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</si>
  <si>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</si>
  <si>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</si>
  <si>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</si>
  <si>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</si>
  <si>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</si>
  <si>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</si>
  <si>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</si>
  <si>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</si>
  <si>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</si>
  <si>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</si>
  <si>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</si>
  <si>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</si>
  <si>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</si>
  <si>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</si>
  <si>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</si>
  <si>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</si>
  <si>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</si>
  <si>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</si>
  <si>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</si>
  <si>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</si>
  <si>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</si>
  <si>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</si>
  <si>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</si>
  <si>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</si>
  <si>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</si>
  <si>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</si>
  <si>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</si>
  <si>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</si>
  <si>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</si>
  <si>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</si>
  <si>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</si>
  <si>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</si>
  <si>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</si>
  <si>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</si>
  <si>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</si>
  <si>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</si>
  <si>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</si>
  <si>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</si>
  <si>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</si>
  <si>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</si>
  <si>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</si>
  <si>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</si>
  <si>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</si>
  <si>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</si>
  <si>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</si>
  <si>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</si>
  <si>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</si>
  <si>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</si>
  <si>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</si>
  <si>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</si>
  <si>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</si>
  <si>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</si>
  <si>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</si>
  <si>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</si>
  <si>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</si>
  <si>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</si>
  <si>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</si>
  <si>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</si>
  <si>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</si>
  <si>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</si>
  <si>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</si>
  <si>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</si>
  <si>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</si>
  <si>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</si>
  <si>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</si>
  <si>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</si>
  <si>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</si>
  <si>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</si>
  <si>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</si>
  <si>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</si>
  <si>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</si>
  <si>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</si>
  <si>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</si>
  <si>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</si>
  <si>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</si>
  <si>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</si>
  <si>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</si>
  <si>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</si>
  <si>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</si>
  <si>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</si>
  <si>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</si>
  <si>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</si>
  <si>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</si>
  <si>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</si>
  <si>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</si>
  <si>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</si>
  <si>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</si>
  <si>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</si>
  <si>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</si>
  <si>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</si>
  <si>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</si>
  <si>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</si>
  <si>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</si>
  <si>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</si>
  <si>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</si>
  <si>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</si>
  <si>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</si>
  <si>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</si>
  <si>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</si>
  <si>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</si>
  <si>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</si>
  <si>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</si>
  <si>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</si>
  <si>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</si>
  <si>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</si>
  <si>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</si>
  <si>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</si>
  <si>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</si>
  <si>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</si>
  <si>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</si>
  <si>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</si>
  <si>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</si>
  <si>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</si>
  <si>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</si>
  <si>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</si>
  <si>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</si>
  <si>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</si>
  <si>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</si>
  <si>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</si>
  <si>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</si>
  <si>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</si>
  <si>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</si>
  <si>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</si>
  <si>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</si>
  <si>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</si>
  <si>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</si>
  <si>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</si>
  <si>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</si>
  <si>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</si>
  <si>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</si>
  <si>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</si>
  <si>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</si>
  <si>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</si>
  <si>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</si>
  <si>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</si>
  <si>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</si>
  <si>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</si>
  <si>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</si>
  <si>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</si>
  <si>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</si>
  <si>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</si>
  <si>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</si>
  <si>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</si>
  <si>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</si>
  <si>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</si>
  <si>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</si>
  <si>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</si>
  <si>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</si>
  <si>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</si>
  <si>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</si>
  <si>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</si>
  <si>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</si>
  <si>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</si>
  <si>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</si>
  <si>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</si>
  <si>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</si>
  <si>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</si>
  <si>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</si>
  <si>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</si>
  <si>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</si>
  <si>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</si>
  <si>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</si>
  <si>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</si>
  <si>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</si>
  <si>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</si>
  <si>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</si>
  <si>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</si>
  <si>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</si>
  <si>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</si>
  <si>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</si>
  <si>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</si>
  <si>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</si>
  <si>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</si>
  <si>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</si>
  <si>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</si>
  <si>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</si>
  <si>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</si>
  <si>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</si>
  <si>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</si>
  <si>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</si>
  <si>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</si>
  <si>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</si>
  <si>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</si>
  <si>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</si>
  <si>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</si>
  <si>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</si>
  <si>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</si>
  <si>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</si>
  <si>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</si>
  <si>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</si>
  <si>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</si>
  <si>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</si>
  <si>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</si>
  <si>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</si>
  <si>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</si>
  <si>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</si>
  <si>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</si>
  <si>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</si>
  <si>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</si>
  <si>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</si>
  <si>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</si>
  <si>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</si>
  <si>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</si>
  <si>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</si>
  <si>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</si>
  <si>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</si>
  <si>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</si>
  <si>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</si>
  <si>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</si>
  <si>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</si>
  <si>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</si>
  <si>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</si>
  <si>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</si>
  <si>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</si>
  <si>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</si>
  <si>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</si>
  <si>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</si>
  <si>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</si>
  <si>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</si>
  <si>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</si>
  <si>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</si>
  <si>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</si>
  <si>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</si>
  <si>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</si>
  <si>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</si>
  <si>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</si>
  <si>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</si>
  <si>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</si>
  <si>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</si>
  <si>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</si>
  <si>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</si>
  <si>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</si>
  <si>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</si>
  <si>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</si>
  <si>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</si>
  <si>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</si>
  <si>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</si>
  <si>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</si>
  <si>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</si>
  <si>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</si>
  <si>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</si>
  <si>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</si>
  <si>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</si>
  <si>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</si>
  <si>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</si>
  <si>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</si>
  <si>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</si>
  <si>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</si>
  <si>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</si>
  <si>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</si>
  <si>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</si>
  <si>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</si>
  <si>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</si>
  <si>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</si>
  <si>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</si>
  <si>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</si>
  <si>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</si>
  <si>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</si>
  <si>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</si>
  <si>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</si>
  <si>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</si>
  <si>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</si>
  <si>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</si>
  <si>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</si>
  <si>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</si>
  <si>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</si>
  <si>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</si>
  <si>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</si>
  <si>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</si>
  <si>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</si>
  <si>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</si>
  <si>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</si>
  <si>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</si>
  <si>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</si>
  <si>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</si>
  <si>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</si>
  <si>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</si>
  <si>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</si>
  <si>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</si>
  <si>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</si>
  <si>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</si>
  <si>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</si>
  <si>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</si>
  <si>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Schulter + Hüfte zurück beim Ausholen.
Nicht überdrehen beim Schlag -&gt; Gerade drehen, dann klappen.</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</si>
  <si>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</si>
  <si>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</si>
  <si>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</si>
  <si>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</si>
  <si>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</si>
  <si>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</si>
  <si>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</si>
  <si>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</si>
  <si>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Weniger Schrittstellung, schulterbreit stehen.
Ohne Ellbogen aufspielen.
Hoch bleiben beim Schupfer.</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</si>
  <si>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</si>
  <si>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</si>
  <si>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</si>
  <si>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</si>
  <si>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</si>
  <si>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</si>
  <si>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</si>
  <si>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</si>
  <si>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</si>
  <si>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</si>
  <si>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</si>
  <si>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</si>
  <si>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</si>
  <si>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</si>
  <si>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</si>
  <si>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</si>
  <si>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</si>
  <si>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</si>
  <si>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</si>
  <si>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</si>
  <si>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</si>
  <si>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</si>
  <si>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</si>
  <si>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</si>
  <si>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</si>
  <si>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</si>
  <si>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</si>
  <si>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</si>
  <si>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</si>
  <si>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</si>
  <si>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</si>
  <si>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</si>
  <si>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</si>
  <si>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</si>
  <si>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</si>
  <si>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</si>
  <si>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</si>
  <si>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</si>
  <si>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</si>
  <si>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</si>
  <si>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</si>
  <si>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</si>
  <si>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</si>
  <si>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</si>
  <si>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Knie am Boden??? -&gt; Abrollen!
Cool bleiben.</t>
  </si>
  <si>
    <t>Ohne Ellbogen aufspielen -&gt; immer hoch bleiben, auch beim 6er.</t>
  </si>
  <si>
    <t>Ball an der Schnur</t>
  </si>
  <si>
    <t>Draufhauen!
Mutig bleiben - Einsatz zeigen.</t>
  </si>
  <si>
    <t>Langer Anlauf =&gt; Tempo.
Hintern runter schon beim 1. Schritt - der Sand ist kein Sprungbrett.
Hinter dem Ball bleiben!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</si>
  <si>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</si>
  <si>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</si>
  <si>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</si>
  <si>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</si>
  <si>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</si>
  <si>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</si>
  <si>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</si>
  <si>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</si>
  <si>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</si>
  <si>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</si>
  <si>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</si>
  <si>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</si>
  <si>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</si>
  <si>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</si>
  <si>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</si>
  <si>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</si>
  <si>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</si>
  <si>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</si>
  <si>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Knie - Pause bis Nov.</t>
  </si>
  <si>
    <t>:K3</t>
  </si>
  <si>
    <t>K3</t>
  </si>
  <si>
    <t>:H1</t>
  </si>
  <si>
    <t>6</t>
  </si>
  <si>
    <t>4</t>
  </si>
  <si>
    <t>5</t>
  </si>
  <si>
    <t>:H2</t>
  </si>
  <si>
    <t>:H3</t>
  </si>
  <si>
    <t>Schmerztherapie, So Arbeit</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</si>
  <si>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</si>
  <si>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</si>
  <si>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</si>
  <si>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</si>
  <si>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</si>
  <si>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</si>
  <si>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</si>
  <si>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</si>
  <si>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</si>
  <si>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</si>
  <si>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</si>
  <si>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</si>
  <si>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</si>
  <si>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</si>
  <si>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</si>
  <si>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</si>
  <si>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</si>
  <si>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</si>
  <si>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</si>
  <si>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</si>
  <si>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</si>
  <si>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</si>
  <si>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</si>
  <si>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</si>
  <si>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</si>
  <si>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</si>
  <si>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</si>
  <si>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</si>
  <si>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</si>
  <si>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</si>
  <si>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</si>
  <si>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</si>
  <si>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</si>
  <si>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</si>
  <si>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</si>
  <si>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Wiese St. Sebastian (8)</t>
  </si>
  <si>
    <t>Einspielen mit Entscheidungsaufgabe für Aufspielerin
  (MB bewegt sich früh -&gt; Aufspiel in die andere Richtung)
Einschlagen
Winners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</si>
</sst>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8">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58">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85</xdr:row>
          <xdr:rowOff>28575</xdr:rowOff>
        </xdr:from>
        <xdr:to>
          <xdr:col>0</xdr:col>
          <xdr:colOff>676275</xdr:colOff>
          <xdr:row>87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89</xdr:row>
          <xdr:rowOff>28575</xdr:rowOff>
        </xdr:from>
        <xdr:to>
          <xdr:col>9</xdr:col>
          <xdr:colOff>47625</xdr:colOff>
          <xdr:row>90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F108"/>
  <sheetViews>
    <sheetView tabSelected="1" zoomScaleNormal="100" workbookViewId="0">
      <pane xSplit="18" ySplit="3" topLeftCell="CK4" activePane="bottomRight" state="frozen"/>
      <selection pane="topRight" activeCell="F1" sqref="F1"/>
      <selection pane="bottomLeft" activeCell="A3" sqref="A3"/>
      <selection pane="bottomRight" activeCell="Q41" sqref="Q41"/>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44" width="3.140625" customWidth="1"/>
  </cols>
  <sheetData>
    <row r="1" spans="1:344" ht="69.75" hidden="1" customHeight="1" x14ac:dyDescent="0.25">
      <c r="P1" s="119" t="s">
        <v>416</v>
      </c>
      <c r="Q1" s="120" t="s">
        <v>416</v>
      </c>
      <c r="R1" s="121" t="s">
        <v>416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384</v>
      </c>
      <c r="BY1" s="49" t="s">
        <v>365</v>
      </c>
      <c r="BZ1" s="47">
        <f>BW1 + 1</f>
        <v>44032</v>
      </c>
      <c r="CA1" s="47">
        <f t="shared" si="0"/>
        <v>44033</v>
      </c>
      <c r="CB1" s="47">
        <f t="shared" si="0"/>
        <v>44034</v>
      </c>
      <c r="CC1" s="47">
        <f t="shared" si="0"/>
        <v>44035</v>
      </c>
      <c r="CD1" s="47">
        <f t="shared" si="0"/>
        <v>44036</v>
      </c>
      <c r="CE1" s="47">
        <f t="shared" si="0"/>
        <v>44037</v>
      </c>
      <c r="CF1" s="98">
        <f>CE1 + 1</f>
        <v>44038</v>
      </c>
      <c r="CG1" s="98" t="s">
        <v>388</v>
      </c>
      <c r="CH1" s="49" t="s">
        <v>366</v>
      </c>
      <c r="CI1" s="47">
        <f>CF1 + 1</f>
        <v>44039</v>
      </c>
      <c r="CJ1" s="47">
        <f t="shared" ref="CJ1:EZ1" si="1">CI1 + 1</f>
        <v>44040</v>
      </c>
      <c r="CK1" s="47">
        <f t="shared" si="1"/>
        <v>44041</v>
      </c>
      <c r="CL1" s="47">
        <f t="shared" si="1"/>
        <v>44042</v>
      </c>
      <c r="CM1" s="47">
        <f t="shared" si="1"/>
        <v>44043</v>
      </c>
      <c r="CN1" s="47">
        <f t="shared" si="1"/>
        <v>44044</v>
      </c>
      <c r="CO1" s="47">
        <f t="shared" si="1"/>
        <v>44045</v>
      </c>
      <c r="CP1" s="47" t="s">
        <v>389</v>
      </c>
      <c r="CQ1" s="49" t="s">
        <v>382</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411</v>
      </c>
      <c r="CZ1" s="108" t="s">
        <v>412</v>
      </c>
      <c r="DA1" s="47">
        <f>CX1 + 1</f>
        <v>44053</v>
      </c>
      <c r="DB1" s="47">
        <f t="shared" si="1"/>
        <v>44054</v>
      </c>
      <c r="DC1" s="47">
        <f t="shared" si="1"/>
        <v>44055</v>
      </c>
      <c r="DD1" s="47">
        <f t="shared" si="1"/>
        <v>44056</v>
      </c>
      <c r="DE1" s="47">
        <f t="shared" si="1"/>
        <v>44057</v>
      </c>
      <c r="DF1" s="47">
        <f t="shared" si="1"/>
        <v>44058</v>
      </c>
      <c r="DG1" s="47">
        <f t="shared" si="1"/>
        <v>44059</v>
      </c>
      <c r="DH1" s="47" t="s">
        <v>418</v>
      </c>
      <c r="DI1" s="49" t="s">
        <v>419</v>
      </c>
      <c r="DJ1" s="47">
        <f>DG1 + 1</f>
        <v>44060</v>
      </c>
      <c r="DK1" s="47">
        <f t="shared" si="1"/>
        <v>44061</v>
      </c>
      <c r="DL1" s="47">
        <f t="shared" si="1"/>
        <v>44062</v>
      </c>
      <c r="DM1" s="47">
        <f t="shared" si="1"/>
        <v>44063</v>
      </c>
      <c r="DN1" s="47">
        <f t="shared" si="1"/>
        <v>44064</v>
      </c>
      <c r="DO1" s="47">
        <f t="shared" si="1"/>
        <v>44065</v>
      </c>
      <c r="DP1" s="49">
        <f t="shared" si="1"/>
        <v>44066</v>
      </c>
      <c r="DQ1" s="47">
        <f t="shared" si="1"/>
        <v>44067</v>
      </c>
      <c r="DR1" s="47">
        <f t="shared" si="1"/>
        <v>44068</v>
      </c>
      <c r="DS1" s="47">
        <f t="shared" si="1"/>
        <v>44069</v>
      </c>
      <c r="DT1" s="47">
        <f t="shared" si="1"/>
        <v>44070</v>
      </c>
      <c r="DU1" s="47">
        <f t="shared" si="1"/>
        <v>44071</v>
      </c>
      <c r="DV1" s="47">
        <f t="shared" si="1"/>
        <v>44072</v>
      </c>
      <c r="DW1" s="49">
        <f t="shared" si="1"/>
        <v>44073</v>
      </c>
      <c r="DX1" s="47">
        <f t="shared" si="1"/>
        <v>44074</v>
      </c>
      <c r="DY1" s="47">
        <f t="shared" si="1"/>
        <v>44075</v>
      </c>
      <c r="DZ1" s="47">
        <f t="shared" si="1"/>
        <v>44076</v>
      </c>
      <c r="EA1" s="47">
        <f t="shared" si="1"/>
        <v>44077</v>
      </c>
      <c r="EB1" s="47">
        <f t="shared" si="1"/>
        <v>44078</v>
      </c>
      <c r="EC1" s="47">
        <f t="shared" si="1"/>
        <v>44079</v>
      </c>
      <c r="ED1" s="49">
        <f t="shared" si="1"/>
        <v>44080</v>
      </c>
      <c r="EE1" s="47">
        <f t="shared" si="1"/>
        <v>44081</v>
      </c>
      <c r="EF1" s="47">
        <f t="shared" si="1"/>
        <v>44082</v>
      </c>
      <c r="EG1" s="47">
        <f t="shared" si="1"/>
        <v>44083</v>
      </c>
      <c r="EH1" s="47">
        <f t="shared" si="1"/>
        <v>44084</v>
      </c>
      <c r="EI1" s="47">
        <f t="shared" si="1"/>
        <v>44085</v>
      </c>
      <c r="EJ1" s="47">
        <f t="shared" si="1"/>
        <v>44086</v>
      </c>
      <c r="EK1" s="49">
        <f t="shared" si="1"/>
        <v>44087</v>
      </c>
      <c r="EL1" s="47">
        <f t="shared" si="1"/>
        <v>44088</v>
      </c>
      <c r="EM1" s="47">
        <f t="shared" si="1"/>
        <v>44089</v>
      </c>
      <c r="EN1" s="47">
        <f t="shared" si="1"/>
        <v>44090</v>
      </c>
      <c r="EO1" s="47">
        <f t="shared" si="1"/>
        <v>44091</v>
      </c>
      <c r="EP1" s="47">
        <f t="shared" si="1"/>
        <v>44092</v>
      </c>
      <c r="EQ1" s="47">
        <f t="shared" si="1"/>
        <v>44093</v>
      </c>
      <c r="ER1" s="49">
        <f>EQ1 + 1</f>
        <v>44094</v>
      </c>
      <c r="ES1" s="47">
        <f t="shared" si="1"/>
        <v>44095</v>
      </c>
      <c r="ET1" s="47">
        <f t="shared" si="1"/>
        <v>44096</v>
      </c>
      <c r="EU1" s="47">
        <f t="shared" si="1"/>
        <v>44097</v>
      </c>
      <c r="EV1" s="47">
        <f t="shared" si="1"/>
        <v>44098</v>
      </c>
      <c r="EW1" s="47">
        <f t="shared" si="1"/>
        <v>44099</v>
      </c>
      <c r="EX1" s="47">
        <f t="shared" si="1"/>
        <v>44100</v>
      </c>
      <c r="EY1" s="49">
        <f t="shared" si="1"/>
        <v>44101</v>
      </c>
      <c r="EZ1" s="47">
        <f t="shared" si="1"/>
        <v>44102</v>
      </c>
      <c r="FA1" s="47">
        <f t="shared" ref="FA1:HL1" si="4">EZ1 + 1</f>
        <v>44103</v>
      </c>
      <c r="FB1" s="47">
        <f t="shared" si="4"/>
        <v>44104</v>
      </c>
      <c r="FC1" s="47">
        <f t="shared" si="4"/>
        <v>44105</v>
      </c>
      <c r="FD1" s="47">
        <f t="shared" si="4"/>
        <v>44106</v>
      </c>
      <c r="FE1" s="47">
        <f t="shared" si="4"/>
        <v>44107</v>
      </c>
      <c r="FF1" s="49">
        <f t="shared" si="4"/>
        <v>44108</v>
      </c>
      <c r="FG1" s="47">
        <f t="shared" si="4"/>
        <v>44109</v>
      </c>
      <c r="FH1" s="47">
        <f t="shared" si="4"/>
        <v>44110</v>
      </c>
      <c r="FI1" s="47">
        <f t="shared" si="4"/>
        <v>44111</v>
      </c>
      <c r="FJ1" s="47">
        <f t="shared" si="4"/>
        <v>44112</v>
      </c>
      <c r="FK1" s="47">
        <f t="shared" si="4"/>
        <v>44113</v>
      </c>
      <c r="FL1" s="47">
        <f t="shared" si="4"/>
        <v>44114</v>
      </c>
      <c r="FM1" s="49">
        <f t="shared" si="4"/>
        <v>44115</v>
      </c>
      <c r="FN1" s="47">
        <f t="shared" si="4"/>
        <v>44116</v>
      </c>
      <c r="FO1" s="47">
        <f t="shared" si="4"/>
        <v>44117</v>
      </c>
      <c r="FP1" s="47">
        <f t="shared" si="4"/>
        <v>44118</v>
      </c>
      <c r="FQ1" s="47">
        <f t="shared" si="4"/>
        <v>44119</v>
      </c>
      <c r="FR1" s="47">
        <f t="shared" si="4"/>
        <v>44120</v>
      </c>
      <c r="FS1" s="47">
        <f t="shared" si="4"/>
        <v>44121</v>
      </c>
      <c r="FT1" s="49">
        <f t="shared" si="4"/>
        <v>44122</v>
      </c>
      <c r="FU1" s="47">
        <f t="shared" si="4"/>
        <v>44123</v>
      </c>
      <c r="FV1" s="47">
        <f t="shared" si="4"/>
        <v>44124</v>
      </c>
      <c r="FW1" s="47">
        <f t="shared" si="4"/>
        <v>44125</v>
      </c>
      <c r="FX1" s="47">
        <f t="shared" si="4"/>
        <v>44126</v>
      </c>
      <c r="FY1" s="47">
        <f t="shared" si="4"/>
        <v>44127</v>
      </c>
      <c r="FZ1" s="47">
        <f t="shared" si="4"/>
        <v>44128</v>
      </c>
      <c r="GA1" s="49">
        <f t="shared" si="4"/>
        <v>44129</v>
      </c>
      <c r="GB1" s="47">
        <f t="shared" si="4"/>
        <v>44130</v>
      </c>
      <c r="GC1" s="47">
        <f t="shared" si="4"/>
        <v>44131</v>
      </c>
      <c r="GD1" s="47">
        <f t="shared" si="4"/>
        <v>44132</v>
      </c>
      <c r="GE1" s="47">
        <f t="shared" si="4"/>
        <v>44133</v>
      </c>
      <c r="GF1" s="47">
        <f t="shared" si="4"/>
        <v>44134</v>
      </c>
      <c r="GG1" s="47">
        <f t="shared" si="4"/>
        <v>44135</v>
      </c>
      <c r="GH1" s="49">
        <f t="shared" si="4"/>
        <v>44136</v>
      </c>
      <c r="GI1" s="47">
        <f t="shared" si="4"/>
        <v>44137</v>
      </c>
      <c r="GJ1" s="47">
        <f t="shared" si="4"/>
        <v>44138</v>
      </c>
      <c r="GK1" s="47">
        <f t="shared" si="4"/>
        <v>44139</v>
      </c>
      <c r="GL1" s="47">
        <f t="shared" si="4"/>
        <v>44140</v>
      </c>
      <c r="GM1" s="47">
        <f t="shared" si="4"/>
        <v>44141</v>
      </c>
      <c r="GN1" s="47">
        <f t="shared" si="4"/>
        <v>44142</v>
      </c>
      <c r="GO1" s="49">
        <f t="shared" si="4"/>
        <v>44143</v>
      </c>
      <c r="GP1" s="47">
        <f t="shared" si="4"/>
        <v>44144</v>
      </c>
      <c r="GQ1" s="47">
        <f t="shared" si="4"/>
        <v>44145</v>
      </c>
      <c r="GR1" s="47">
        <f t="shared" si="4"/>
        <v>44146</v>
      </c>
      <c r="GS1" s="47">
        <f t="shared" si="4"/>
        <v>44147</v>
      </c>
      <c r="GT1" s="47">
        <f t="shared" si="4"/>
        <v>44148</v>
      </c>
      <c r="GU1" s="47">
        <f t="shared" si="4"/>
        <v>44149</v>
      </c>
      <c r="GV1" s="49">
        <f t="shared" si="4"/>
        <v>44150</v>
      </c>
      <c r="GW1" s="47">
        <f t="shared" si="4"/>
        <v>44151</v>
      </c>
      <c r="GX1" s="47">
        <f t="shared" si="4"/>
        <v>44152</v>
      </c>
      <c r="GY1" s="47">
        <f t="shared" si="4"/>
        <v>44153</v>
      </c>
      <c r="GZ1" s="47">
        <f t="shared" si="4"/>
        <v>44154</v>
      </c>
      <c r="HA1" s="47">
        <f t="shared" si="4"/>
        <v>44155</v>
      </c>
      <c r="HB1" s="47">
        <f t="shared" si="4"/>
        <v>44156</v>
      </c>
      <c r="HC1" s="49">
        <f t="shared" si="4"/>
        <v>44157</v>
      </c>
      <c r="HD1" s="47">
        <f t="shared" si="4"/>
        <v>44158</v>
      </c>
      <c r="HE1" s="47">
        <f t="shared" si="4"/>
        <v>44159</v>
      </c>
      <c r="HF1" s="47">
        <f t="shared" si="4"/>
        <v>44160</v>
      </c>
      <c r="HG1" s="47">
        <f t="shared" si="4"/>
        <v>44161</v>
      </c>
      <c r="HH1" s="47">
        <f t="shared" si="4"/>
        <v>44162</v>
      </c>
      <c r="HI1" s="47">
        <f t="shared" si="4"/>
        <v>44163</v>
      </c>
      <c r="HJ1" s="49">
        <f t="shared" si="4"/>
        <v>44164</v>
      </c>
      <c r="HK1" s="47">
        <f t="shared" si="4"/>
        <v>44165</v>
      </c>
      <c r="HL1" s="47">
        <f t="shared" si="4"/>
        <v>44166</v>
      </c>
      <c r="HM1" s="47">
        <f t="shared" ref="HM1:JX1" si="5">HL1 + 1</f>
        <v>44167</v>
      </c>
      <c r="HN1" s="47">
        <f t="shared" si="5"/>
        <v>44168</v>
      </c>
      <c r="HO1" s="47">
        <f t="shared" si="5"/>
        <v>44169</v>
      </c>
      <c r="HP1" s="47">
        <f t="shared" si="5"/>
        <v>44170</v>
      </c>
      <c r="HQ1" s="49">
        <f t="shared" si="5"/>
        <v>44171</v>
      </c>
      <c r="HR1" s="47">
        <f t="shared" si="5"/>
        <v>44172</v>
      </c>
      <c r="HS1" s="47">
        <f t="shared" si="5"/>
        <v>44173</v>
      </c>
      <c r="HT1" s="47">
        <f t="shared" si="5"/>
        <v>44174</v>
      </c>
      <c r="HU1" s="47">
        <f t="shared" si="5"/>
        <v>44175</v>
      </c>
      <c r="HV1" s="47">
        <f t="shared" si="5"/>
        <v>44176</v>
      </c>
      <c r="HW1" s="47">
        <f t="shared" si="5"/>
        <v>44177</v>
      </c>
      <c r="HX1" s="49">
        <f t="shared" si="5"/>
        <v>44178</v>
      </c>
      <c r="HY1" s="47">
        <f t="shared" si="5"/>
        <v>44179</v>
      </c>
      <c r="HZ1" s="47">
        <f t="shared" si="5"/>
        <v>44180</v>
      </c>
      <c r="IA1" s="47">
        <f t="shared" si="5"/>
        <v>44181</v>
      </c>
      <c r="IB1" s="47">
        <f t="shared" si="5"/>
        <v>44182</v>
      </c>
      <c r="IC1" s="47">
        <f t="shared" si="5"/>
        <v>44183</v>
      </c>
      <c r="ID1" s="47">
        <f t="shared" si="5"/>
        <v>44184</v>
      </c>
      <c r="IE1" s="49">
        <f t="shared" si="5"/>
        <v>44185</v>
      </c>
      <c r="IF1" s="47">
        <f t="shared" si="5"/>
        <v>44186</v>
      </c>
      <c r="IG1" s="47">
        <f t="shared" si="5"/>
        <v>44187</v>
      </c>
      <c r="IH1" s="47">
        <f t="shared" si="5"/>
        <v>44188</v>
      </c>
      <c r="II1" s="47">
        <f t="shared" si="5"/>
        <v>44189</v>
      </c>
      <c r="IJ1" s="47">
        <f t="shared" si="5"/>
        <v>44190</v>
      </c>
      <c r="IK1" s="47">
        <f t="shared" si="5"/>
        <v>44191</v>
      </c>
      <c r="IL1" s="49">
        <f t="shared" si="5"/>
        <v>44192</v>
      </c>
      <c r="IM1" s="47">
        <f t="shared" si="5"/>
        <v>44193</v>
      </c>
      <c r="IN1" s="47">
        <f t="shared" si="5"/>
        <v>44194</v>
      </c>
      <c r="IO1" s="47">
        <f t="shared" si="5"/>
        <v>44195</v>
      </c>
      <c r="IP1" s="47">
        <f t="shared" si="5"/>
        <v>44196</v>
      </c>
      <c r="IQ1" s="47">
        <f t="shared" si="5"/>
        <v>44197</v>
      </c>
      <c r="IR1" s="47">
        <f t="shared" si="5"/>
        <v>44198</v>
      </c>
      <c r="IS1" s="49">
        <f t="shared" si="5"/>
        <v>44199</v>
      </c>
      <c r="IT1" s="47">
        <f t="shared" si="5"/>
        <v>44200</v>
      </c>
      <c r="IU1" s="47">
        <f t="shared" si="5"/>
        <v>44201</v>
      </c>
      <c r="IV1" s="47">
        <f t="shared" si="5"/>
        <v>44202</v>
      </c>
      <c r="IW1" s="47">
        <f t="shared" si="5"/>
        <v>44203</v>
      </c>
      <c r="IX1" s="47">
        <f t="shared" si="5"/>
        <v>44204</v>
      </c>
      <c r="IY1" s="47">
        <f t="shared" si="5"/>
        <v>44205</v>
      </c>
      <c r="IZ1" s="49">
        <f t="shared" si="5"/>
        <v>44206</v>
      </c>
      <c r="JA1" s="47">
        <f t="shared" si="5"/>
        <v>44207</v>
      </c>
      <c r="JB1" s="47">
        <f t="shared" si="5"/>
        <v>44208</v>
      </c>
      <c r="JC1" s="47">
        <f t="shared" si="5"/>
        <v>44209</v>
      </c>
      <c r="JD1" s="47">
        <f t="shared" si="5"/>
        <v>44210</v>
      </c>
      <c r="JE1" s="47">
        <f t="shared" si="5"/>
        <v>44211</v>
      </c>
      <c r="JF1" s="47">
        <f t="shared" si="5"/>
        <v>44212</v>
      </c>
      <c r="JG1" s="49">
        <f t="shared" si="5"/>
        <v>44213</v>
      </c>
      <c r="JH1" s="47">
        <f t="shared" si="5"/>
        <v>44214</v>
      </c>
      <c r="JI1" s="47">
        <f t="shared" si="5"/>
        <v>44215</v>
      </c>
      <c r="JJ1" s="47">
        <f t="shared" si="5"/>
        <v>44216</v>
      </c>
      <c r="JK1" s="47">
        <f t="shared" si="5"/>
        <v>44217</v>
      </c>
      <c r="JL1" s="47">
        <f t="shared" si="5"/>
        <v>44218</v>
      </c>
      <c r="JM1" s="47">
        <f t="shared" si="5"/>
        <v>44219</v>
      </c>
      <c r="JN1" s="49">
        <f t="shared" si="5"/>
        <v>44220</v>
      </c>
      <c r="JO1" s="47">
        <f t="shared" si="5"/>
        <v>44221</v>
      </c>
      <c r="JP1" s="47">
        <f t="shared" si="5"/>
        <v>44222</v>
      </c>
      <c r="JQ1" s="47">
        <f t="shared" si="5"/>
        <v>44223</v>
      </c>
      <c r="JR1" s="47">
        <f t="shared" si="5"/>
        <v>44224</v>
      </c>
      <c r="JS1" s="47">
        <f t="shared" si="5"/>
        <v>44225</v>
      </c>
      <c r="JT1" s="47">
        <f t="shared" si="5"/>
        <v>44226</v>
      </c>
      <c r="JU1" s="49">
        <f t="shared" si="5"/>
        <v>44227</v>
      </c>
      <c r="JV1" s="47">
        <f t="shared" si="5"/>
        <v>44228</v>
      </c>
      <c r="JW1" s="47">
        <f t="shared" si="5"/>
        <v>44229</v>
      </c>
      <c r="JX1" s="47">
        <f t="shared" si="5"/>
        <v>44230</v>
      </c>
      <c r="JY1" s="47">
        <f t="shared" ref="JY1:MF1" si="6">JX1 + 1</f>
        <v>44231</v>
      </c>
      <c r="JZ1" s="47">
        <f t="shared" si="6"/>
        <v>44232</v>
      </c>
      <c r="KA1" s="47">
        <f t="shared" si="6"/>
        <v>44233</v>
      </c>
      <c r="KB1" s="49">
        <f t="shared" si="6"/>
        <v>44234</v>
      </c>
      <c r="KC1" s="47">
        <f t="shared" si="6"/>
        <v>44235</v>
      </c>
      <c r="KD1" s="47">
        <f t="shared" si="6"/>
        <v>44236</v>
      </c>
      <c r="KE1" s="47">
        <f t="shared" si="6"/>
        <v>44237</v>
      </c>
      <c r="KF1" s="47">
        <f t="shared" si="6"/>
        <v>44238</v>
      </c>
      <c r="KG1" s="47">
        <f t="shared" si="6"/>
        <v>44239</v>
      </c>
      <c r="KH1" s="47">
        <f t="shared" si="6"/>
        <v>44240</v>
      </c>
      <c r="KI1" s="49">
        <f t="shared" si="6"/>
        <v>44241</v>
      </c>
      <c r="KJ1" s="47">
        <f t="shared" si="6"/>
        <v>44242</v>
      </c>
      <c r="KK1" s="47">
        <f t="shared" si="6"/>
        <v>44243</v>
      </c>
      <c r="KL1" s="47">
        <f t="shared" si="6"/>
        <v>44244</v>
      </c>
      <c r="KM1" s="47">
        <f t="shared" si="6"/>
        <v>44245</v>
      </c>
      <c r="KN1" s="47">
        <f t="shared" si="6"/>
        <v>44246</v>
      </c>
      <c r="KO1" s="47">
        <f t="shared" si="6"/>
        <v>44247</v>
      </c>
      <c r="KP1" s="49">
        <f t="shared" si="6"/>
        <v>44248</v>
      </c>
      <c r="KQ1" s="47">
        <f t="shared" si="6"/>
        <v>44249</v>
      </c>
      <c r="KR1" s="47">
        <f t="shared" si="6"/>
        <v>44250</v>
      </c>
      <c r="KS1" s="47">
        <f t="shared" si="6"/>
        <v>44251</v>
      </c>
      <c r="KT1" s="47">
        <f t="shared" si="6"/>
        <v>44252</v>
      </c>
      <c r="KU1" s="47">
        <f t="shared" si="6"/>
        <v>44253</v>
      </c>
      <c r="KV1" s="47">
        <f t="shared" si="6"/>
        <v>44254</v>
      </c>
      <c r="KW1" s="49">
        <f t="shared" si="6"/>
        <v>44255</v>
      </c>
      <c r="KX1" s="47">
        <f t="shared" si="6"/>
        <v>44256</v>
      </c>
      <c r="KY1" s="47">
        <f t="shared" si="6"/>
        <v>44257</v>
      </c>
      <c r="KZ1" s="47">
        <f t="shared" si="6"/>
        <v>44258</v>
      </c>
      <c r="LA1" s="47">
        <f t="shared" si="6"/>
        <v>44259</v>
      </c>
      <c r="LB1" s="47">
        <f t="shared" si="6"/>
        <v>44260</v>
      </c>
      <c r="LC1" s="47">
        <f t="shared" si="6"/>
        <v>44261</v>
      </c>
      <c r="LD1" s="49">
        <f t="shared" si="6"/>
        <v>44262</v>
      </c>
      <c r="LE1" s="47">
        <f t="shared" si="6"/>
        <v>44263</v>
      </c>
      <c r="LF1" s="47">
        <f t="shared" si="6"/>
        <v>44264</v>
      </c>
      <c r="LG1" s="47">
        <f t="shared" si="6"/>
        <v>44265</v>
      </c>
      <c r="LH1" s="47">
        <f t="shared" si="6"/>
        <v>44266</v>
      </c>
      <c r="LI1" s="47">
        <f t="shared" si="6"/>
        <v>44267</v>
      </c>
      <c r="LJ1" s="47">
        <f t="shared" si="6"/>
        <v>44268</v>
      </c>
      <c r="LK1" s="49">
        <f t="shared" si="6"/>
        <v>44269</v>
      </c>
      <c r="LL1" s="47">
        <f t="shared" si="6"/>
        <v>44270</v>
      </c>
      <c r="LM1" s="47">
        <f t="shared" si="6"/>
        <v>44271</v>
      </c>
      <c r="LN1" s="47">
        <f t="shared" si="6"/>
        <v>44272</v>
      </c>
      <c r="LO1" s="47">
        <f t="shared" si="6"/>
        <v>44273</v>
      </c>
      <c r="LP1" s="47">
        <f t="shared" si="6"/>
        <v>44274</v>
      </c>
      <c r="LQ1" s="47">
        <f t="shared" si="6"/>
        <v>44275</v>
      </c>
      <c r="LR1" s="49">
        <f t="shared" si="6"/>
        <v>44276</v>
      </c>
      <c r="LS1" s="47">
        <f t="shared" si="6"/>
        <v>44277</v>
      </c>
      <c r="LT1" s="47">
        <f t="shared" si="6"/>
        <v>44278</v>
      </c>
      <c r="LU1" s="47">
        <f t="shared" si="6"/>
        <v>44279</v>
      </c>
      <c r="LV1" s="47">
        <f t="shared" si="6"/>
        <v>44280</v>
      </c>
      <c r="LW1" s="47">
        <f t="shared" si="6"/>
        <v>44281</v>
      </c>
      <c r="LX1" s="47">
        <f t="shared" si="6"/>
        <v>44282</v>
      </c>
      <c r="LY1" s="49">
        <f t="shared" si="6"/>
        <v>44283</v>
      </c>
      <c r="LZ1" s="47">
        <f t="shared" si="6"/>
        <v>44284</v>
      </c>
      <c r="MA1" s="47">
        <f t="shared" si="6"/>
        <v>44285</v>
      </c>
      <c r="MB1" s="47">
        <f t="shared" si="6"/>
        <v>44286</v>
      </c>
      <c r="MC1" s="47">
        <f t="shared" si="6"/>
        <v>44287</v>
      </c>
      <c r="MD1" s="47">
        <f t="shared" si="6"/>
        <v>44288</v>
      </c>
      <c r="ME1" s="47">
        <f t="shared" si="6"/>
        <v>44289</v>
      </c>
      <c r="MF1" s="49">
        <f t="shared" si="6"/>
        <v>44290</v>
      </c>
    </row>
    <row r="2" spans="1:344" ht="15" customHeight="1" x14ac:dyDescent="0.25">
      <c r="A2" s="144" t="s">
        <v>144</v>
      </c>
      <c r="B2" s="144"/>
      <c r="C2" s="144"/>
      <c r="D2" s="144"/>
      <c r="E2" s="144"/>
      <c r="F2" s="39"/>
      <c r="G2" s="39"/>
      <c r="H2" s="39"/>
      <c r="I2" s="39"/>
      <c r="J2" s="39"/>
      <c r="K2" s="39"/>
      <c r="L2" s="39"/>
      <c r="M2" s="39"/>
      <c r="N2" s="39"/>
      <c r="O2" s="27"/>
      <c r="P2" s="145" t="s">
        <v>49</v>
      </c>
      <c r="Q2" s="140" t="s">
        <v>48</v>
      </c>
      <c r="R2" s="142" t="s">
        <v>414</v>
      </c>
      <c r="S2" s="50">
        <f t="shared" ref="S2" si="7">S1</f>
        <v>43975</v>
      </c>
      <c r="T2" s="48">
        <f t="shared" ref="T2" si="8">T1</f>
        <v>43976</v>
      </c>
      <c r="U2" s="48">
        <f t="shared" ref="U2" si="9">U1</f>
        <v>43977</v>
      </c>
      <c r="V2" s="48">
        <f t="shared" ref="V2" si="10">V1</f>
        <v>43978</v>
      </c>
      <c r="W2" s="48">
        <f t="shared" ref="W2" si="11">W1</f>
        <v>43979</v>
      </c>
      <c r="X2" s="48">
        <f t="shared" ref="X2" si="12">X1</f>
        <v>43980</v>
      </c>
      <c r="Y2" s="48">
        <f t="shared" ref="Y2" si="13">Y1</f>
        <v>43981</v>
      </c>
      <c r="Z2" s="50">
        <f t="shared" ref="Z2" si="14">Z1</f>
        <v>43982</v>
      </c>
      <c r="AA2" s="48">
        <f t="shared" ref="AA2" si="15">AA1</f>
        <v>43983</v>
      </c>
      <c r="AB2" s="48">
        <f t="shared" ref="AB2" si="16">AB1</f>
        <v>43984</v>
      </c>
      <c r="AC2" s="48">
        <f t="shared" ref="AC2" si="17">AC1</f>
        <v>43985</v>
      </c>
      <c r="AD2" s="48">
        <f t="shared" ref="AD2" si="18">AD1</f>
        <v>43986</v>
      </c>
      <c r="AE2" s="48">
        <f t="shared" ref="AE2" si="19">AE1</f>
        <v>43987</v>
      </c>
      <c r="AF2" s="48">
        <f t="shared" ref="AF2" si="20">AF1</f>
        <v>43988</v>
      </c>
      <c r="AG2" s="50">
        <f t="shared" ref="AG2" si="21">AG1</f>
        <v>43989</v>
      </c>
      <c r="AH2" s="48">
        <f t="shared" ref="AH2" si="22">AH1</f>
        <v>43990</v>
      </c>
      <c r="AI2" s="48">
        <f t="shared" ref="AI2" si="23">AI1</f>
        <v>43991</v>
      </c>
      <c r="AJ2" s="48">
        <f t="shared" ref="AJ2" si="24">AJ1</f>
        <v>43992</v>
      </c>
      <c r="AK2" s="48">
        <f t="shared" ref="AK2" si="25">AK1</f>
        <v>43993</v>
      </c>
      <c r="AL2" s="48">
        <f t="shared" ref="AL2" si="26">AL1</f>
        <v>43994</v>
      </c>
      <c r="AM2" s="48">
        <f t="shared" ref="AM2" si="27">AM1</f>
        <v>43995</v>
      </c>
      <c r="AN2" s="50">
        <f t="shared" ref="AN2" si="28">AN1</f>
        <v>43996</v>
      </c>
      <c r="AO2" s="48">
        <f t="shared" ref="AO2" si="29">AO1</f>
        <v>43997</v>
      </c>
      <c r="AP2" s="48">
        <f t="shared" ref="AP2" si="30">AP1</f>
        <v>43998</v>
      </c>
      <c r="AQ2" s="48">
        <f t="shared" ref="AQ2" si="31">AQ1</f>
        <v>43999</v>
      </c>
      <c r="AR2" s="48">
        <f t="shared" ref="AR2" si="32">AR1</f>
        <v>44000</v>
      </c>
      <c r="AS2" s="48">
        <f t="shared" ref="AS2" si="33">AS1</f>
        <v>44001</v>
      </c>
      <c r="AT2" s="48">
        <f t="shared" ref="AT2" si="34">AT1</f>
        <v>44002</v>
      </c>
      <c r="AU2" s="50">
        <f t="shared" ref="AU2" si="35">AU1</f>
        <v>44003</v>
      </c>
      <c r="AV2" s="48">
        <f t="shared" ref="AV2" si="36">AV1</f>
        <v>44004</v>
      </c>
      <c r="AW2" s="48">
        <f t="shared" ref="AW2" si="37">AW1</f>
        <v>44005</v>
      </c>
      <c r="AX2" s="48">
        <f t="shared" ref="AX2" si="38">AX1</f>
        <v>44006</v>
      </c>
      <c r="AY2" s="48">
        <f t="shared" ref="AY2" si="39">AY1</f>
        <v>44007</v>
      </c>
      <c r="AZ2" s="48">
        <f t="shared" ref="AZ2" si="40">AZ1</f>
        <v>44008</v>
      </c>
      <c r="BA2" s="48">
        <f t="shared" ref="BA2" si="41">BA1</f>
        <v>44009</v>
      </c>
      <c r="BB2" s="50">
        <f t="shared" ref="BB2" si="42">BB1</f>
        <v>44010</v>
      </c>
      <c r="BC2" s="48">
        <f t="shared" ref="BC2" si="43">BC1</f>
        <v>44011</v>
      </c>
      <c r="BD2" s="48">
        <f t="shared" ref="BD2" si="44">BD1</f>
        <v>44012</v>
      </c>
      <c r="BE2" s="48">
        <f t="shared" ref="BE2" si="45">BE1</f>
        <v>44013</v>
      </c>
      <c r="BF2" s="48">
        <f t="shared" ref="BF2" si="46">BF1</f>
        <v>44014</v>
      </c>
      <c r="BG2" s="48">
        <f t="shared" ref="BG2" si="47">BG1</f>
        <v>44015</v>
      </c>
      <c r="BH2" s="48">
        <f t="shared" ref="BH2" si="48">BH1</f>
        <v>44016</v>
      </c>
      <c r="BI2" s="50">
        <f t="shared" ref="BI2" si="49">BI1</f>
        <v>44017</v>
      </c>
      <c r="BJ2" s="48">
        <f t="shared" ref="BJ2" si="50">BJ1</f>
        <v>44018</v>
      </c>
      <c r="BK2" s="48">
        <f t="shared" ref="BK2" si="51">BK1</f>
        <v>44019</v>
      </c>
      <c r="BL2" s="48">
        <f t="shared" ref="BL2" si="52">BL1</f>
        <v>44020</v>
      </c>
      <c r="BM2" s="48">
        <f t="shared" ref="BM2" si="53">BM1</f>
        <v>44021</v>
      </c>
      <c r="BN2" s="48">
        <f t="shared" ref="BN2" si="54">BN1</f>
        <v>44022</v>
      </c>
      <c r="BO2" s="48">
        <f t="shared" ref="BO2" si="55">BO1</f>
        <v>44023</v>
      </c>
      <c r="BP2" s="50">
        <v>12</v>
      </c>
      <c r="BQ2" s="48">
        <f t="shared" ref="BQ2" si="56">BQ1</f>
        <v>44025</v>
      </c>
      <c r="BR2" s="48">
        <f t="shared" ref="BR2" si="57">BR1</f>
        <v>44026</v>
      </c>
      <c r="BS2" s="48">
        <f t="shared" ref="BS2" si="58">BS1</f>
        <v>44027</v>
      </c>
      <c r="BT2" s="48">
        <f t="shared" ref="BT2" si="59">BT1</f>
        <v>44028</v>
      </c>
      <c r="BU2" s="48">
        <f t="shared" ref="BU2" si="60">BU1</f>
        <v>44029</v>
      </c>
      <c r="BV2" s="48">
        <f t="shared" ref="BV2:BW2" si="61">BV1</f>
        <v>44030</v>
      </c>
      <c r="BW2" s="48">
        <f t="shared" si="61"/>
        <v>44031</v>
      </c>
      <c r="BX2" s="48" t="s">
        <v>375</v>
      </c>
      <c r="BY2" s="50" t="s">
        <v>364</v>
      </c>
      <c r="BZ2" s="48">
        <f t="shared" ref="BZ2" si="62">BZ1</f>
        <v>44032</v>
      </c>
      <c r="CA2" s="48">
        <f t="shared" ref="CA2" si="63">CA1</f>
        <v>44033</v>
      </c>
      <c r="CB2" s="48">
        <f t="shared" ref="CB2" si="64">CB1</f>
        <v>44034</v>
      </c>
      <c r="CC2" s="48">
        <f t="shared" ref="CC2" si="65">CC1</f>
        <v>44035</v>
      </c>
      <c r="CD2" s="48">
        <f t="shared" ref="CD2" si="66">CD1</f>
        <v>44036</v>
      </c>
      <c r="CE2" s="48">
        <f t="shared" ref="CE2:CF2" si="67">CE1</f>
        <v>44037</v>
      </c>
      <c r="CF2" s="48">
        <f t="shared" si="67"/>
        <v>44038</v>
      </c>
      <c r="CG2" s="48" t="s">
        <v>375</v>
      </c>
      <c r="CH2" s="50" t="s">
        <v>367</v>
      </c>
      <c r="CI2" s="48">
        <f t="shared" ref="CI2" si="68">CI1</f>
        <v>44039</v>
      </c>
      <c r="CJ2" s="48">
        <f t="shared" ref="CJ2" si="69">CJ1</f>
        <v>44040</v>
      </c>
      <c r="CK2" s="48">
        <f t="shared" ref="CK2" si="70">CK1</f>
        <v>44041</v>
      </c>
      <c r="CL2" s="48">
        <f t="shared" ref="CL2" si="71">CL1</f>
        <v>44042</v>
      </c>
      <c r="CM2" s="48">
        <f t="shared" ref="CM2" si="72">CM1</f>
        <v>44043</v>
      </c>
      <c r="CN2" s="48">
        <f t="shared" ref="CN2:CO2" si="73">CN1</f>
        <v>44044</v>
      </c>
      <c r="CO2" s="48">
        <f t="shared" si="73"/>
        <v>44045</v>
      </c>
      <c r="CP2" s="48" t="s">
        <v>375</v>
      </c>
      <c r="CQ2" s="50" t="s">
        <v>383</v>
      </c>
      <c r="CR2" s="48">
        <f t="shared" ref="CR2" si="74">CR1</f>
        <v>44046</v>
      </c>
      <c r="CS2" s="48">
        <f t="shared" ref="CS2" si="75">CS1</f>
        <v>44047</v>
      </c>
      <c r="CT2" s="48">
        <f t="shared" ref="CT2" si="76">CT1</f>
        <v>44048</v>
      </c>
      <c r="CU2" s="48">
        <f t="shared" ref="CU2" si="77">CU1</f>
        <v>44049</v>
      </c>
      <c r="CV2" s="48">
        <f t="shared" ref="CV2" si="78">CV1</f>
        <v>44050</v>
      </c>
      <c r="CW2" s="48">
        <f t="shared" ref="CW2" si="79">CW1</f>
        <v>44051</v>
      </c>
      <c r="CX2" s="104">
        <f t="shared" ref="CX2" si="80">CX1</f>
        <v>44052</v>
      </c>
      <c r="CY2" s="41" t="s">
        <v>375</v>
      </c>
      <c r="CZ2" s="105" t="s">
        <v>413</v>
      </c>
      <c r="DA2" s="48">
        <f t="shared" ref="DA2" si="81">DA1</f>
        <v>44053</v>
      </c>
      <c r="DB2" s="48">
        <f t="shared" ref="DB2" si="82">DB1</f>
        <v>44054</v>
      </c>
      <c r="DC2" s="48">
        <f t="shared" ref="DC2" si="83">DC1</f>
        <v>44055</v>
      </c>
      <c r="DD2" s="48">
        <f t="shared" ref="DD2" si="84">DD1</f>
        <v>44056</v>
      </c>
      <c r="DE2" s="48">
        <f t="shared" ref="DE2" si="85">DE1</f>
        <v>44057</v>
      </c>
      <c r="DF2" s="48">
        <f t="shared" ref="DF2:DG2" si="86">DF1</f>
        <v>44058</v>
      </c>
      <c r="DG2" s="48">
        <f t="shared" si="86"/>
        <v>44059</v>
      </c>
      <c r="DH2" s="48" t="s">
        <v>375</v>
      </c>
      <c r="DI2" s="50" t="s">
        <v>420</v>
      </c>
      <c r="DJ2" s="48">
        <f t="shared" ref="DJ2" si="87">DJ1</f>
        <v>44060</v>
      </c>
      <c r="DK2" s="48">
        <f t="shared" ref="DK2" si="88">DK1</f>
        <v>44061</v>
      </c>
      <c r="DL2" s="48">
        <f t="shared" ref="DL2" si="89">DL1</f>
        <v>44062</v>
      </c>
      <c r="DM2" s="48">
        <f t="shared" ref="DM2" si="90">DM1</f>
        <v>44063</v>
      </c>
      <c r="DN2" s="48">
        <f t="shared" ref="DN2" si="91">DN1</f>
        <v>44064</v>
      </c>
      <c r="DO2" s="48">
        <f t="shared" ref="DO2" si="92">DO1</f>
        <v>44065</v>
      </c>
      <c r="DP2" s="50">
        <f t="shared" ref="DP2" si="93">DP1</f>
        <v>44066</v>
      </c>
      <c r="DQ2" s="48">
        <f t="shared" ref="DQ2" si="94">DQ1</f>
        <v>44067</v>
      </c>
      <c r="DR2" s="48">
        <f t="shared" ref="DR2" si="95">DR1</f>
        <v>44068</v>
      </c>
      <c r="DS2" s="48">
        <f t="shared" ref="DS2" si="96">DS1</f>
        <v>44069</v>
      </c>
      <c r="DT2" s="48">
        <f t="shared" ref="DT2" si="97">DT1</f>
        <v>44070</v>
      </c>
      <c r="DU2" s="48">
        <f t="shared" ref="DU2" si="98">DU1</f>
        <v>44071</v>
      </c>
      <c r="DV2" s="48">
        <f t="shared" ref="DV2" si="99">DV1</f>
        <v>44072</v>
      </c>
      <c r="DW2" s="50">
        <f t="shared" ref="DW2" si="100">DW1</f>
        <v>44073</v>
      </c>
      <c r="DX2" s="48">
        <f t="shared" ref="DX2" si="101">DX1</f>
        <v>44074</v>
      </c>
      <c r="DY2" s="48">
        <f t="shared" ref="DY2" si="102">DY1</f>
        <v>44075</v>
      </c>
      <c r="DZ2" s="48">
        <f t="shared" ref="DZ2" si="103">DZ1</f>
        <v>44076</v>
      </c>
      <c r="EA2" s="48">
        <f t="shared" ref="EA2" si="104">EA1</f>
        <v>44077</v>
      </c>
      <c r="EB2" s="48">
        <f t="shared" ref="EB2" si="105">EB1</f>
        <v>44078</v>
      </c>
      <c r="EC2" s="48">
        <f t="shared" ref="EC2" si="106">EC1</f>
        <v>44079</v>
      </c>
      <c r="ED2" s="50">
        <f t="shared" ref="ED2" si="107">ED1</f>
        <v>44080</v>
      </c>
      <c r="EE2" s="48">
        <f t="shared" ref="EE2" si="108">EE1</f>
        <v>44081</v>
      </c>
      <c r="EF2" s="48">
        <f t="shared" ref="EF2" si="109">EF1</f>
        <v>44082</v>
      </c>
      <c r="EG2" s="48">
        <f t="shared" ref="EG2" si="110">EG1</f>
        <v>44083</v>
      </c>
      <c r="EH2" s="48">
        <f t="shared" ref="EH2" si="111">EH1</f>
        <v>44084</v>
      </c>
      <c r="EI2" s="48">
        <f t="shared" ref="EI2" si="112">EI1</f>
        <v>44085</v>
      </c>
      <c r="EJ2" s="48">
        <f t="shared" ref="EJ2" si="113">EJ1</f>
        <v>44086</v>
      </c>
      <c r="EK2" s="50">
        <f t="shared" ref="EK2" si="114">EK1</f>
        <v>44087</v>
      </c>
      <c r="EL2" s="48">
        <f t="shared" ref="EL2" si="115">EL1</f>
        <v>44088</v>
      </c>
      <c r="EM2" s="48">
        <f t="shared" ref="EM2" si="116">EM1</f>
        <v>44089</v>
      </c>
      <c r="EN2" s="48">
        <f t="shared" ref="EN2" si="117">EN1</f>
        <v>44090</v>
      </c>
      <c r="EO2" s="48">
        <f t="shared" ref="EO2" si="118">EO1</f>
        <v>44091</v>
      </c>
      <c r="EP2" s="48">
        <f t="shared" ref="EP2" si="119">EP1</f>
        <v>44092</v>
      </c>
      <c r="EQ2" s="48">
        <f t="shared" ref="EQ2" si="120">EQ1</f>
        <v>44093</v>
      </c>
      <c r="ER2" s="50">
        <f t="shared" ref="ER2" si="121">ER1</f>
        <v>44094</v>
      </c>
      <c r="ES2" s="48">
        <f t="shared" ref="ES2" si="122">ES1</f>
        <v>44095</v>
      </c>
      <c r="ET2" s="48">
        <f t="shared" ref="ET2" si="123">ET1</f>
        <v>44096</v>
      </c>
      <c r="EU2" s="48">
        <f t="shared" ref="EU2" si="124">EU1</f>
        <v>44097</v>
      </c>
      <c r="EV2" s="48">
        <f t="shared" ref="EV2" si="125">EV1</f>
        <v>44098</v>
      </c>
      <c r="EW2" s="48">
        <f t="shared" ref="EW2" si="126">EW1</f>
        <v>44099</v>
      </c>
      <c r="EX2" s="48">
        <f t="shared" ref="EX2" si="127">EX1</f>
        <v>44100</v>
      </c>
      <c r="EY2" s="50">
        <f t="shared" ref="EY2" si="128">EY1</f>
        <v>44101</v>
      </c>
      <c r="EZ2" s="48">
        <f t="shared" ref="EZ2" si="129">EZ1</f>
        <v>44102</v>
      </c>
      <c r="FA2" s="48">
        <f t="shared" ref="FA2" si="130">FA1</f>
        <v>44103</v>
      </c>
      <c r="FB2" s="48">
        <f t="shared" ref="FB2" si="131">FB1</f>
        <v>44104</v>
      </c>
      <c r="FC2" s="48">
        <f t="shared" ref="FC2" si="132">FC1</f>
        <v>44105</v>
      </c>
      <c r="FD2" s="48">
        <f t="shared" ref="FD2" si="133">FD1</f>
        <v>44106</v>
      </c>
      <c r="FE2" s="48">
        <f t="shared" ref="FE2" si="134">FE1</f>
        <v>44107</v>
      </c>
      <c r="FF2" s="50">
        <f t="shared" ref="FF2" si="135">FF1</f>
        <v>44108</v>
      </c>
      <c r="FG2" s="48">
        <f t="shared" ref="FG2" si="136">FG1</f>
        <v>44109</v>
      </c>
      <c r="FH2" s="48">
        <f t="shared" ref="FH2" si="137">FH1</f>
        <v>44110</v>
      </c>
      <c r="FI2" s="48">
        <f t="shared" ref="FI2" si="138">FI1</f>
        <v>44111</v>
      </c>
      <c r="FJ2" s="48">
        <f t="shared" ref="FJ2" si="139">FJ1</f>
        <v>44112</v>
      </c>
      <c r="FK2" s="48">
        <f t="shared" ref="FK2" si="140">FK1</f>
        <v>44113</v>
      </c>
      <c r="FL2" s="48">
        <f t="shared" ref="FL2" si="141">FL1</f>
        <v>44114</v>
      </c>
      <c r="FM2" s="50">
        <f t="shared" ref="FM2" si="142">FM1</f>
        <v>44115</v>
      </c>
      <c r="FN2" s="48">
        <f t="shared" ref="FN2" si="143">FN1</f>
        <v>44116</v>
      </c>
      <c r="FO2" s="48">
        <f t="shared" ref="FO2" si="144">FO1</f>
        <v>44117</v>
      </c>
      <c r="FP2" s="48">
        <f t="shared" ref="FP2" si="145">FP1</f>
        <v>44118</v>
      </c>
      <c r="FQ2" s="48">
        <f t="shared" ref="FQ2" si="146">FQ1</f>
        <v>44119</v>
      </c>
      <c r="FR2" s="48">
        <f t="shared" ref="FR2" si="147">FR1</f>
        <v>44120</v>
      </c>
      <c r="FS2" s="48">
        <f t="shared" ref="FS2" si="148">FS1</f>
        <v>44121</v>
      </c>
      <c r="FT2" s="50">
        <f t="shared" ref="FT2" si="149">FT1</f>
        <v>44122</v>
      </c>
      <c r="FU2" s="48">
        <f t="shared" ref="FU2" si="150">FU1</f>
        <v>44123</v>
      </c>
      <c r="FV2" s="48">
        <f t="shared" ref="FV2" si="151">FV1</f>
        <v>44124</v>
      </c>
      <c r="FW2" s="48">
        <f t="shared" ref="FW2" si="152">FW1</f>
        <v>44125</v>
      </c>
      <c r="FX2" s="48">
        <f t="shared" ref="FX2" si="153">FX1</f>
        <v>44126</v>
      </c>
      <c r="FY2" s="48">
        <f t="shared" ref="FY2" si="154">FY1</f>
        <v>44127</v>
      </c>
      <c r="FZ2" s="48">
        <f t="shared" ref="FZ2" si="155">FZ1</f>
        <v>44128</v>
      </c>
      <c r="GA2" s="50">
        <f t="shared" ref="GA2" si="156">GA1</f>
        <v>44129</v>
      </c>
      <c r="GB2" s="48">
        <f t="shared" ref="GB2" si="157">GB1</f>
        <v>44130</v>
      </c>
      <c r="GC2" s="48">
        <f t="shared" ref="GC2" si="158">GC1</f>
        <v>44131</v>
      </c>
      <c r="GD2" s="48">
        <f t="shared" ref="GD2" si="159">GD1</f>
        <v>44132</v>
      </c>
      <c r="GE2" s="48">
        <f t="shared" ref="GE2" si="160">GE1</f>
        <v>44133</v>
      </c>
      <c r="GF2" s="48">
        <f t="shared" ref="GF2" si="161">GF1</f>
        <v>44134</v>
      </c>
      <c r="GG2" s="48">
        <f t="shared" ref="GG2" si="162">GG1</f>
        <v>44135</v>
      </c>
      <c r="GH2" s="50">
        <f t="shared" ref="GH2" si="163">GH1</f>
        <v>44136</v>
      </c>
      <c r="GI2" s="48">
        <f t="shared" ref="GI2" si="164">GI1</f>
        <v>44137</v>
      </c>
      <c r="GJ2" s="48">
        <f t="shared" ref="GJ2" si="165">GJ1</f>
        <v>44138</v>
      </c>
      <c r="GK2" s="48">
        <f t="shared" ref="GK2" si="166">GK1</f>
        <v>44139</v>
      </c>
      <c r="GL2" s="48">
        <f t="shared" ref="GL2" si="167">GL1</f>
        <v>44140</v>
      </c>
      <c r="GM2" s="48">
        <f t="shared" ref="GM2" si="168">GM1</f>
        <v>44141</v>
      </c>
      <c r="GN2" s="48">
        <f t="shared" ref="GN2" si="169">GN1</f>
        <v>44142</v>
      </c>
      <c r="GO2" s="50">
        <f t="shared" ref="GO2" si="170">GO1</f>
        <v>44143</v>
      </c>
      <c r="GP2" s="48">
        <f t="shared" ref="GP2" si="171">GP1</f>
        <v>44144</v>
      </c>
      <c r="GQ2" s="48">
        <f t="shared" ref="GQ2" si="172">GQ1</f>
        <v>44145</v>
      </c>
      <c r="GR2" s="48">
        <f t="shared" ref="GR2" si="173">GR1</f>
        <v>44146</v>
      </c>
      <c r="GS2" s="48">
        <f t="shared" ref="GS2" si="174">GS1</f>
        <v>44147</v>
      </c>
      <c r="GT2" s="48">
        <f t="shared" ref="GT2" si="175">GT1</f>
        <v>44148</v>
      </c>
      <c r="GU2" s="48">
        <f t="shared" ref="GU2" si="176">GU1</f>
        <v>44149</v>
      </c>
      <c r="GV2" s="50">
        <f t="shared" ref="GV2" si="177">GV1</f>
        <v>44150</v>
      </c>
      <c r="GW2" s="48">
        <f t="shared" ref="GW2" si="178">GW1</f>
        <v>44151</v>
      </c>
      <c r="GX2" s="48">
        <f t="shared" ref="GX2" si="179">GX1</f>
        <v>44152</v>
      </c>
      <c r="GY2" s="48">
        <f t="shared" ref="GY2" si="180">GY1</f>
        <v>44153</v>
      </c>
      <c r="GZ2" s="48">
        <f t="shared" ref="GZ2" si="181">GZ1</f>
        <v>44154</v>
      </c>
      <c r="HA2" s="48">
        <f t="shared" ref="HA2" si="182">HA1</f>
        <v>44155</v>
      </c>
      <c r="HB2" s="48">
        <f t="shared" ref="HB2" si="183">HB1</f>
        <v>44156</v>
      </c>
      <c r="HC2" s="50">
        <f t="shared" ref="HC2" si="184">HC1</f>
        <v>44157</v>
      </c>
      <c r="HD2" s="48">
        <f t="shared" ref="HD2" si="185">HD1</f>
        <v>44158</v>
      </c>
      <c r="HE2" s="48">
        <f t="shared" ref="HE2" si="186">HE1</f>
        <v>44159</v>
      </c>
      <c r="HF2" s="48">
        <f t="shared" ref="HF2" si="187">HF1</f>
        <v>44160</v>
      </c>
      <c r="HG2" s="48">
        <f t="shared" ref="HG2" si="188">HG1</f>
        <v>44161</v>
      </c>
      <c r="HH2" s="48">
        <f t="shared" ref="HH2" si="189">HH1</f>
        <v>44162</v>
      </c>
      <c r="HI2" s="48">
        <f t="shared" ref="HI2" si="190">HI1</f>
        <v>44163</v>
      </c>
      <c r="HJ2" s="50">
        <f t="shared" ref="HJ2" si="191">HJ1</f>
        <v>44164</v>
      </c>
      <c r="HK2" s="48">
        <f t="shared" ref="HK2" si="192">HK1</f>
        <v>44165</v>
      </c>
      <c r="HL2" s="48">
        <f t="shared" ref="HL2" si="193">HL1</f>
        <v>44166</v>
      </c>
      <c r="HM2" s="48">
        <f t="shared" ref="HM2" si="194">HM1</f>
        <v>44167</v>
      </c>
      <c r="HN2" s="48">
        <f t="shared" ref="HN2" si="195">HN1</f>
        <v>44168</v>
      </c>
      <c r="HO2" s="48">
        <f t="shared" ref="HO2" si="196">HO1</f>
        <v>44169</v>
      </c>
      <c r="HP2" s="48">
        <f t="shared" ref="HP2" si="197">HP1</f>
        <v>44170</v>
      </c>
      <c r="HQ2" s="50">
        <f t="shared" ref="HQ2" si="198">HQ1</f>
        <v>44171</v>
      </c>
      <c r="HR2" s="48">
        <f t="shared" ref="HR2" si="199">HR1</f>
        <v>44172</v>
      </c>
      <c r="HS2" s="48">
        <f t="shared" ref="HS2" si="200">HS1</f>
        <v>44173</v>
      </c>
      <c r="HT2" s="48">
        <f t="shared" ref="HT2" si="201">HT1</f>
        <v>44174</v>
      </c>
      <c r="HU2" s="48">
        <f t="shared" ref="HU2" si="202">HU1</f>
        <v>44175</v>
      </c>
      <c r="HV2" s="48">
        <f t="shared" ref="HV2" si="203">HV1</f>
        <v>44176</v>
      </c>
      <c r="HW2" s="48">
        <f t="shared" ref="HW2" si="204">HW1</f>
        <v>44177</v>
      </c>
      <c r="HX2" s="50">
        <f t="shared" ref="HX2" si="205">HX1</f>
        <v>44178</v>
      </c>
      <c r="HY2" s="48">
        <f t="shared" ref="HY2" si="206">HY1</f>
        <v>44179</v>
      </c>
      <c r="HZ2" s="48">
        <f t="shared" ref="HZ2" si="207">HZ1</f>
        <v>44180</v>
      </c>
      <c r="IA2" s="48">
        <f t="shared" ref="IA2" si="208">IA1</f>
        <v>44181</v>
      </c>
      <c r="IB2" s="48">
        <f t="shared" ref="IB2" si="209">IB1</f>
        <v>44182</v>
      </c>
      <c r="IC2" s="48">
        <f t="shared" ref="IC2" si="210">IC1</f>
        <v>44183</v>
      </c>
      <c r="ID2" s="48">
        <f t="shared" ref="ID2" si="211">ID1</f>
        <v>44184</v>
      </c>
      <c r="IE2" s="50">
        <f t="shared" ref="IE2" si="212">IE1</f>
        <v>44185</v>
      </c>
      <c r="IF2" s="48">
        <f t="shared" ref="IF2" si="213">IF1</f>
        <v>44186</v>
      </c>
      <c r="IG2" s="48">
        <f t="shared" ref="IG2" si="214">IG1</f>
        <v>44187</v>
      </c>
      <c r="IH2" s="48">
        <f t="shared" ref="IH2" si="215">IH1</f>
        <v>44188</v>
      </c>
      <c r="II2" s="48">
        <f t="shared" ref="II2" si="216">II1</f>
        <v>44189</v>
      </c>
      <c r="IJ2" s="48">
        <f t="shared" ref="IJ2" si="217">IJ1</f>
        <v>44190</v>
      </c>
      <c r="IK2" s="48">
        <f t="shared" ref="IK2" si="218">IK1</f>
        <v>44191</v>
      </c>
      <c r="IL2" s="50">
        <f t="shared" ref="IL2" si="219">IL1</f>
        <v>44192</v>
      </c>
      <c r="IM2" s="48">
        <f t="shared" ref="IM2" si="220">IM1</f>
        <v>44193</v>
      </c>
      <c r="IN2" s="48">
        <f t="shared" ref="IN2" si="221">IN1</f>
        <v>44194</v>
      </c>
      <c r="IO2" s="48">
        <f t="shared" ref="IO2" si="222">IO1</f>
        <v>44195</v>
      </c>
      <c r="IP2" s="48">
        <f t="shared" ref="IP2" si="223">IP1</f>
        <v>44196</v>
      </c>
      <c r="IQ2" s="48">
        <f t="shared" ref="IQ2" si="224">IQ1</f>
        <v>44197</v>
      </c>
      <c r="IR2" s="48">
        <f t="shared" ref="IR2" si="225">IR1</f>
        <v>44198</v>
      </c>
      <c r="IS2" s="50">
        <f t="shared" ref="IS2" si="226">IS1</f>
        <v>44199</v>
      </c>
      <c r="IT2" s="48">
        <f t="shared" ref="IT2" si="227">IT1</f>
        <v>44200</v>
      </c>
      <c r="IU2" s="48">
        <f t="shared" ref="IU2" si="228">IU1</f>
        <v>44201</v>
      </c>
      <c r="IV2" s="48">
        <f t="shared" ref="IV2" si="229">IV1</f>
        <v>44202</v>
      </c>
      <c r="IW2" s="48">
        <f t="shared" ref="IW2" si="230">IW1</f>
        <v>44203</v>
      </c>
      <c r="IX2" s="48">
        <f t="shared" ref="IX2" si="231">IX1</f>
        <v>44204</v>
      </c>
      <c r="IY2" s="48">
        <f t="shared" ref="IY2" si="232">IY1</f>
        <v>44205</v>
      </c>
      <c r="IZ2" s="50">
        <f t="shared" ref="IZ2" si="233">IZ1</f>
        <v>44206</v>
      </c>
      <c r="JA2" s="48">
        <f t="shared" ref="JA2" si="234">JA1</f>
        <v>44207</v>
      </c>
      <c r="JB2" s="48">
        <f t="shared" ref="JB2" si="235">JB1</f>
        <v>44208</v>
      </c>
      <c r="JC2" s="48">
        <f t="shared" ref="JC2" si="236">JC1</f>
        <v>44209</v>
      </c>
      <c r="JD2" s="48">
        <f t="shared" ref="JD2" si="237">JD1</f>
        <v>44210</v>
      </c>
      <c r="JE2" s="48">
        <f t="shared" ref="JE2" si="238">JE1</f>
        <v>44211</v>
      </c>
      <c r="JF2" s="48">
        <f t="shared" ref="JF2" si="239">JF1</f>
        <v>44212</v>
      </c>
      <c r="JG2" s="50">
        <f t="shared" ref="JG2" si="240">JG1</f>
        <v>44213</v>
      </c>
      <c r="JH2" s="48">
        <f t="shared" ref="JH2" si="241">JH1</f>
        <v>44214</v>
      </c>
      <c r="JI2" s="48">
        <f t="shared" ref="JI2" si="242">JI1</f>
        <v>44215</v>
      </c>
      <c r="JJ2" s="48">
        <f t="shared" ref="JJ2" si="243">JJ1</f>
        <v>44216</v>
      </c>
      <c r="JK2" s="48">
        <f t="shared" ref="JK2" si="244">JK1</f>
        <v>44217</v>
      </c>
      <c r="JL2" s="48">
        <f t="shared" ref="JL2" si="245">JL1</f>
        <v>44218</v>
      </c>
      <c r="JM2" s="48">
        <f t="shared" ref="JM2" si="246">JM1</f>
        <v>44219</v>
      </c>
      <c r="JN2" s="50">
        <f t="shared" ref="JN2" si="247">JN1</f>
        <v>44220</v>
      </c>
      <c r="JO2" s="48">
        <f t="shared" ref="JO2" si="248">JO1</f>
        <v>44221</v>
      </c>
      <c r="JP2" s="48">
        <f t="shared" ref="JP2" si="249">JP1</f>
        <v>44222</v>
      </c>
      <c r="JQ2" s="48">
        <f t="shared" ref="JQ2" si="250">JQ1</f>
        <v>44223</v>
      </c>
      <c r="JR2" s="48">
        <f t="shared" ref="JR2" si="251">JR1</f>
        <v>44224</v>
      </c>
      <c r="JS2" s="48">
        <f t="shared" ref="JS2" si="252">JS1</f>
        <v>44225</v>
      </c>
      <c r="JT2" s="48">
        <f t="shared" ref="JT2" si="253">JT1</f>
        <v>44226</v>
      </c>
      <c r="JU2" s="50">
        <f t="shared" ref="JU2" si="254">JU1</f>
        <v>44227</v>
      </c>
      <c r="JV2" s="48">
        <f t="shared" ref="JV2" si="255">JV1</f>
        <v>44228</v>
      </c>
      <c r="JW2" s="48">
        <f t="shared" ref="JW2" si="256">JW1</f>
        <v>44229</v>
      </c>
      <c r="JX2" s="48">
        <f t="shared" ref="JX2" si="257">JX1</f>
        <v>44230</v>
      </c>
      <c r="JY2" s="48">
        <f t="shared" ref="JY2" si="258">JY1</f>
        <v>44231</v>
      </c>
      <c r="JZ2" s="48">
        <f t="shared" ref="JZ2" si="259">JZ1</f>
        <v>44232</v>
      </c>
      <c r="KA2" s="48">
        <f t="shared" ref="KA2" si="260">KA1</f>
        <v>44233</v>
      </c>
      <c r="KB2" s="50">
        <f t="shared" ref="KB2" si="261">KB1</f>
        <v>44234</v>
      </c>
      <c r="KC2" s="48">
        <f t="shared" ref="KC2" si="262">KC1</f>
        <v>44235</v>
      </c>
      <c r="KD2" s="48">
        <f t="shared" ref="KD2" si="263">KD1</f>
        <v>44236</v>
      </c>
      <c r="KE2" s="48">
        <f t="shared" ref="KE2" si="264">KE1</f>
        <v>44237</v>
      </c>
      <c r="KF2" s="48">
        <f t="shared" ref="KF2" si="265">KF1</f>
        <v>44238</v>
      </c>
      <c r="KG2" s="48">
        <f t="shared" ref="KG2" si="266">KG1</f>
        <v>44239</v>
      </c>
      <c r="KH2" s="48">
        <f t="shared" ref="KH2" si="267">KH1</f>
        <v>44240</v>
      </c>
      <c r="KI2" s="50">
        <f t="shared" ref="KI2" si="268">KI1</f>
        <v>44241</v>
      </c>
      <c r="KJ2" s="48">
        <f t="shared" ref="KJ2" si="269">KJ1</f>
        <v>44242</v>
      </c>
      <c r="KK2" s="48">
        <f t="shared" ref="KK2" si="270">KK1</f>
        <v>44243</v>
      </c>
      <c r="KL2" s="48">
        <f t="shared" ref="KL2" si="271">KL1</f>
        <v>44244</v>
      </c>
      <c r="KM2" s="48">
        <f t="shared" ref="KM2" si="272">KM1</f>
        <v>44245</v>
      </c>
      <c r="KN2" s="48">
        <f t="shared" ref="KN2" si="273">KN1</f>
        <v>44246</v>
      </c>
      <c r="KO2" s="48">
        <f t="shared" ref="KO2" si="274">KO1</f>
        <v>44247</v>
      </c>
      <c r="KP2" s="50">
        <f t="shared" ref="KP2" si="275">KP1</f>
        <v>44248</v>
      </c>
      <c r="KQ2" s="48">
        <f t="shared" ref="KQ2" si="276">KQ1</f>
        <v>44249</v>
      </c>
      <c r="KR2" s="48">
        <f t="shared" ref="KR2" si="277">KR1</f>
        <v>44250</v>
      </c>
      <c r="KS2" s="48">
        <f t="shared" ref="KS2" si="278">KS1</f>
        <v>44251</v>
      </c>
      <c r="KT2" s="48">
        <f t="shared" ref="KT2" si="279">KT1</f>
        <v>44252</v>
      </c>
      <c r="KU2" s="48">
        <f t="shared" ref="KU2" si="280">KU1</f>
        <v>44253</v>
      </c>
      <c r="KV2" s="48">
        <f t="shared" ref="KV2" si="281">KV1</f>
        <v>44254</v>
      </c>
      <c r="KW2" s="50">
        <f t="shared" ref="KW2" si="282">KW1</f>
        <v>44255</v>
      </c>
      <c r="KX2" s="48">
        <f t="shared" ref="KX2" si="283">KX1</f>
        <v>44256</v>
      </c>
      <c r="KY2" s="48">
        <f t="shared" ref="KY2" si="284">KY1</f>
        <v>44257</v>
      </c>
      <c r="KZ2" s="48">
        <f t="shared" ref="KZ2" si="285">KZ1</f>
        <v>44258</v>
      </c>
      <c r="LA2" s="48">
        <f t="shared" ref="LA2" si="286">LA1</f>
        <v>44259</v>
      </c>
      <c r="LB2" s="48">
        <f t="shared" ref="LB2" si="287">LB1</f>
        <v>44260</v>
      </c>
      <c r="LC2" s="48">
        <f t="shared" ref="LC2" si="288">LC1</f>
        <v>44261</v>
      </c>
      <c r="LD2" s="50">
        <f t="shared" ref="LD2" si="289">LD1</f>
        <v>44262</v>
      </c>
      <c r="LE2" s="48">
        <f t="shared" ref="LE2" si="290">LE1</f>
        <v>44263</v>
      </c>
      <c r="LF2" s="48">
        <f t="shared" ref="LF2" si="291">LF1</f>
        <v>44264</v>
      </c>
      <c r="LG2" s="48">
        <f t="shared" ref="LG2" si="292">LG1</f>
        <v>44265</v>
      </c>
      <c r="LH2" s="48">
        <f t="shared" ref="LH2" si="293">LH1</f>
        <v>44266</v>
      </c>
      <c r="LI2" s="48">
        <f t="shared" ref="LI2" si="294">LI1</f>
        <v>44267</v>
      </c>
      <c r="LJ2" s="48">
        <f t="shared" ref="LJ2" si="295">LJ1</f>
        <v>44268</v>
      </c>
      <c r="LK2" s="50">
        <f t="shared" ref="LK2" si="296">LK1</f>
        <v>44269</v>
      </c>
      <c r="LL2" s="48">
        <f t="shared" ref="LL2" si="297">LL1</f>
        <v>44270</v>
      </c>
      <c r="LM2" s="48">
        <f t="shared" ref="LM2" si="298">LM1</f>
        <v>44271</v>
      </c>
      <c r="LN2" s="48">
        <f t="shared" ref="LN2" si="299">LN1</f>
        <v>44272</v>
      </c>
      <c r="LO2" s="48">
        <f t="shared" ref="LO2" si="300">LO1</f>
        <v>44273</v>
      </c>
      <c r="LP2" s="48">
        <f t="shared" ref="LP2" si="301">LP1</f>
        <v>44274</v>
      </c>
      <c r="LQ2" s="48">
        <f t="shared" ref="LQ2" si="302">LQ1</f>
        <v>44275</v>
      </c>
      <c r="LR2" s="50">
        <f t="shared" ref="LR2" si="303">LR1</f>
        <v>44276</v>
      </c>
      <c r="LS2" s="48">
        <f t="shared" ref="LS2" si="304">LS1</f>
        <v>44277</v>
      </c>
      <c r="LT2" s="48">
        <f t="shared" ref="LT2" si="305">LT1</f>
        <v>44278</v>
      </c>
      <c r="LU2" s="48">
        <f t="shared" ref="LU2" si="306">LU1</f>
        <v>44279</v>
      </c>
      <c r="LV2" s="48">
        <f t="shared" ref="LV2" si="307">LV1</f>
        <v>44280</v>
      </c>
      <c r="LW2" s="48">
        <f t="shared" ref="LW2" si="308">LW1</f>
        <v>44281</v>
      </c>
      <c r="LX2" s="48">
        <f t="shared" ref="LX2" si="309">LX1</f>
        <v>44282</v>
      </c>
      <c r="LY2" s="50">
        <f t="shared" ref="LY2" si="310">LY1</f>
        <v>44283</v>
      </c>
      <c r="LZ2" s="48">
        <f t="shared" ref="LZ2" si="311">LZ1</f>
        <v>44284</v>
      </c>
      <c r="MA2" s="48">
        <f t="shared" ref="MA2" si="312">MA1</f>
        <v>44285</v>
      </c>
      <c r="MB2" s="48">
        <f t="shared" ref="MB2" si="313">MB1</f>
        <v>44286</v>
      </c>
      <c r="MC2" s="48">
        <f t="shared" ref="MC2" si="314">MC1</f>
        <v>44287</v>
      </c>
      <c r="MD2" s="48">
        <f t="shared" ref="MD2" si="315">MD1</f>
        <v>44288</v>
      </c>
      <c r="ME2" s="48">
        <f t="shared" ref="ME2" si="316">ME1</f>
        <v>44289</v>
      </c>
      <c r="MF2" s="50">
        <f t="shared" ref="MF2" si="317">MF1</f>
        <v>44290</v>
      </c>
    </row>
    <row r="3" spans="1:344" ht="15" customHeight="1" x14ac:dyDescent="0.25">
      <c r="A3" s="144"/>
      <c r="B3" s="144"/>
      <c r="C3" s="144"/>
      <c r="D3" s="144"/>
      <c r="E3" s="144"/>
      <c r="F3" s="39"/>
      <c r="G3" s="39"/>
      <c r="H3" s="39"/>
      <c r="I3" s="39"/>
      <c r="J3" s="39"/>
      <c r="K3" s="39"/>
      <c r="L3" s="39"/>
      <c r="M3" s="39"/>
      <c r="N3" s="39"/>
      <c r="O3" s="27"/>
      <c r="P3" s="146"/>
      <c r="Q3" s="141"/>
      <c r="R3" s="143"/>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399</v>
      </c>
      <c r="CM3" s="38"/>
      <c r="CN3" s="38"/>
      <c r="CO3" s="38" t="s">
        <v>148</v>
      </c>
      <c r="CP3" s="38"/>
      <c r="CQ3" s="24"/>
      <c r="CR3" s="25"/>
      <c r="CS3" s="25" t="s">
        <v>399</v>
      </c>
      <c r="CT3" s="25"/>
      <c r="CU3" s="38" t="s">
        <v>148</v>
      </c>
      <c r="CV3" s="38" t="s">
        <v>399</v>
      </c>
      <c r="CW3" s="38"/>
      <c r="CX3" s="25" t="s">
        <v>148</v>
      </c>
      <c r="CY3" s="41"/>
      <c r="CZ3" s="105"/>
      <c r="DA3" s="38"/>
      <c r="DB3" s="38" t="s">
        <v>399</v>
      </c>
      <c r="DC3" s="38"/>
      <c r="DD3" s="38" t="s">
        <v>148</v>
      </c>
      <c r="DE3" s="38" t="s">
        <v>399</v>
      </c>
      <c r="DF3" s="38"/>
      <c r="DG3" s="38" t="s">
        <v>148</v>
      </c>
      <c r="DH3" s="38"/>
      <c r="DI3" s="24" t="s">
        <v>148</v>
      </c>
      <c r="DJ3" s="38"/>
      <c r="DK3" s="38" t="s">
        <v>399</v>
      </c>
      <c r="DL3" s="38"/>
      <c r="DM3" s="38" t="s">
        <v>148</v>
      </c>
      <c r="DN3" s="38" t="s">
        <v>399</v>
      </c>
      <c r="DO3" s="38"/>
      <c r="DP3" s="24" t="s">
        <v>148</v>
      </c>
      <c r="DQ3" s="38"/>
      <c r="DR3" s="38" t="s">
        <v>399</v>
      </c>
      <c r="DS3" s="38"/>
      <c r="DT3" s="38" t="s">
        <v>148</v>
      </c>
      <c r="DU3" s="38" t="s">
        <v>399</v>
      </c>
      <c r="DV3" s="38"/>
      <c r="DW3" s="24" t="s">
        <v>148</v>
      </c>
      <c r="DX3" s="38"/>
      <c r="DY3" s="38" t="s">
        <v>38</v>
      </c>
      <c r="DZ3" s="38"/>
      <c r="EA3" s="38" t="s">
        <v>38</v>
      </c>
      <c r="EB3" s="38" t="s">
        <v>38</v>
      </c>
      <c r="EC3" s="38"/>
      <c r="ED3" s="24"/>
      <c r="EE3" s="38"/>
      <c r="EF3" s="38" t="s">
        <v>38</v>
      </c>
      <c r="EG3" s="38"/>
      <c r="EH3" s="38" t="s">
        <v>38</v>
      </c>
      <c r="EI3" s="38" t="s">
        <v>38</v>
      </c>
      <c r="EJ3" s="38"/>
      <c r="EK3" s="24"/>
      <c r="EL3" s="38"/>
      <c r="EM3" s="38" t="s">
        <v>38</v>
      </c>
      <c r="EN3" s="38"/>
      <c r="EO3" s="38" t="s">
        <v>38</v>
      </c>
      <c r="EP3" s="38" t="s">
        <v>38</v>
      </c>
      <c r="EQ3" s="38"/>
      <c r="ER3" s="24"/>
      <c r="ES3" s="38"/>
      <c r="ET3" s="38" t="s">
        <v>38</v>
      </c>
      <c r="EU3" s="38"/>
      <c r="EV3" s="38" t="s">
        <v>38</v>
      </c>
      <c r="EW3" s="38" t="s">
        <v>38</v>
      </c>
      <c r="EX3" s="38" t="s">
        <v>46</v>
      </c>
      <c r="EY3" s="24"/>
      <c r="EZ3" s="38"/>
      <c r="FA3" s="38" t="s">
        <v>38</v>
      </c>
      <c r="FB3" s="38"/>
      <c r="FC3" s="38" t="s">
        <v>38</v>
      </c>
      <c r="FD3" s="38" t="s">
        <v>38</v>
      </c>
      <c r="FE3" s="38"/>
      <c r="FF3" s="24"/>
      <c r="FG3" s="38"/>
      <c r="FH3" s="38" t="s">
        <v>38</v>
      </c>
      <c r="FI3" s="38"/>
      <c r="FJ3" s="38" t="s">
        <v>38</v>
      </c>
      <c r="FK3" s="38" t="s">
        <v>38</v>
      </c>
      <c r="FL3" s="38"/>
      <c r="FM3" s="24"/>
      <c r="FN3" s="38"/>
      <c r="FO3" s="38" t="s">
        <v>38</v>
      </c>
      <c r="FP3" s="38"/>
      <c r="FQ3" s="38" t="s">
        <v>38</v>
      </c>
      <c r="FR3" s="38" t="s">
        <v>38</v>
      </c>
      <c r="FS3" s="38"/>
      <c r="FT3" s="24"/>
      <c r="FU3" s="38"/>
      <c r="FV3" s="38" t="s">
        <v>38</v>
      </c>
      <c r="FW3" s="38"/>
      <c r="FX3" s="38" t="s">
        <v>38</v>
      </c>
      <c r="FY3" s="38" t="s">
        <v>38</v>
      </c>
      <c r="FZ3" s="38"/>
      <c r="GA3" s="24"/>
      <c r="GB3" s="38"/>
      <c r="GC3" s="38" t="s">
        <v>38</v>
      </c>
      <c r="GD3" s="38"/>
      <c r="GE3" s="38" t="s">
        <v>38</v>
      </c>
      <c r="GF3" s="38" t="s">
        <v>38</v>
      </c>
      <c r="GG3" s="38"/>
      <c r="GH3" s="24"/>
      <c r="GI3" s="38"/>
      <c r="GJ3" s="38" t="s">
        <v>38</v>
      </c>
      <c r="GK3" s="38"/>
      <c r="GL3" s="38" t="s">
        <v>38</v>
      </c>
      <c r="GM3" s="38" t="s">
        <v>38</v>
      </c>
      <c r="GN3" s="38"/>
      <c r="GO3" s="24"/>
      <c r="GP3" s="38"/>
      <c r="GQ3" s="38" t="s">
        <v>38</v>
      </c>
      <c r="GR3" s="38"/>
      <c r="GS3" s="38" t="s">
        <v>38</v>
      </c>
      <c r="GT3" s="38" t="s">
        <v>38</v>
      </c>
      <c r="GU3" s="38"/>
      <c r="GV3" s="24"/>
      <c r="GW3" s="38"/>
      <c r="GX3" s="38" t="s">
        <v>38</v>
      </c>
      <c r="GY3" s="38"/>
      <c r="GZ3" s="38" t="s">
        <v>38</v>
      </c>
      <c r="HA3" s="38" t="s">
        <v>38</v>
      </c>
      <c r="HB3" s="38"/>
      <c r="HC3" s="24"/>
      <c r="HD3" s="38"/>
      <c r="HE3" s="38" t="s">
        <v>38</v>
      </c>
      <c r="HF3" s="38"/>
      <c r="HG3" s="38" t="s">
        <v>38</v>
      </c>
      <c r="HH3" s="38" t="s">
        <v>38</v>
      </c>
      <c r="HI3" s="38"/>
      <c r="HJ3" s="24"/>
      <c r="HK3" s="38"/>
      <c r="HL3" s="38" t="s">
        <v>38</v>
      </c>
      <c r="HM3" s="38" t="s">
        <v>38</v>
      </c>
      <c r="HN3" s="38"/>
      <c r="HO3" s="38" t="s">
        <v>38</v>
      </c>
      <c r="HP3" s="38">
        <v>14</v>
      </c>
      <c r="HQ3" s="24"/>
      <c r="HR3" s="38"/>
      <c r="HS3" s="38" t="s">
        <v>38</v>
      </c>
      <c r="HT3" s="38"/>
      <c r="HU3" s="38" t="s">
        <v>38</v>
      </c>
      <c r="HV3" s="38" t="s">
        <v>38</v>
      </c>
      <c r="HW3" s="38"/>
      <c r="HX3" s="24"/>
      <c r="HY3" s="38"/>
      <c r="HZ3" s="38" t="s">
        <v>38</v>
      </c>
      <c r="IA3" s="38"/>
      <c r="IB3" s="38" t="s">
        <v>38</v>
      </c>
      <c r="IC3" s="38" t="s">
        <v>38</v>
      </c>
      <c r="ID3" s="38">
        <v>10</v>
      </c>
      <c r="IE3" s="24"/>
      <c r="IF3" s="38"/>
      <c r="IG3" s="38" t="s">
        <v>38</v>
      </c>
      <c r="IH3" s="38"/>
      <c r="II3" s="38" t="s">
        <v>38</v>
      </c>
      <c r="IJ3" s="38" t="s">
        <v>38</v>
      </c>
      <c r="IK3" s="38">
        <v>11</v>
      </c>
      <c r="IL3" s="24" t="s">
        <v>47</v>
      </c>
      <c r="IM3" s="38"/>
      <c r="IN3" s="38" t="s">
        <v>38</v>
      </c>
      <c r="IO3" s="38" t="s">
        <v>40</v>
      </c>
      <c r="IP3" s="38" t="s">
        <v>38</v>
      </c>
      <c r="IQ3" s="38" t="s">
        <v>38</v>
      </c>
      <c r="IR3" s="38">
        <v>11</v>
      </c>
      <c r="IS3" s="24">
        <v>13</v>
      </c>
      <c r="IT3" s="38"/>
      <c r="IU3" s="38" t="s">
        <v>38</v>
      </c>
      <c r="IV3" s="38"/>
      <c r="IW3" s="38" t="s">
        <v>38</v>
      </c>
      <c r="IX3" s="38" t="s">
        <v>38</v>
      </c>
      <c r="IY3" s="38" t="s">
        <v>40</v>
      </c>
      <c r="IZ3" s="24">
        <v>12</v>
      </c>
      <c r="JA3" s="38"/>
      <c r="JB3" s="38" t="s">
        <v>38</v>
      </c>
      <c r="JC3" s="38"/>
      <c r="JD3" s="38" t="s">
        <v>38</v>
      </c>
      <c r="JE3" s="38"/>
      <c r="JF3" s="38" t="s">
        <v>45</v>
      </c>
      <c r="JG3" s="24" t="s">
        <v>45</v>
      </c>
      <c r="JH3" s="38"/>
      <c r="JI3" s="38"/>
      <c r="JJ3" s="38"/>
      <c r="JK3" s="38" t="s">
        <v>38</v>
      </c>
      <c r="JL3" s="38" t="s">
        <v>44</v>
      </c>
      <c r="JM3" s="38" t="s">
        <v>44</v>
      </c>
      <c r="JN3" s="24"/>
      <c r="JO3" s="38" t="s">
        <v>38</v>
      </c>
      <c r="JP3" s="38" t="s">
        <v>38</v>
      </c>
      <c r="JQ3" s="38"/>
      <c r="JR3" s="38" t="s">
        <v>38</v>
      </c>
      <c r="JS3" s="38" t="s">
        <v>38</v>
      </c>
      <c r="JT3" s="38"/>
      <c r="JU3" s="24" t="s">
        <v>43</v>
      </c>
      <c r="JV3" s="38"/>
      <c r="JW3" s="38" t="s">
        <v>38</v>
      </c>
      <c r="JX3" s="38" t="s">
        <v>43</v>
      </c>
      <c r="JY3" s="38" t="s">
        <v>38</v>
      </c>
      <c r="JZ3" s="38" t="s">
        <v>38</v>
      </c>
      <c r="KA3" s="38" t="s">
        <v>43</v>
      </c>
      <c r="KB3" s="24" t="s">
        <v>41</v>
      </c>
      <c r="KC3" s="38" t="s">
        <v>40</v>
      </c>
      <c r="KD3" s="38" t="s">
        <v>38</v>
      </c>
      <c r="KE3" s="38"/>
      <c r="KF3" s="38" t="s">
        <v>38</v>
      </c>
      <c r="KG3" s="38" t="s">
        <v>38</v>
      </c>
      <c r="KH3" s="38">
        <v>12</v>
      </c>
      <c r="KI3" s="24">
        <v>12</v>
      </c>
      <c r="KJ3" s="38"/>
      <c r="KK3" s="38" t="s">
        <v>38</v>
      </c>
      <c r="KL3" s="38"/>
      <c r="KM3" s="38" t="s">
        <v>38</v>
      </c>
      <c r="KN3" s="38" t="s">
        <v>38</v>
      </c>
      <c r="KO3" s="38" t="s">
        <v>38</v>
      </c>
      <c r="KP3" s="24">
        <v>11</v>
      </c>
      <c r="KQ3" s="38"/>
      <c r="KR3" s="38" t="s">
        <v>38</v>
      </c>
      <c r="KS3" s="38"/>
      <c r="KT3" s="38" t="s">
        <v>38</v>
      </c>
      <c r="KU3" s="38" t="s">
        <v>38</v>
      </c>
      <c r="KV3" s="38">
        <v>13</v>
      </c>
      <c r="KW3" s="24">
        <v>13</v>
      </c>
      <c r="KX3" s="38"/>
      <c r="KY3" s="38" t="s">
        <v>38</v>
      </c>
      <c r="KZ3" s="38"/>
      <c r="LA3" s="38">
        <v>10</v>
      </c>
      <c r="LB3" s="38"/>
      <c r="LC3" s="38"/>
      <c r="LD3" s="26" t="s">
        <v>39</v>
      </c>
      <c r="LE3" s="38"/>
      <c r="LF3" s="38" t="s">
        <v>38</v>
      </c>
      <c r="LG3" s="38"/>
      <c r="LH3" s="38" t="s">
        <v>38</v>
      </c>
      <c r="LI3" s="38" t="s">
        <v>38</v>
      </c>
      <c r="LJ3" s="38"/>
      <c r="LK3" s="24"/>
      <c r="LL3" s="38"/>
      <c r="LM3" s="38"/>
      <c r="LN3" s="38"/>
      <c r="LO3" s="38"/>
      <c r="LP3" s="38"/>
      <c r="LQ3" s="38"/>
      <c r="LR3" s="24"/>
      <c r="LS3" s="38"/>
      <c r="LT3" s="38"/>
      <c r="LU3" s="38"/>
      <c r="LV3" s="38"/>
      <c r="LW3" s="38"/>
      <c r="LX3" s="38"/>
      <c r="LY3" s="24"/>
      <c r="LZ3" s="38"/>
      <c r="MA3" s="38"/>
      <c r="MB3" s="38"/>
      <c r="MC3" s="38"/>
      <c r="MD3" s="38"/>
      <c r="ME3" s="38"/>
      <c r="MF3" s="24"/>
    </row>
    <row r="4" spans="1:344" x14ac:dyDescent="0.25">
      <c r="A4" s="11" t="s">
        <v>145</v>
      </c>
      <c r="B4" s="11"/>
      <c r="C4" s="11"/>
      <c r="D4" s="11"/>
      <c r="E4" s="11"/>
      <c r="F4" s="13" t="s">
        <v>147</v>
      </c>
      <c r="G4" s="40" t="s">
        <v>146</v>
      </c>
      <c r="H4" s="40" t="s">
        <v>119</v>
      </c>
      <c r="I4" s="11" t="s">
        <v>41</v>
      </c>
      <c r="J4" s="11" t="s">
        <v>118</v>
      </c>
      <c r="K4" s="11" t="s">
        <v>42</v>
      </c>
      <c r="L4" s="11" t="s">
        <v>117</v>
      </c>
      <c r="M4" s="11" t="s">
        <v>47</v>
      </c>
      <c r="N4" s="11" t="s">
        <v>100</v>
      </c>
      <c r="O4" s="12"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2"/>
      <c r="DQ4" s="11"/>
      <c r="DR4" s="11"/>
      <c r="DS4" s="11"/>
      <c r="DT4" s="11"/>
      <c r="DU4" s="11"/>
      <c r="DV4" s="11"/>
      <c r="DW4" s="12"/>
      <c r="DX4" s="11"/>
      <c r="DY4" s="11"/>
      <c r="DZ4" s="11"/>
      <c r="EA4" s="11"/>
      <c r="EB4" s="11"/>
      <c r="EC4" s="11"/>
      <c r="ED4" s="12"/>
      <c r="EE4" s="11"/>
      <c r="EF4" s="11"/>
      <c r="EG4" s="11"/>
      <c r="EH4" s="11"/>
      <c r="EI4" s="11"/>
      <c r="EJ4" s="11"/>
      <c r="EK4" s="12"/>
      <c r="EL4" s="11"/>
      <c r="EM4" s="11"/>
      <c r="EN4" s="11"/>
      <c r="EO4" s="11"/>
      <c r="EP4" s="11"/>
      <c r="EQ4" s="11"/>
      <c r="ER4" s="12"/>
      <c r="ES4" s="11"/>
      <c r="ET4" s="11"/>
      <c r="EU4" s="11"/>
      <c r="EV4" s="11"/>
      <c r="EW4" s="11"/>
      <c r="EX4" s="11"/>
      <c r="EY4" s="12"/>
      <c r="EZ4" s="11"/>
      <c r="FA4" s="11"/>
      <c r="FB4" s="11"/>
      <c r="FC4" s="11"/>
      <c r="FD4" s="11"/>
      <c r="FE4" s="11"/>
      <c r="FF4" s="12"/>
      <c r="FG4" s="11"/>
      <c r="FH4" s="11"/>
      <c r="FI4" s="11"/>
      <c r="FJ4" s="11"/>
      <c r="FK4" s="11"/>
      <c r="FL4" s="11"/>
      <c r="FM4" s="12"/>
      <c r="FN4" s="11"/>
      <c r="FO4" s="11"/>
      <c r="FP4" s="11"/>
      <c r="FQ4" s="11"/>
      <c r="FR4" s="11"/>
      <c r="FS4" s="11"/>
      <c r="FT4" s="12"/>
      <c r="FU4" s="11"/>
      <c r="FV4" s="11"/>
      <c r="FW4" s="11"/>
      <c r="FX4" s="11"/>
      <c r="FY4" s="11"/>
      <c r="FZ4" s="11"/>
      <c r="GA4" s="12"/>
      <c r="GB4" s="11"/>
      <c r="GC4" s="11"/>
      <c r="GD4" s="11"/>
      <c r="GE4" s="11"/>
      <c r="GF4" s="11"/>
      <c r="GG4" s="11"/>
      <c r="GH4" s="12"/>
      <c r="GI4" s="11"/>
      <c r="GJ4" s="11"/>
      <c r="GK4" s="11"/>
      <c r="GL4" s="11"/>
      <c r="GM4" s="11"/>
      <c r="GN4" s="11"/>
      <c r="GO4" s="12"/>
      <c r="GP4" s="11"/>
      <c r="GQ4" s="11"/>
      <c r="GR4" s="11"/>
      <c r="GS4" s="11"/>
      <c r="GT4" s="11"/>
      <c r="GU4" s="11"/>
      <c r="GV4" s="12"/>
      <c r="GW4" s="11"/>
      <c r="GX4" s="11"/>
      <c r="GY4" s="11"/>
      <c r="GZ4" s="11"/>
      <c r="HA4" s="11"/>
      <c r="HB4" s="11"/>
      <c r="HC4" s="12"/>
      <c r="HD4" s="11"/>
      <c r="HE4" s="11"/>
      <c r="HF4" s="11"/>
      <c r="HG4" s="11"/>
      <c r="HH4" s="11"/>
      <c r="HI4" s="11"/>
      <c r="HJ4" s="12"/>
      <c r="HK4" s="11"/>
      <c r="HL4" s="11"/>
      <c r="HM4" s="11"/>
      <c r="HN4" s="11"/>
      <c r="HO4" s="11"/>
      <c r="HP4" s="11"/>
      <c r="HQ4" s="12"/>
      <c r="HR4" s="11"/>
      <c r="HS4" s="11"/>
      <c r="HT4" s="11"/>
      <c r="HU4" s="11"/>
      <c r="HV4" s="11"/>
      <c r="HW4" s="11"/>
      <c r="HX4" s="12"/>
      <c r="HY4" s="11"/>
      <c r="HZ4" s="11"/>
      <c r="IA4" s="11"/>
      <c r="IB4" s="11"/>
      <c r="IC4" s="11"/>
      <c r="ID4" s="11"/>
      <c r="IE4" s="12"/>
      <c r="IF4" s="11"/>
      <c r="IG4" s="11"/>
      <c r="IH4" s="11"/>
      <c r="II4" s="11"/>
      <c r="IJ4" s="11"/>
      <c r="IK4" s="11"/>
      <c r="IL4" s="12"/>
      <c r="IM4" s="11"/>
      <c r="IN4" s="11"/>
      <c r="IO4" s="11"/>
      <c r="IP4" s="11"/>
      <c r="IQ4" s="11"/>
      <c r="IR4" s="11"/>
      <c r="IS4" s="12"/>
      <c r="IT4" s="11"/>
      <c r="IU4" s="11"/>
      <c r="IV4" s="11"/>
      <c r="IW4" s="11"/>
      <c r="IX4" s="11"/>
      <c r="IY4" s="11"/>
      <c r="IZ4" s="12"/>
      <c r="JA4" s="11"/>
      <c r="JB4" s="11"/>
      <c r="JC4" s="11"/>
      <c r="JD4" s="11"/>
      <c r="JE4" s="11"/>
      <c r="JF4" s="11"/>
      <c r="JG4" s="12"/>
      <c r="JH4" s="11"/>
      <c r="JI4" s="11"/>
      <c r="JJ4" s="11"/>
      <c r="JK4" s="11"/>
      <c r="JL4" s="11"/>
      <c r="JM4" s="11"/>
      <c r="JN4" s="12"/>
      <c r="JO4" s="11"/>
      <c r="JP4" s="11"/>
      <c r="JQ4" s="11"/>
      <c r="JR4" s="11"/>
      <c r="JS4" s="11"/>
      <c r="JT4" s="11"/>
      <c r="JU4" s="12"/>
      <c r="JV4" s="11"/>
      <c r="JW4" s="11"/>
      <c r="JX4" s="11"/>
      <c r="JY4" s="11"/>
      <c r="JZ4" s="11"/>
      <c r="KA4" s="11"/>
      <c r="KB4" s="12"/>
      <c r="KC4" s="11"/>
      <c r="KD4" s="11"/>
      <c r="KE4" s="11"/>
      <c r="KF4" s="11"/>
      <c r="KG4" s="11"/>
      <c r="KH4" s="11"/>
      <c r="KI4" s="12"/>
      <c r="KJ4" s="11"/>
      <c r="KK4" s="11"/>
      <c r="KL4" s="11"/>
      <c r="KM4" s="11"/>
      <c r="KN4" s="11"/>
      <c r="KO4" s="11"/>
      <c r="KP4" s="12"/>
      <c r="KQ4" s="11"/>
      <c r="KR4" s="11"/>
      <c r="KS4" s="11"/>
      <c r="KT4" s="11"/>
      <c r="KU4" s="11"/>
      <c r="KV4" s="11"/>
      <c r="KW4" s="12"/>
      <c r="KX4" s="11"/>
      <c r="KY4" s="11"/>
      <c r="KZ4" s="11"/>
      <c r="LA4" s="11"/>
      <c r="LB4" s="11"/>
      <c r="LC4" s="11"/>
      <c r="LD4" s="12"/>
      <c r="LE4" s="11"/>
      <c r="LF4" s="11"/>
      <c r="LG4" s="11"/>
      <c r="LH4" s="11"/>
      <c r="LI4" s="11"/>
      <c r="LJ4" s="11"/>
      <c r="LK4" s="12"/>
      <c r="LL4" s="11"/>
      <c r="LM4" s="11"/>
      <c r="LN4" s="11"/>
      <c r="LO4" s="11"/>
      <c r="LP4" s="11"/>
      <c r="LQ4" s="11"/>
      <c r="LR4" s="12"/>
      <c r="LS4" s="11"/>
      <c r="LT4" s="11"/>
      <c r="LU4" s="11"/>
      <c r="LV4" s="11"/>
      <c r="LW4" s="11"/>
      <c r="LX4" s="11"/>
      <c r="LY4" s="12"/>
      <c r="LZ4" s="11"/>
      <c r="MA4" s="11"/>
      <c r="MB4" s="11"/>
      <c r="MC4" s="11"/>
      <c r="MD4" s="11"/>
      <c r="ME4" s="11"/>
      <c r="MF4" s="12"/>
    </row>
    <row r="5" spans="1:34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2"/>
      <c r="DQ5" s="11"/>
      <c r="DR5" s="11"/>
      <c r="DS5" s="11"/>
      <c r="DT5" s="11"/>
      <c r="DU5" s="11"/>
      <c r="DV5" s="11"/>
      <c r="DW5" s="12"/>
      <c r="DX5" s="11"/>
      <c r="DY5" s="11"/>
      <c r="DZ5" s="11"/>
      <c r="EA5" s="11"/>
      <c r="EB5" s="11"/>
      <c r="EC5" s="11"/>
      <c r="ED5" s="12"/>
      <c r="EE5" s="11"/>
      <c r="EF5" s="11"/>
      <c r="EG5" s="11"/>
      <c r="EH5" s="11"/>
      <c r="EI5" s="11"/>
      <c r="EJ5" s="11"/>
      <c r="EK5" s="12"/>
      <c r="EL5" s="11"/>
      <c r="EM5" s="11"/>
      <c r="EN5" s="11"/>
      <c r="EO5" s="11"/>
      <c r="EP5" s="11"/>
      <c r="EQ5" s="11"/>
      <c r="ER5" s="12"/>
      <c r="ES5" s="11"/>
      <c r="ET5" s="11"/>
      <c r="EU5" s="11"/>
      <c r="EV5" s="11"/>
      <c r="EW5" s="11"/>
      <c r="EX5" s="11"/>
      <c r="EY5" s="12"/>
      <c r="EZ5" s="11"/>
      <c r="FA5" s="11"/>
      <c r="FB5" s="11"/>
      <c r="FC5" s="11"/>
      <c r="FD5" s="11"/>
      <c r="FE5" s="11"/>
      <c r="FF5" s="12"/>
      <c r="FG5" s="11"/>
      <c r="FH5" s="11"/>
      <c r="FI5" s="11"/>
      <c r="FJ5" s="11"/>
      <c r="FK5" s="11"/>
      <c r="FL5" s="11"/>
      <c r="FM5" s="12"/>
      <c r="FN5" s="11"/>
      <c r="FO5" s="11"/>
      <c r="FP5" s="11"/>
      <c r="FQ5" s="11"/>
      <c r="FR5" s="11"/>
      <c r="FS5" s="11"/>
      <c r="FT5" s="12"/>
      <c r="FU5" s="11"/>
      <c r="FV5" s="11"/>
      <c r="FW5" s="11"/>
      <c r="FX5" s="11"/>
      <c r="FY5" s="11"/>
      <c r="FZ5" s="11"/>
      <c r="GA5" s="12"/>
      <c r="GB5" s="11"/>
      <c r="GC5" s="11"/>
      <c r="GD5" s="11"/>
      <c r="GE5" s="11"/>
      <c r="GF5" s="11"/>
      <c r="GG5" s="11"/>
      <c r="GH5" s="12"/>
      <c r="GI5" s="11"/>
      <c r="GJ5" s="11"/>
      <c r="GK5" s="11"/>
      <c r="GL5" s="11"/>
      <c r="GM5" s="11"/>
      <c r="GN5" s="11"/>
      <c r="GO5" s="12"/>
      <c r="GP5" s="11"/>
      <c r="GQ5" s="11"/>
      <c r="GR5" s="11"/>
      <c r="GS5" s="11"/>
      <c r="GT5" s="11"/>
      <c r="GU5" s="11"/>
      <c r="GV5" s="12"/>
      <c r="GW5" s="11"/>
      <c r="GX5" s="11"/>
      <c r="GY5" s="11"/>
      <c r="GZ5" s="11"/>
      <c r="HA5" s="11"/>
      <c r="HB5" s="11"/>
      <c r="HC5" s="12"/>
      <c r="HD5" s="11"/>
      <c r="HE5" s="11"/>
      <c r="HF5" s="11"/>
      <c r="HG5" s="11"/>
      <c r="HH5" s="11"/>
      <c r="HI5" s="11"/>
      <c r="HJ5" s="12"/>
      <c r="HK5" s="11"/>
      <c r="HL5" s="11"/>
      <c r="HM5" s="11"/>
      <c r="HN5" s="11"/>
      <c r="HO5" s="11"/>
      <c r="HP5" s="11"/>
      <c r="HQ5" s="12"/>
      <c r="HR5" s="11"/>
      <c r="HS5" s="11"/>
      <c r="HT5" s="11"/>
      <c r="HU5" s="11"/>
      <c r="HV5" s="11"/>
      <c r="HW5" s="11"/>
      <c r="HX5" s="12"/>
      <c r="HY5" s="11"/>
      <c r="HZ5" s="11"/>
      <c r="IA5" s="11"/>
      <c r="IB5" s="11"/>
      <c r="IC5" s="11"/>
      <c r="ID5" s="11"/>
      <c r="IE5" s="12"/>
      <c r="IF5" s="11"/>
      <c r="IG5" s="11"/>
      <c r="IH5" s="11"/>
      <c r="II5" s="11"/>
      <c r="IJ5" s="11"/>
      <c r="IK5" s="11"/>
      <c r="IL5" s="12"/>
      <c r="IM5" s="11"/>
      <c r="IN5" s="11"/>
      <c r="IO5" s="11"/>
      <c r="IP5" s="11"/>
      <c r="IQ5" s="11"/>
      <c r="IR5" s="11"/>
      <c r="IS5" s="12"/>
      <c r="IT5" s="11"/>
      <c r="IU5" s="11"/>
      <c r="IV5" s="11"/>
      <c r="IW5" s="11"/>
      <c r="IX5" s="11"/>
      <c r="IY5" s="11"/>
      <c r="IZ5" s="12"/>
      <c r="JA5" s="11"/>
      <c r="JB5" s="11"/>
      <c r="JC5" s="11"/>
      <c r="JD5" s="11"/>
      <c r="JE5" s="11"/>
      <c r="JF5" s="11"/>
      <c r="JG5" s="12"/>
      <c r="JH5" s="11"/>
      <c r="JI5" s="11"/>
      <c r="JJ5" s="11"/>
      <c r="JK5" s="11"/>
      <c r="JL5" s="11"/>
      <c r="JM5" s="11"/>
      <c r="JN5" s="12"/>
      <c r="JO5" s="11"/>
      <c r="JP5" s="11"/>
      <c r="JQ5" s="11"/>
      <c r="JR5" s="11"/>
      <c r="JS5" s="11"/>
      <c r="JT5" s="11"/>
      <c r="JU5" s="12"/>
      <c r="JV5" s="11"/>
      <c r="JW5" s="11"/>
      <c r="JX5" s="11"/>
      <c r="JY5" s="11"/>
      <c r="JZ5" s="11"/>
      <c r="KA5" s="11"/>
      <c r="KB5" s="12"/>
      <c r="KC5" s="11"/>
      <c r="KD5" s="11"/>
      <c r="KE5" s="11"/>
      <c r="KF5" s="11"/>
      <c r="KG5" s="11"/>
      <c r="KH5" s="11"/>
      <c r="KI5" s="12"/>
      <c r="KJ5" s="11"/>
      <c r="KK5" s="11"/>
      <c r="KL5" s="11"/>
      <c r="KM5" s="11"/>
      <c r="KN5" s="11"/>
      <c r="KO5" s="11"/>
      <c r="KP5" s="12"/>
      <c r="KQ5" s="11"/>
      <c r="KR5" s="11"/>
      <c r="KS5" s="11"/>
      <c r="KT5" s="11"/>
      <c r="KU5" s="11"/>
      <c r="KV5" s="11"/>
      <c r="KW5" s="12"/>
      <c r="KX5" s="11"/>
      <c r="KY5" s="11"/>
      <c r="KZ5" s="11"/>
      <c r="LA5" s="11"/>
      <c r="LB5" s="11"/>
      <c r="LC5" s="11"/>
      <c r="LD5" s="12"/>
      <c r="LE5" s="11"/>
      <c r="LF5" s="11"/>
      <c r="LG5" s="11"/>
      <c r="LH5" s="11"/>
      <c r="LI5" s="11"/>
      <c r="LJ5" s="11"/>
      <c r="LK5" s="12"/>
      <c r="LL5" s="11"/>
      <c r="LM5" s="11"/>
      <c r="LN5" s="11"/>
      <c r="LO5" s="11"/>
      <c r="LP5" s="11"/>
      <c r="LQ5" s="11"/>
      <c r="LR5" s="12"/>
      <c r="LS5" s="11"/>
      <c r="LT5" s="11"/>
      <c r="LU5" s="11"/>
      <c r="LV5" s="11"/>
      <c r="LW5" s="11"/>
      <c r="LX5" s="11"/>
      <c r="LY5" s="12"/>
      <c r="LZ5" s="11"/>
      <c r="MA5" s="11"/>
      <c r="MB5" s="11"/>
      <c r="MC5" s="11"/>
      <c r="MD5" s="11"/>
      <c r="ME5" s="11"/>
      <c r="MF5" s="12"/>
    </row>
    <row r="6" spans="1:344" ht="7.5" customHeight="1" x14ac:dyDescent="0.25">
      <c r="A6" s="8"/>
      <c r="B6" s="8"/>
      <c r="C6" s="8"/>
      <c r="D6" s="8"/>
      <c r="E6" s="8"/>
      <c r="F6" s="10"/>
      <c r="G6" s="19"/>
      <c r="H6" s="19"/>
      <c r="I6" s="8"/>
      <c r="J6" s="8"/>
      <c r="K6" s="8"/>
      <c r="L6" s="8"/>
      <c r="M6" s="8"/>
      <c r="N6" s="8"/>
      <c r="O6" s="9"/>
      <c r="P6" s="8" t="str">
        <f t="shared" ref="P6:P30" si="318">IF(SUM(S6:MF6) &gt; 0, SUM(S6:MF6), "")</f>
        <v/>
      </c>
      <c r="Q6" s="109" t="str">
        <f>IF(SUM(R6:XFD6) &gt; 0, SUM(R6:XFD6) / $P$33 * 100, "")</f>
        <v/>
      </c>
      <c r="R6" s="84"/>
      <c r="S6" s="7"/>
      <c r="Z6" s="7"/>
      <c r="AG6" s="7"/>
      <c r="AN6" s="7"/>
      <c r="AU6" s="7"/>
      <c r="BB6" s="7"/>
      <c r="BI6" s="7"/>
      <c r="BP6" s="7"/>
      <c r="BY6" s="79"/>
      <c r="CH6" s="7"/>
      <c r="CQ6" s="7"/>
      <c r="CZ6" s="7"/>
      <c r="DI6" s="7"/>
      <c r="DP6" s="7"/>
      <c r="DW6" s="7"/>
      <c r="ED6" s="7"/>
      <c r="EK6" s="7"/>
      <c r="ER6" s="7"/>
      <c r="EY6" s="7"/>
      <c r="FF6" s="7"/>
      <c r="FM6" s="7"/>
      <c r="FT6" s="7"/>
      <c r="GA6" s="7"/>
      <c r="GH6" s="7"/>
      <c r="GO6" s="7"/>
      <c r="GV6" s="7"/>
      <c r="HC6" s="7"/>
      <c r="HJ6" s="7"/>
      <c r="HQ6" s="7"/>
      <c r="HX6" s="7"/>
      <c r="IE6" s="7"/>
      <c r="IL6" s="7"/>
      <c r="IS6" s="7"/>
      <c r="IZ6" s="7"/>
      <c r="JG6" s="7"/>
      <c r="JN6" s="7"/>
      <c r="JU6" s="7"/>
      <c r="KB6" s="7"/>
      <c r="KI6" s="7"/>
      <c r="KP6" s="7"/>
      <c r="KW6" s="7"/>
      <c r="LD6" s="7"/>
      <c r="LK6" s="7"/>
      <c r="LR6" s="7"/>
      <c r="LY6" s="7"/>
      <c r="MF6" s="7"/>
    </row>
    <row r="7" spans="1:344" ht="15" customHeight="1" x14ac:dyDescent="0.25">
      <c r="A7" s="8" t="s">
        <v>128</v>
      </c>
      <c r="B7" s="8" t="s">
        <v>127</v>
      </c>
      <c r="C7" s="8" t="s">
        <v>157</v>
      </c>
      <c r="D7" s="8" t="s">
        <v>126</v>
      </c>
      <c r="E7" s="18">
        <v>38532</v>
      </c>
      <c r="F7" s="10">
        <f>IF($E7 &gt;= F$5, 1, "")</f>
        <v>1</v>
      </c>
      <c r="G7" s="19">
        <f>IF($E7 &gt;= G$5, 1, "")</f>
        <v>1</v>
      </c>
      <c r="H7" s="19" t="str">
        <f t="shared" ref="H7:L7" si="319">IF($E7 &gt;= H$5, 1, "")</f>
        <v/>
      </c>
      <c r="I7" s="19" t="str">
        <f t="shared" si="319"/>
        <v/>
      </c>
      <c r="J7" s="19" t="str">
        <f t="shared" si="319"/>
        <v/>
      </c>
      <c r="K7" s="19" t="str">
        <f t="shared" si="319"/>
        <v/>
      </c>
      <c r="L7" s="19" t="str">
        <f t="shared" si="319"/>
        <v/>
      </c>
      <c r="M7" s="8"/>
      <c r="N7" s="8">
        <v>1</v>
      </c>
      <c r="O7" s="9">
        <v>1</v>
      </c>
      <c r="P7" s="8">
        <f t="shared" si="318"/>
        <v>27</v>
      </c>
      <c r="Q7" s="109">
        <f>IF(SUM(S7:XFD7) &gt; 0, SUM(S7:XFD7) / $P$33 * 100, "")</f>
        <v>77.142857142857153</v>
      </c>
      <c r="R7" s="133" t="str">
        <f>KStateSum(S7:MF7, 1)</f>
        <v>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385</v>
      </c>
      <c r="BY7" s="80" t="s">
        <v>368</v>
      </c>
      <c r="CC7">
        <v>1</v>
      </c>
      <c r="CG7" s="95" t="s">
        <v>385</v>
      </c>
      <c r="CH7" s="80" t="s">
        <v>370</v>
      </c>
      <c r="CL7">
        <v>1</v>
      </c>
      <c r="CP7" s="99" t="s">
        <v>385</v>
      </c>
      <c r="CQ7" s="80" t="s">
        <v>370</v>
      </c>
      <c r="CS7">
        <v>1</v>
      </c>
      <c r="CV7">
        <v>1</v>
      </c>
      <c r="CY7" s="99" t="s">
        <v>386</v>
      </c>
      <c r="CZ7" s="80" t="s">
        <v>400</v>
      </c>
      <c r="DB7">
        <v>1</v>
      </c>
      <c r="DH7" s="99" t="s">
        <v>370</v>
      </c>
      <c r="DI7" s="80" t="s">
        <v>372</v>
      </c>
      <c r="DK7" t="s">
        <v>390</v>
      </c>
      <c r="DP7" s="7"/>
      <c r="DW7" s="7"/>
      <c r="ED7" s="7"/>
      <c r="EK7" s="7"/>
      <c r="ER7" s="7"/>
      <c r="EY7" s="7"/>
      <c r="FF7" s="7"/>
      <c r="FM7" s="7"/>
      <c r="FT7" s="7"/>
      <c r="GA7" s="7"/>
      <c r="GH7" s="7"/>
      <c r="GO7" s="7"/>
      <c r="GV7" s="7"/>
      <c r="HC7" s="7"/>
      <c r="HJ7" s="7"/>
      <c r="HQ7" s="7"/>
      <c r="HX7" s="7"/>
      <c r="IE7" s="7"/>
      <c r="IL7" s="7"/>
      <c r="IS7" s="7"/>
      <c r="IZ7" s="7"/>
      <c r="JG7" s="7"/>
      <c r="JN7" s="7"/>
      <c r="JU7" s="7"/>
      <c r="KB7" s="7"/>
      <c r="KI7" s="7"/>
      <c r="KP7" s="7"/>
      <c r="KW7" s="7"/>
      <c r="LD7" s="7"/>
      <c r="LK7" s="7"/>
      <c r="LR7" s="7"/>
      <c r="LY7" s="7"/>
      <c r="MF7" s="7"/>
    </row>
    <row r="8" spans="1:344" ht="15" hidden="1" customHeight="1" x14ac:dyDescent="0.25">
      <c r="A8" s="8" t="s">
        <v>151</v>
      </c>
      <c r="B8" s="8" t="s">
        <v>152</v>
      </c>
      <c r="C8" s="8" t="s">
        <v>153</v>
      </c>
      <c r="D8" s="8" t="s">
        <v>154</v>
      </c>
      <c r="E8" s="18">
        <v>36859</v>
      </c>
      <c r="F8" s="10" t="str">
        <f t="shared" ref="F8:L29" si="320">IF($E8 &gt;= F$5, 1, "")</f>
        <v/>
      </c>
      <c r="G8" s="19" t="str">
        <f t="shared" si="320"/>
        <v/>
      </c>
      <c r="H8" s="19" t="str">
        <f t="shared" si="320"/>
        <v/>
      </c>
      <c r="I8" s="19" t="str">
        <f t="shared" si="320"/>
        <v/>
      </c>
      <c r="J8" s="19" t="str">
        <f t="shared" si="320"/>
        <v/>
      </c>
      <c r="K8" s="19" t="str">
        <f t="shared" si="320"/>
        <v/>
      </c>
      <c r="L8" s="19" t="str">
        <f t="shared" si="320"/>
        <v/>
      </c>
      <c r="M8" s="8"/>
      <c r="N8" s="8"/>
      <c r="O8" s="9">
        <v>1</v>
      </c>
      <c r="P8" s="8">
        <f t="shared" si="318"/>
        <v>11</v>
      </c>
      <c r="Q8" s="109">
        <f>IF(SUM(R8:XFD8) &gt; 0, SUM(R8:XFD8) / $P$33 * 100, "")</f>
        <v>121.22448979591837</v>
      </c>
      <c r="R8" s="84">
        <f>IF(SUM(S8:XFD8) &gt; 0, SUM(S8:XFD8) / $P$33 * 100, "")</f>
        <v>31.428571428571427</v>
      </c>
      <c r="S8" s="7">
        <v>1</v>
      </c>
      <c r="U8">
        <v>1</v>
      </c>
      <c r="V8">
        <v>1</v>
      </c>
      <c r="X8">
        <v>1</v>
      </c>
      <c r="Z8" s="7"/>
      <c r="AB8">
        <v>1</v>
      </c>
      <c r="AE8">
        <v>1</v>
      </c>
      <c r="AG8" s="7"/>
      <c r="AI8">
        <v>1</v>
      </c>
      <c r="AK8">
        <v>1</v>
      </c>
      <c r="AN8" s="7"/>
      <c r="AR8">
        <v>1</v>
      </c>
      <c r="AU8" s="7"/>
      <c r="AW8">
        <v>1</v>
      </c>
      <c r="BB8" s="7"/>
      <c r="BI8" s="7"/>
      <c r="BP8" s="7"/>
      <c r="BR8">
        <v>1</v>
      </c>
      <c r="BX8" s="96"/>
      <c r="BY8" s="80" t="s">
        <v>372</v>
      </c>
      <c r="CG8" s="96"/>
      <c r="CH8" s="80" t="s">
        <v>372</v>
      </c>
      <c r="CJ8" t="s">
        <v>381</v>
      </c>
      <c r="CP8" s="100"/>
      <c r="CQ8" s="79"/>
      <c r="CY8" s="100"/>
      <c r="CZ8" s="79"/>
      <c r="DH8" s="99" t="s">
        <v>370</v>
      </c>
      <c r="DI8" s="79"/>
      <c r="DP8" s="7"/>
      <c r="DW8" s="7"/>
      <c r="ED8" s="7"/>
      <c r="EK8" s="7"/>
      <c r="ER8" s="7"/>
      <c r="EY8" s="7"/>
      <c r="FF8" s="7"/>
      <c r="FM8" s="7"/>
      <c r="FT8" s="7"/>
      <c r="GA8" s="7"/>
      <c r="GH8" s="7"/>
      <c r="GO8" s="7"/>
      <c r="GV8" s="7"/>
      <c r="HC8" s="7"/>
      <c r="HJ8" s="7"/>
      <c r="HQ8" s="7"/>
      <c r="HX8" s="7"/>
      <c r="IE8" s="7"/>
      <c r="IL8" s="7"/>
      <c r="IS8" s="7"/>
      <c r="IZ8" s="7"/>
      <c r="JG8" s="7"/>
      <c r="JN8" s="7"/>
      <c r="JU8" s="7"/>
      <c r="KB8" s="7"/>
      <c r="KI8" s="7"/>
      <c r="KP8" s="7"/>
      <c r="KW8" s="7"/>
      <c r="LD8" s="7"/>
      <c r="LK8" s="7"/>
      <c r="LR8" s="7"/>
      <c r="LY8" s="7"/>
      <c r="MF8" s="7"/>
    </row>
    <row r="9" spans="1:344" ht="15" customHeight="1" x14ac:dyDescent="0.25">
      <c r="A9" s="8" t="s">
        <v>20</v>
      </c>
      <c r="B9" s="8"/>
      <c r="C9" s="8" t="s">
        <v>149</v>
      </c>
      <c r="D9" s="8" t="s">
        <v>150</v>
      </c>
      <c r="E9" s="18">
        <v>37414</v>
      </c>
      <c r="F9" s="10">
        <f t="shared" si="320"/>
        <v>1</v>
      </c>
      <c r="G9" s="19" t="str">
        <f t="shared" si="320"/>
        <v/>
      </c>
      <c r="H9" s="19" t="str">
        <f t="shared" si="320"/>
        <v/>
      </c>
      <c r="I9" s="19" t="str">
        <f t="shared" si="320"/>
        <v/>
      </c>
      <c r="J9" s="19" t="str">
        <f t="shared" si="320"/>
        <v/>
      </c>
      <c r="K9" s="19" t="str">
        <f t="shared" si="320"/>
        <v/>
      </c>
      <c r="L9" s="19" t="str">
        <f t="shared" si="320"/>
        <v/>
      </c>
      <c r="M9" s="8"/>
      <c r="N9" s="8">
        <v>1</v>
      </c>
      <c r="O9" s="9">
        <v>1</v>
      </c>
      <c r="P9" s="8">
        <f t="shared" si="318"/>
        <v>30</v>
      </c>
      <c r="Q9" s="109">
        <f t="shared" ref="Q9:Q26" si="321">IF(SUM(S9:XFD9) &gt; 0, SUM(S9:XFD9) / $P$33 * 100, "")</f>
        <v>85.714285714285708</v>
      </c>
      <c r="R9" s="133" t="str">
        <f t="shared" ref="R9:R29" si="322">KStateSum(S9:MF9, 1)</f>
        <v>-13</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370</v>
      </c>
      <c r="BY9" s="80" t="s">
        <v>371</v>
      </c>
      <c r="CC9">
        <v>1</v>
      </c>
      <c r="CF9">
        <v>1</v>
      </c>
      <c r="CG9" s="95" t="s">
        <v>370</v>
      </c>
      <c r="CH9" s="80" t="s">
        <v>371</v>
      </c>
      <c r="CL9">
        <v>1</v>
      </c>
      <c r="CO9">
        <v>1</v>
      </c>
      <c r="CP9" s="99" t="s">
        <v>370</v>
      </c>
      <c r="CQ9" s="80" t="s">
        <v>371</v>
      </c>
      <c r="CS9">
        <v>1</v>
      </c>
      <c r="CU9">
        <v>1</v>
      </c>
      <c r="CX9">
        <v>1</v>
      </c>
      <c r="CY9" s="99" t="s">
        <v>370</v>
      </c>
      <c r="CZ9" s="80" t="s">
        <v>369</v>
      </c>
      <c r="DB9">
        <v>1</v>
      </c>
      <c r="DE9">
        <v>1</v>
      </c>
      <c r="DH9" s="99" t="s">
        <v>370</v>
      </c>
      <c r="DI9" s="80" t="s">
        <v>372</v>
      </c>
      <c r="DP9" s="7"/>
      <c r="DW9" s="7"/>
      <c r="ED9" s="7"/>
      <c r="EK9" s="7"/>
      <c r="ER9" s="7"/>
      <c r="EY9" s="7"/>
      <c r="FF9" s="7"/>
      <c r="FM9" s="7"/>
      <c r="FT9" s="7"/>
      <c r="GA9" s="7"/>
      <c r="GH9" s="7"/>
      <c r="GO9" s="7"/>
      <c r="GV9" s="7"/>
      <c r="HC9" s="7"/>
      <c r="HJ9" s="7"/>
      <c r="HQ9" s="7"/>
      <c r="HX9" s="7"/>
      <c r="IE9" s="7"/>
      <c r="IL9" s="7"/>
      <c r="IS9" s="7"/>
      <c r="IZ9" s="7"/>
      <c r="JG9" s="7"/>
      <c r="JN9" s="7"/>
      <c r="JU9" s="7"/>
      <c r="KB9" s="7"/>
      <c r="KI9" s="7"/>
      <c r="KP9" s="7"/>
      <c r="KW9" s="7"/>
      <c r="LD9" s="7"/>
      <c r="LK9" s="7"/>
      <c r="LR9" s="7"/>
      <c r="LY9" s="7"/>
      <c r="MF9" s="7"/>
    </row>
    <row r="10" spans="1:344" ht="15" customHeight="1" x14ac:dyDescent="0.25">
      <c r="A10" s="8" t="s">
        <v>248</v>
      </c>
      <c r="B10" s="8" t="s">
        <v>178</v>
      </c>
      <c r="C10" s="8" t="s">
        <v>179</v>
      </c>
      <c r="D10" s="8" t="s">
        <v>113</v>
      </c>
      <c r="E10" s="18">
        <v>37608</v>
      </c>
      <c r="F10" s="10">
        <f t="shared" si="320"/>
        <v>1</v>
      </c>
      <c r="G10" s="19" t="str">
        <f t="shared" si="320"/>
        <v/>
      </c>
      <c r="H10" s="19" t="str">
        <f t="shared" si="320"/>
        <v/>
      </c>
      <c r="I10" s="19" t="str">
        <f t="shared" si="320"/>
        <v/>
      </c>
      <c r="J10" s="19" t="str">
        <f t="shared" si="320"/>
        <v/>
      </c>
      <c r="K10" s="19" t="str">
        <f t="shared" si="320"/>
        <v/>
      </c>
      <c r="L10" s="19" t="str">
        <f t="shared" si="320"/>
        <v/>
      </c>
      <c r="M10" s="8"/>
      <c r="N10" s="8">
        <v>1</v>
      </c>
      <c r="O10" s="9">
        <v>1</v>
      </c>
      <c r="P10" s="8">
        <f t="shared" si="318"/>
        <v>24</v>
      </c>
      <c r="Q10" s="109">
        <f t="shared" si="321"/>
        <v>68.571428571428569</v>
      </c>
      <c r="R10" s="133" t="str">
        <f t="shared" si="322"/>
        <v>-14</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370</v>
      </c>
      <c r="BY10" s="80" t="s">
        <v>373</v>
      </c>
      <c r="CC10">
        <v>1</v>
      </c>
      <c r="CF10">
        <v>1</v>
      </c>
      <c r="CG10" s="95" t="s">
        <v>370</v>
      </c>
      <c r="CH10" s="80" t="s">
        <v>371</v>
      </c>
      <c r="CP10" s="99" t="s">
        <v>400</v>
      </c>
      <c r="CQ10" s="80" t="s">
        <v>373</v>
      </c>
      <c r="CY10" s="99" t="s">
        <v>385</v>
      </c>
      <c r="CZ10" s="80" t="s">
        <v>400</v>
      </c>
      <c r="DH10" s="99" t="s">
        <v>386</v>
      </c>
      <c r="DI10" s="80" t="s">
        <v>370</v>
      </c>
      <c r="DK10" t="s">
        <v>396</v>
      </c>
      <c r="DP10" s="7"/>
      <c r="DW10" s="7"/>
      <c r="ED10" s="7"/>
      <c r="EK10" s="7"/>
      <c r="ER10" s="7"/>
      <c r="EY10" s="7"/>
      <c r="FF10" s="7"/>
      <c r="FM10" s="7"/>
      <c r="FT10" s="7"/>
      <c r="GA10" s="7"/>
      <c r="GH10" s="7"/>
      <c r="GO10" s="7"/>
      <c r="GV10" s="7"/>
      <c r="HC10" s="7"/>
      <c r="HJ10" s="7"/>
      <c r="HQ10" s="7"/>
      <c r="HX10" s="7"/>
      <c r="IE10" s="7"/>
      <c r="IL10" s="7"/>
      <c r="IS10" s="7"/>
      <c r="IZ10" s="7"/>
      <c r="JG10" s="7"/>
      <c r="JN10" s="7"/>
      <c r="JU10" s="7"/>
      <c r="KB10" s="7"/>
      <c r="KI10" s="7"/>
      <c r="KP10" s="7"/>
      <c r="KW10" s="7"/>
      <c r="LD10" s="7"/>
      <c r="LK10" s="7"/>
      <c r="LR10" s="7"/>
      <c r="LY10" s="7"/>
      <c r="MF10" s="7"/>
    </row>
    <row r="11" spans="1:344" x14ac:dyDescent="0.25">
      <c r="A11" s="8" t="s">
        <v>162</v>
      </c>
      <c r="B11" s="8"/>
      <c r="C11" s="8" t="s">
        <v>163</v>
      </c>
      <c r="D11" s="8" t="s">
        <v>164</v>
      </c>
      <c r="E11" s="18">
        <v>37133</v>
      </c>
      <c r="F11" s="10" t="str">
        <f t="shared" si="320"/>
        <v/>
      </c>
      <c r="G11" s="19" t="str">
        <f t="shared" si="320"/>
        <v/>
      </c>
      <c r="H11" s="19" t="str">
        <f t="shared" si="320"/>
        <v/>
      </c>
      <c r="I11" s="19" t="str">
        <f t="shared" si="320"/>
        <v/>
      </c>
      <c r="J11" s="19" t="str">
        <f t="shared" si="320"/>
        <v/>
      </c>
      <c r="K11" s="19" t="str">
        <f t="shared" si="320"/>
        <v/>
      </c>
      <c r="L11" s="19" t="str">
        <f t="shared" si="320"/>
        <v/>
      </c>
      <c r="M11" s="8"/>
      <c r="N11" s="8"/>
      <c r="O11" s="9">
        <v>1</v>
      </c>
      <c r="P11" s="8">
        <f t="shared" si="318"/>
        <v>28</v>
      </c>
      <c r="Q11" s="109">
        <f t="shared" si="321"/>
        <v>80</v>
      </c>
      <c r="R11" s="133" t="str">
        <f t="shared" si="322"/>
        <v>-15</v>
      </c>
      <c r="S11" s="7"/>
      <c r="V11">
        <v>1</v>
      </c>
      <c r="X11">
        <v>1</v>
      </c>
      <c r="Z11" s="7"/>
      <c r="AB11">
        <v>1</v>
      </c>
      <c r="AD11">
        <v>1</v>
      </c>
      <c r="AE11">
        <v>1</v>
      </c>
      <c r="AG11" s="7"/>
      <c r="AI11">
        <v>1</v>
      </c>
      <c r="AK11">
        <v>1</v>
      </c>
      <c r="AL11">
        <v>1</v>
      </c>
      <c r="AN11" s="7"/>
      <c r="AP11">
        <v>1</v>
      </c>
      <c r="AR11">
        <v>1</v>
      </c>
      <c r="AS11">
        <v>1</v>
      </c>
      <c r="AU11" s="7"/>
      <c r="AW11">
        <v>1</v>
      </c>
      <c r="AY11">
        <v>1</v>
      </c>
      <c r="AZ11">
        <v>1</v>
      </c>
      <c r="BB11" s="7"/>
      <c r="BD11">
        <v>1</v>
      </c>
      <c r="BI11" s="7"/>
      <c r="BK11">
        <v>1</v>
      </c>
      <c r="BM11">
        <v>1</v>
      </c>
      <c r="BP11" s="7"/>
      <c r="BR11">
        <v>1</v>
      </c>
      <c r="BT11">
        <v>1</v>
      </c>
      <c r="BW11">
        <v>1</v>
      </c>
      <c r="BX11" s="95" t="s">
        <v>370</v>
      </c>
      <c r="BY11" s="80" t="s">
        <v>371</v>
      </c>
      <c r="CC11">
        <v>1</v>
      </c>
      <c r="CF11">
        <v>1</v>
      </c>
      <c r="CG11" s="95" t="s">
        <v>370</v>
      </c>
      <c r="CH11" s="80" t="s">
        <v>371</v>
      </c>
      <c r="CL11">
        <v>1</v>
      </c>
      <c r="CP11" s="99" t="s">
        <v>370</v>
      </c>
      <c r="CQ11" s="80" t="s">
        <v>373</v>
      </c>
      <c r="CS11">
        <v>1</v>
      </c>
      <c r="CU11">
        <v>1</v>
      </c>
      <c r="CV11">
        <v>1</v>
      </c>
      <c r="CY11" s="99" t="s">
        <v>370</v>
      </c>
      <c r="CZ11" s="80" t="s">
        <v>369</v>
      </c>
      <c r="DB11">
        <v>1</v>
      </c>
      <c r="DE11">
        <v>1</v>
      </c>
      <c r="DH11" s="99" t="s">
        <v>370</v>
      </c>
      <c r="DI11" s="80" t="s">
        <v>372</v>
      </c>
      <c r="DP11" s="7"/>
      <c r="DW11" s="7"/>
      <c r="ED11" s="7"/>
      <c r="EK11" s="7"/>
      <c r="ER11" s="7"/>
      <c r="EY11" s="7"/>
      <c r="FF11" s="7"/>
      <c r="FM11" s="7"/>
      <c r="FT11" s="7"/>
      <c r="GA11" s="7"/>
      <c r="GH11" s="7"/>
      <c r="GO11" s="7"/>
      <c r="GV11" s="7"/>
      <c r="HC11" s="7"/>
      <c r="HJ11" s="7"/>
      <c r="HQ11" s="7"/>
      <c r="HX11" s="7"/>
      <c r="IE11" s="7"/>
      <c r="IL11" s="7"/>
      <c r="IS11" s="7"/>
      <c r="IZ11" s="7"/>
      <c r="JG11" s="7"/>
      <c r="JN11" s="7"/>
      <c r="JU11" s="7"/>
      <c r="KB11" s="7"/>
      <c r="KI11" s="7"/>
      <c r="KP11" s="7"/>
      <c r="KW11" s="7"/>
      <c r="LD11" s="7"/>
      <c r="LK11" s="7"/>
      <c r="LR11" s="7"/>
      <c r="LY11" s="7"/>
      <c r="MF11" s="7"/>
    </row>
    <row r="12" spans="1:344" x14ac:dyDescent="0.25">
      <c r="A12" s="8" t="s">
        <v>120</v>
      </c>
      <c r="B12" s="8" t="s">
        <v>161</v>
      </c>
      <c r="C12" s="8" t="s">
        <v>176</v>
      </c>
      <c r="D12" s="8" t="s">
        <v>177</v>
      </c>
      <c r="E12" s="18">
        <v>37808</v>
      </c>
      <c r="F12" s="10">
        <f t="shared" si="320"/>
        <v>1</v>
      </c>
      <c r="G12" s="19" t="str">
        <f t="shared" si="320"/>
        <v/>
      </c>
      <c r="H12" s="19" t="str">
        <f t="shared" si="320"/>
        <v/>
      </c>
      <c r="I12" s="19" t="str">
        <f t="shared" si="320"/>
        <v/>
      </c>
      <c r="J12" s="19" t="str">
        <f t="shared" si="320"/>
        <v/>
      </c>
      <c r="K12" s="19" t="str">
        <f t="shared" si="320"/>
        <v/>
      </c>
      <c r="L12" s="19" t="str">
        <f t="shared" si="320"/>
        <v/>
      </c>
      <c r="M12" s="8"/>
      <c r="N12" s="8">
        <v>1</v>
      </c>
      <c r="O12" s="9">
        <v>1</v>
      </c>
      <c r="P12" s="8">
        <f t="shared" si="318"/>
        <v>30</v>
      </c>
      <c r="Q12" s="109">
        <f t="shared" si="321"/>
        <v>85.714285714285708</v>
      </c>
      <c r="R12" s="133" t="str">
        <f t="shared" si="322"/>
        <v>-5</v>
      </c>
      <c r="S12" s="7">
        <v>1</v>
      </c>
      <c r="U12">
        <v>1</v>
      </c>
      <c r="V12">
        <v>1</v>
      </c>
      <c r="X12">
        <v>1</v>
      </c>
      <c r="Z12" s="7"/>
      <c r="AB12">
        <v>1</v>
      </c>
      <c r="AD12">
        <v>1</v>
      </c>
      <c r="AE12">
        <v>1</v>
      </c>
      <c r="AG12" s="7"/>
      <c r="AI12">
        <v>1</v>
      </c>
      <c r="AK12">
        <v>1</v>
      </c>
      <c r="AL12">
        <v>1</v>
      </c>
      <c r="AN12" s="7"/>
      <c r="AP12">
        <v>1</v>
      </c>
      <c r="AR12">
        <v>1</v>
      </c>
      <c r="AS12">
        <v>1</v>
      </c>
      <c r="AU12" s="7"/>
      <c r="AW12">
        <v>1</v>
      </c>
      <c r="AY12">
        <v>1</v>
      </c>
      <c r="AZ12">
        <v>1</v>
      </c>
      <c r="BB12" s="7"/>
      <c r="BD12">
        <v>1</v>
      </c>
      <c r="BF12">
        <v>1</v>
      </c>
      <c r="BI12" s="7"/>
      <c r="BK12">
        <v>1</v>
      </c>
      <c r="BM12">
        <v>1</v>
      </c>
      <c r="BP12" s="7">
        <v>1</v>
      </c>
      <c r="BR12">
        <v>1</v>
      </c>
      <c r="BT12">
        <v>1</v>
      </c>
      <c r="BX12" s="95" t="s">
        <v>385</v>
      </c>
      <c r="BY12" s="80" t="s">
        <v>370</v>
      </c>
      <c r="CC12">
        <v>1</v>
      </c>
      <c r="CG12" s="95" t="s">
        <v>385</v>
      </c>
      <c r="CH12" s="80" t="s">
        <v>370</v>
      </c>
      <c r="CL12">
        <v>1</v>
      </c>
      <c r="CO12">
        <v>1</v>
      </c>
      <c r="CP12" s="99" t="s">
        <v>370</v>
      </c>
      <c r="CQ12" s="80" t="s">
        <v>371</v>
      </c>
      <c r="CS12">
        <v>1</v>
      </c>
      <c r="CU12">
        <v>1</v>
      </c>
      <c r="CV12">
        <v>1</v>
      </c>
      <c r="CY12" s="99" t="s">
        <v>370</v>
      </c>
      <c r="CZ12" s="80" t="s">
        <v>369</v>
      </c>
      <c r="DB12">
        <v>1</v>
      </c>
      <c r="DH12" s="99" t="s">
        <v>406</v>
      </c>
      <c r="DI12" s="80" t="s">
        <v>372</v>
      </c>
      <c r="DP12" s="7"/>
      <c r="DW12" s="7"/>
      <c r="ED12" s="7"/>
      <c r="EK12" s="7"/>
      <c r="ER12" s="7"/>
      <c r="EY12" s="7"/>
      <c r="FF12" s="7"/>
      <c r="FM12" s="7"/>
      <c r="FT12" s="7"/>
      <c r="GA12" s="7"/>
      <c r="GH12" s="7"/>
      <c r="GO12" s="7"/>
      <c r="GV12" s="7"/>
      <c r="HC12" s="7"/>
      <c r="HJ12" s="7"/>
      <c r="HQ12" s="7"/>
      <c r="HX12" s="7"/>
      <c r="IE12" s="7"/>
      <c r="IL12" s="7"/>
      <c r="IS12" s="7"/>
      <c r="IZ12" s="7"/>
      <c r="JG12" s="7"/>
      <c r="JN12" s="7"/>
      <c r="JU12" s="7"/>
      <c r="KB12" s="7"/>
      <c r="KI12" s="7"/>
      <c r="KP12" s="7"/>
      <c r="KW12" s="7"/>
      <c r="LD12" s="7"/>
      <c r="LK12" s="7"/>
      <c r="LR12" s="7"/>
      <c r="LY12" s="7"/>
      <c r="MF12" s="7"/>
    </row>
    <row r="13" spans="1:344" hidden="1" x14ac:dyDescent="0.25">
      <c r="A13" s="8" t="s">
        <v>178</v>
      </c>
      <c r="B13" s="8"/>
      <c r="C13" s="8" t="s">
        <v>180</v>
      </c>
      <c r="D13" s="8" t="s">
        <v>181</v>
      </c>
      <c r="E13" s="18"/>
      <c r="F13" s="10" t="str">
        <f t="shared" si="320"/>
        <v/>
      </c>
      <c r="G13" s="19" t="str">
        <f t="shared" si="320"/>
        <v/>
      </c>
      <c r="H13" s="19" t="str">
        <f t="shared" si="320"/>
        <v/>
      </c>
      <c r="I13" s="19" t="str">
        <f t="shared" si="320"/>
        <v/>
      </c>
      <c r="J13" s="19" t="str">
        <f t="shared" si="320"/>
        <v/>
      </c>
      <c r="K13" s="19" t="str">
        <f t="shared" si="320"/>
        <v/>
      </c>
      <c r="L13" s="19" t="str">
        <f t="shared" si="320"/>
        <v/>
      </c>
      <c r="M13" s="8"/>
      <c r="N13" s="8">
        <v>1</v>
      </c>
      <c r="O13" s="9"/>
      <c r="P13" s="8">
        <f t="shared" si="318"/>
        <v>1</v>
      </c>
      <c r="Q13" s="109">
        <f t="shared" si="321"/>
        <v>2.8571428571428572</v>
      </c>
      <c r="R13" s="133" t="str">
        <f t="shared" si="322"/>
        <v>-7</v>
      </c>
      <c r="S13" s="7">
        <v>1</v>
      </c>
      <c r="Z13" s="7"/>
      <c r="AG13" s="7"/>
      <c r="AN13" s="7"/>
      <c r="AU13" s="7"/>
      <c r="BB13" s="7"/>
      <c r="BI13" s="7"/>
      <c r="BP13" s="7"/>
      <c r="BX13" s="96"/>
      <c r="BY13" s="79"/>
      <c r="CG13" s="95" t="s">
        <v>370</v>
      </c>
      <c r="CH13" s="80" t="s">
        <v>373</v>
      </c>
      <c r="CP13" s="99" t="s">
        <v>370</v>
      </c>
      <c r="CQ13" s="80" t="s">
        <v>372</v>
      </c>
      <c r="CY13" s="99" t="s">
        <v>370</v>
      </c>
      <c r="CZ13" s="80" t="s">
        <v>369</v>
      </c>
      <c r="DH13" s="99" t="s">
        <v>370</v>
      </c>
      <c r="DI13" s="80" t="s">
        <v>372</v>
      </c>
      <c r="DP13" s="7"/>
      <c r="DW13" s="7"/>
      <c r="ED13" s="7"/>
      <c r="EK13" s="7"/>
      <c r="ER13" s="7"/>
      <c r="EY13" s="7"/>
      <c r="FF13" s="7"/>
      <c r="FM13" s="7"/>
      <c r="FT13" s="7"/>
      <c r="GA13" s="7"/>
      <c r="GH13" s="7"/>
      <c r="GO13" s="7"/>
      <c r="GV13" s="7"/>
      <c r="HC13" s="7"/>
      <c r="HJ13" s="7"/>
      <c r="HQ13" s="7"/>
      <c r="HX13" s="7"/>
      <c r="IE13" s="7"/>
      <c r="IL13" s="7"/>
      <c r="IS13" s="7"/>
      <c r="IZ13" s="7"/>
      <c r="JG13" s="7"/>
      <c r="JN13" s="7"/>
      <c r="JU13" s="7"/>
      <c r="KB13" s="7"/>
      <c r="KI13" s="7"/>
      <c r="KP13" s="7"/>
      <c r="KW13" s="7"/>
      <c r="LD13" s="7"/>
      <c r="LK13" s="7"/>
      <c r="LR13" s="7"/>
      <c r="LY13" s="7"/>
      <c r="MF13" s="7"/>
    </row>
    <row r="14" spans="1:344" hidden="1" x14ac:dyDescent="0.25">
      <c r="A14" s="8" t="s">
        <v>172</v>
      </c>
      <c r="B14" s="8" t="s">
        <v>173</v>
      </c>
      <c r="C14" s="8" t="s">
        <v>174</v>
      </c>
      <c r="D14" s="8" t="s">
        <v>175</v>
      </c>
      <c r="E14" s="18">
        <v>36556</v>
      </c>
      <c r="F14" s="10" t="str">
        <f t="shared" si="320"/>
        <v/>
      </c>
      <c r="G14" s="19" t="str">
        <f t="shared" si="320"/>
        <v/>
      </c>
      <c r="H14" s="19" t="str">
        <f t="shared" si="320"/>
        <v/>
      </c>
      <c r="I14" s="19" t="str">
        <f t="shared" si="320"/>
        <v/>
      </c>
      <c r="J14" s="19" t="str">
        <f t="shared" si="320"/>
        <v/>
      </c>
      <c r="K14" s="19" t="str">
        <f t="shared" si="320"/>
        <v/>
      </c>
      <c r="L14" s="19" t="str">
        <f t="shared" si="320"/>
        <v/>
      </c>
      <c r="M14" s="8"/>
      <c r="N14" s="8"/>
      <c r="O14" s="9">
        <v>1</v>
      </c>
      <c r="P14" s="8">
        <f t="shared" si="318"/>
        <v>1</v>
      </c>
      <c r="Q14" s="109">
        <f t="shared" si="321"/>
        <v>2.8571428571428572</v>
      </c>
      <c r="R14" s="133" t="str">
        <f t="shared" si="322"/>
        <v>-7</v>
      </c>
      <c r="S14" s="7">
        <v>1</v>
      </c>
      <c r="Z14" s="7"/>
      <c r="AG14" s="7"/>
      <c r="AN14" s="7"/>
      <c r="AU14" s="7"/>
      <c r="BB14" s="7"/>
      <c r="BI14" s="7"/>
      <c r="BP14" s="7"/>
      <c r="BX14" s="96"/>
      <c r="BY14" s="79"/>
      <c r="CG14" s="95" t="s">
        <v>370</v>
      </c>
      <c r="CH14" s="80" t="s">
        <v>373</v>
      </c>
      <c r="CP14" s="99" t="s">
        <v>370</v>
      </c>
      <c r="CQ14" s="80" t="s">
        <v>372</v>
      </c>
      <c r="CY14" s="99" t="s">
        <v>370</v>
      </c>
      <c r="CZ14" s="80" t="s">
        <v>369</v>
      </c>
      <c r="DH14" s="99" t="s">
        <v>370</v>
      </c>
      <c r="DI14" s="80" t="s">
        <v>372</v>
      </c>
      <c r="DP14" s="7"/>
      <c r="DW14" s="7"/>
      <c r="ED14" s="7"/>
      <c r="EK14" s="7"/>
      <c r="ER14" s="7"/>
      <c r="EY14" s="7"/>
      <c r="FF14" s="7"/>
      <c r="FM14" s="7"/>
      <c r="FT14" s="7"/>
      <c r="GA14" s="7"/>
      <c r="GH14" s="7"/>
      <c r="GO14" s="7"/>
      <c r="GV14" s="7"/>
      <c r="HC14" s="7"/>
      <c r="HJ14" s="7"/>
      <c r="HQ14" s="7"/>
      <c r="HX14" s="7"/>
      <c r="IE14" s="7"/>
      <c r="IL14" s="7"/>
      <c r="IS14" s="7"/>
      <c r="IZ14" s="7"/>
      <c r="JG14" s="7"/>
      <c r="JN14" s="7"/>
      <c r="JU14" s="7"/>
      <c r="KB14" s="7"/>
      <c r="KI14" s="7"/>
      <c r="KP14" s="7"/>
      <c r="KW14" s="7"/>
      <c r="LD14" s="7"/>
      <c r="LK14" s="7"/>
      <c r="LR14" s="7"/>
      <c r="LY14" s="7"/>
      <c r="MF14" s="7"/>
    </row>
    <row r="15" spans="1:344" x14ac:dyDescent="0.25">
      <c r="A15" s="8" t="s">
        <v>125</v>
      </c>
      <c r="B15" s="8" t="s">
        <v>124</v>
      </c>
      <c r="C15" s="8" t="s">
        <v>158</v>
      </c>
      <c r="D15" s="8" t="s">
        <v>123</v>
      </c>
      <c r="E15" s="18">
        <v>38491</v>
      </c>
      <c r="F15" s="10">
        <f t="shared" si="320"/>
        <v>1</v>
      </c>
      <c r="G15" s="19">
        <f t="shared" si="320"/>
        <v>1</v>
      </c>
      <c r="H15" s="19" t="str">
        <f t="shared" si="320"/>
        <v/>
      </c>
      <c r="I15" s="19" t="str">
        <f t="shared" si="320"/>
        <v/>
      </c>
      <c r="J15" s="19" t="str">
        <f t="shared" si="320"/>
        <v/>
      </c>
      <c r="K15" s="19" t="str">
        <f t="shared" si="320"/>
        <v/>
      </c>
      <c r="L15" s="19" t="str">
        <f t="shared" si="320"/>
        <v/>
      </c>
      <c r="M15" s="8"/>
      <c r="N15" s="8">
        <v>1</v>
      </c>
      <c r="O15" s="9">
        <v>1</v>
      </c>
      <c r="P15" s="8">
        <f t="shared" si="318"/>
        <v>26</v>
      </c>
      <c r="Q15" s="109">
        <f t="shared" si="321"/>
        <v>74.285714285714292</v>
      </c>
      <c r="R15" s="133" t="str">
        <f t="shared" si="322"/>
        <v>-8</v>
      </c>
      <c r="S15" s="7">
        <v>1</v>
      </c>
      <c r="U15">
        <v>1</v>
      </c>
      <c r="V15">
        <v>1</v>
      </c>
      <c r="X15">
        <v>1</v>
      </c>
      <c r="Z15" s="7"/>
      <c r="AB15">
        <v>1</v>
      </c>
      <c r="AD15">
        <v>1</v>
      </c>
      <c r="AE15">
        <v>1</v>
      </c>
      <c r="AG15" s="7"/>
      <c r="AI15">
        <v>1</v>
      </c>
      <c r="AL15">
        <v>1</v>
      </c>
      <c r="AN15" s="7"/>
      <c r="AP15">
        <v>1</v>
      </c>
      <c r="AR15">
        <v>1</v>
      </c>
      <c r="AS15">
        <v>1</v>
      </c>
      <c r="AU15" s="7"/>
      <c r="AW15">
        <v>1</v>
      </c>
      <c r="AZ15">
        <v>1</v>
      </c>
      <c r="BB15" s="7"/>
      <c r="BD15">
        <v>1</v>
      </c>
      <c r="BF15">
        <v>1</v>
      </c>
      <c r="BG15">
        <v>1</v>
      </c>
      <c r="BI15" s="7"/>
      <c r="BK15">
        <v>1</v>
      </c>
      <c r="BM15">
        <v>1</v>
      </c>
      <c r="BP15" s="7"/>
      <c r="BR15">
        <v>1</v>
      </c>
      <c r="BT15">
        <v>1</v>
      </c>
      <c r="BX15" s="95" t="s">
        <v>385</v>
      </c>
      <c r="BY15" s="80" t="s">
        <v>370</v>
      </c>
      <c r="CC15">
        <v>1</v>
      </c>
      <c r="CG15" s="95" t="s">
        <v>387</v>
      </c>
      <c r="CH15" s="80" t="s">
        <v>369</v>
      </c>
      <c r="CL15">
        <v>1</v>
      </c>
      <c r="CP15" s="99" t="s">
        <v>370</v>
      </c>
      <c r="CQ15" s="80" t="s">
        <v>373</v>
      </c>
      <c r="CS15">
        <v>1</v>
      </c>
      <c r="CU15">
        <v>1</v>
      </c>
      <c r="CV15">
        <v>1</v>
      </c>
      <c r="CY15" s="99" t="s">
        <v>370</v>
      </c>
      <c r="CZ15" s="80" t="s">
        <v>369</v>
      </c>
      <c r="DH15" s="99" t="s">
        <v>370</v>
      </c>
      <c r="DI15" s="80" t="s">
        <v>372</v>
      </c>
      <c r="DK15" t="s">
        <v>396</v>
      </c>
      <c r="DP15" s="7"/>
      <c r="DW15" s="7"/>
      <c r="ED15" s="7"/>
      <c r="EK15" s="7"/>
      <c r="ER15" s="7"/>
      <c r="EY15" s="7"/>
      <c r="FF15" s="7"/>
      <c r="FM15" s="7"/>
      <c r="FT15" s="7"/>
      <c r="GA15" s="7"/>
      <c r="GH15" s="7"/>
      <c r="GO15" s="7"/>
      <c r="GV15" s="7"/>
      <c r="HC15" s="7"/>
      <c r="HJ15" s="7"/>
      <c r="HQ15" s="7"/>
      <c r="HX15" s="7"/>
      <c r="IE15" s="7"/>
      <c r="IL15" s="7"/>
      <c r="IS15" s="7"/>
      <c r="IZ15" s="7"/>
      <c r="JG15" s="7"/>
      <c r="JN15" s="7"/>
      <c r="JU15" s="7"/>
      <c r="KB15" s="7"/>
      <c r="KI15" s="7"/>
      <c r="KP15" s="7"/>
      <c r="KW15" s="7"/>
      <c r="LD15" s="7"/>
      <c r="LK15" s="7"/>
      <c r="LR15" s="7"/>
      <c r="LY15" s="7"/>
      <c r="MF15" s="7"/>
    </row>
    <row r="16" spans="1:344" x14ac:dyDescent="0.25">
      <c r="A16" s="8" t="s">
        <v>80</v>
      </c>
      <c r="B16" s="8"/>
      <c r="C16" s="8" t="s">
        <v>160</v>
      </c>
      <c r="D16" s="8" t="s">
        <v>122</v>
      </c>
      <c r="E16" s="18">
        <v>38655</v>
      </c>
      <c r="F16" s="10">
        <f t="shared" si="320"/>
        <v>1</v>
      </c>
      <c r="G16" s="19">
        <f t="shared" si="320"/>
        <v>1</v>
      </c>
      <c r="H16" s="19" t="str">
        <f t="shared" si="320"/>
        <v/>
      </c>
      <c r="I16" s="19" t="str">
        <f t="shared" si="320"/>
        <v/>
      </c>
      <c r="J16" s="19" t="str">
        <f t="shared" si="320"/>
        <v/>
      </c>
      <c r="K16" s="19" t="str">
        <f t="shared" si="320"/>
        <v/>
      </c>
      <c r="L16" s="19" t="str">
        <f t="shared" si="320"/>
        <v/>
      </c>
      <c r="M16" s="8"/>
      <c r="N16" s="8">
        <v>1</v>
      </c>
      <c r="O16" s="9">
        <v>1</v>
      </c>
      <c r="P16" s="8">
        <f t="shared" si="318"/>
        <v>21</v>
      </c>
      <c r="Q16" s="109">
        <f t="shared" si="321"/>
        <v>60</v>
      </c>
      <c r="R16" s="133" t="str">
        <f t="shared" si="322"/>
        <v>-8</v>
      </c>
      <c r="S16" s="7">
        <v>1</v>
      </c>
      <c r="X16">
        <v>1</v>
      </c>
      <c r="Z16" s="7"/>
      <c r="AB16">
        <v>1</v>
      </c>
      <c r="AE16">
        <v>1</v>
      </c>
      <c r="AG16" s="7"/>
      <c r="AI16">
        <v>1</v>
      </c>
      <c r="AK16">
        <v>1</v>
      </c>
      <c r="AL16">
        <v>1</v>
      </c>
      <c r="AN16" s="7"/>
      <c r="AP16">
        <v>1</v>
      </c>
      <c r="AR16">
        <v>1</v>
      </c>
      <c r="AU16" s="7"/>
      <c r="AW16">
        <v>1</v>
      </c>
      <c r="AY16">
        <v>1</v>
      </c>
      <c r="BB16" s="7"/>
      <c r="BD16">
        <v>1</v>
      </c>
      <c r="BF16">
        <v>1</v>
      </c>
      <c r="BI16" s="7"/>
      <c r="BK16">
        <v>1</v>
      </c>
      <c r="BM16">
        <v>1</v>
      </c>
      <c r="BP16" s="7"/>
      <c r="BR16">
        <v>1</v>
      </c>
      <c r="BT16">
        <v>1</v>
      </c>
      <c r="BX16" s="95" t="s">
        <v>387</v>
      </c>
      <c r="BY16" s="80" t="s">
        <v>369</v>
      </c>
      <c r="CC16">
        <v>1</v>
      </c>
      <c r="CG16" s="95" t="s">
        <v>386</v>
      </c>
      <c r="CH16" s="80" t="s">
        <v>368</v>
      </c>
      <c r="CL16">
        <v>1</v>
      </c>
      <c r="CP16" s="99" t="s">
        <v>386</v>
      </c>
      <c r="CQ16" s="80" t="s">
        <v>368</v>
      </c>
      <c r="CV16">
        <v>1</v>
      </c>
      <c r="CY16" s="99" t="s">
        <v>370</v>
      </c>
      <c r="CZ16" s="80" t="s">
        <v>401</v>
      </c>
      <c r="DB16">
        <v>1</v>
      </c>
      <c r="DH16" s="99" t="s">
        <v>370</v>
      </c>
      <c r="DI16" s="80" t="s">
        <v>372</v>
      </c>
      <c r="DP16" s="7"/>
      <c r="DR16" t="s">
        <v>421</v>
      </c>
      <c r="DW16" s="7"/>
      <c r="ED16" s="7"/>
      <c r="EK16" s="7"/>
      <c r="ER16" s="7"/>
      <c r="EY16" s="7"/>
      <c r="FF16" s="7"/>
      <c r="FM16" s="7"/>
      <c r="FT16" s="7"/>
      <c r="GA16" s="7"/>
      <c r="GH16" s="7"/>
      <c r="GO16" s="7"/>
      <c r="GV16" s="7"/>
      <c r="HC16" s="7"/>
      <c r="HJ16" s="7"/>
      <c r="HQ16" s="7"/>
      <c r="HX16" s="7"/>
      <c r="IE16" s="7"/>
      <c r="IL16" s="7"/>
      <c r="IS16" s="7"/>
      <c r="IZ16" s="7"/>
      <c r="JG16" s="7"/>
      <c r="JN16" s="7"/>
      <c r="JU16" s="7"/>
      <c r="KB16" s="7"/>
      <c r="KI16" s="7"/>
      <c r="KP16" s="7"/>
      <c r="KW16" s="7"/>
      <c r="LD16" s="7"/>
      <c r="LK16" s="7"/>
      <c r="LR16" s="7"/>
      <c r="LY16" s="7"/>
      <c r="MF16" s="7"/>
    </row>
    <row r="17" spans="1:344" x14ac:dyDescent="0.25">
      <c r="A17" s="8" t="s">
        <v>155</v>
      </c>
      <c r="B17" s="8"/>
      <c r="C17" s="8" t="s">
        <v>156</v>
      </c>
      <c r="D17" s="8" t="s">
        <v>139</v>
      </c>
      <c r="E17" s="18">
        <v>37863</v>
      </c>
      <c r="F17" s="10">
        <f t="shared" si="320"/>
        <v>1</v>
      </c>
      <c r="G17" s="19" t="str">
        <f t="shared" si="320"/>
        <v/>
      </c>
      <c r="H17" s="19" t="str">
        <f t="shared" si="320"/>
        <v/>
      </c>
      <c r="I17" s="19" t="str">
        <f t="shared" si="320"/>
        <v/>
      </c>
      <c r="J17" s="19" t="str">
        <f t="shared" si="320"/>
        <v/>
      </c>
      <c r="K17" s="19" t="str">
        <f t="shared" si="320"/>
        <v/>
      </c>
      <c r="L17" s="19" t="str">
        <f t="shared" si="320"/>
        <v/>
      </c>
      <c r="M17" s="8"/>
      <c r="N17" s="8">
        <v>1</v>
      </c>
      <c r="O17" s="9">
        <v>1</v>
      </c>
      <c r="P17" s="8">
        <f t="shared" si="318"/>
        <v>30</v>
      </c>
      <c r="Q17" s="109">
        <f t="shared" si="321"/>
        <v>85.714285714285708</v>
      </c>
      <c r="R17" s="133" t="str">
        <f t="shared" si="322"/>
        <v>-2</v>
      </c>
      <c r="S17" s="7">
        <v>1</v>
      </c>
      <c r="U17">
        <v>1</v>
      </c>
      <c r="V17">
        <v>1</v>
      </c>
      <c r="X17">
        <v>1</v>
      </c>
      <c r="Z17" s="7"/>
      <c r="AB17">
        <v>1</v>
      </c>
      <c r="AD17">
        <v>1</v>
      </c>
      <c r="AE17">
        <v>1</v>
      </c>
      <c r="AG17" s="7"/>
      <c r="AI17">
        <v>1</v>
      </c>
      <c r="AK17">
        <v>1</v>
      </c>
      <c r="AN17" s="7"/>
      <c r="AP17">
        <v>1</v>
      </c>
      <c r="AR17">
        <v>1</v>
      </c>
      <c r="AS17">
        <v>1</v>
      </c>
      <c r="AU17" s="7"/>
      <c r="AW17">
        <v>1</v>
      </c>
      <c r="AY17">
        <v>1</v>
      </c>
      <c r="AZ17">
        <v>1</v>
      </c>
      <c r="BB17" s="7"/>
      <c r="BD17">
        <v>1</v>
      </c>
      <c r="BF17">
        <v>1</v>
      </c>
      <c r="BG17">
        <v>1</v>
      </c>
      <c r="BI17" s="7"/>
      <c r="BK17">
        <v>1</v>
      </c>
      <c r="BM17">
        <v>1</v>
      </c>
      <c r="BP17" s="7">
        <v>1</v>
      </c>
      <c r="BR17">
        <v>1</v>
      </c>
      <c r="BT17">
        <v>1</v>
      </c>
      <c r="BX17" s="95" t="s">
        <v>385</v>
      </c>
      <c r="BY17" s="80" t="s">
        <v>370</v>
      </c>
      <c r="CG17" s="95" t="s">
        <v>392</v>
      </c>
      <c r="CH17" s="80" t="s">
        <v>391</v>
      </c>
      <c r="CO17">
        <v>1</v>
      </c>
      <c r="CP17" s="99" t="s">
        <v>386</v>
      </c>
      <c r="CQ17" s="80" t="s">
        <v>368</v>
      </c>
      <c r="CS17">
        <v>1</v>
      </c>
      <c r="CU17">
        <v>1</v>
      </c>
      <c r="CV17">
        <v>1</v>
      </c>
      <c r="CX17">
        <v>1</v>
      </c>
      <c r="CY17" s="99" t="s">
        <v>387</v>
      </c>
      <c r="CZ17" s="80" t="s">
        <v>387</v>
      </c>
      <c r="DB17">
        <v>1</v>
      </c>
      <c r="DE17">
        <v>1</v>
      </c>
      <c r="DH17" s="99" t="s">
        <v>370</v>
      </c>
      <c r="DI17" s="80" t="s">
        <v>372</v>
      </c>
      <c r="DP17" s="7"/>
      <c r="DR17" t="s">
        <v>396</v>
      </c>
      <c r="DW17" s="7"/>
      <c r="DY17" t="s">
        <v>396</v>
      </c>
      <c r="ED17" s="7"/>
      <c r="EK17" s="7"/>
      <c r="ER17" s="7"/>
      <c r="EY17" s="7"/>
      <c r="FF17" s="7"/>
      <c r="FM17" s="7"/>
      <c r="FT17" s="7"/>
      <c r="GA17" s="7"/>
      <c r="GH17" s="7"/>
      <c r="GO17" s="7"/>
      <c r="GV17" s="7"/>
      <c r="HC17" s="7"/>
      <c r="HJ17" s="7"/>
      <c r="HQ17" s="7"/>
      <c r="HX17" s="7"/>
      <c r="IE17" s="7"/>
      <c r="IL17" s="7"/>
      <c r="IS17" s="7"/>
      <c r="IZ17" s="7"/>
      <c r="JG17" s="7"/>
      <c r="JN17" s="7"/>
      <c r="JU17" s="7"/>
      <c r="KB17" s="7"/>
      <c r="KI17" s="7"/>
      <c r="KP17" s="7"/>
      <c r="KW17" s="7"/>
      <c r="LD17" s="7"/>
      <c r="LK17" s="7"/>
      <c r="LR17" s="7"/>
      <c r="LY17" s="7"/>
      <c r="MF17" s="7"/>
    </row>
    <row r="18" spans="1:344" x14ac:dyDescent="0.25">
      <c r="A18" s="8" t="s">
        <v>80</v>
      </c>
      <c r="B18" s="8"/>
      <c r="C18" s="8" t="s">
        <v>143</v>
      </c>
      <c r="D18" s="8" t="s">
        <v>139</v>
      </c>
      <c r="E18" s="18">
        <v>37863</v>
      </c>
      <c r="F18" s="10">
        <f t="shared" si="320"/>
        <v>1</v>
      </c>
      <c r="G18" s="19" t="str">
        <f t="shared" si="320"/>
        <v/>
      </c>
      <c r="H18" s="19" t="str">
        <f t="shared" si="320"/>
        <v/>
      </c>
      <c r="I18" s="19" t="str">
        <f t="shared" si="320"/>
        <v/>
      </c>
      <c r="J18" s="19" t="str">
        <f t="shared" si="320"/>
        <v/>
      </c>
      <c r="K18" s="19" t="str">
        <f t="shared" si="320"/>
        <v/>
      </c>
      <c r="L18" s="19" t="str">
        <f t="shared" si="320"/>
        <v/>
      </c>
      <c r="M18" s="8"/>
      <c r="N18" s="8">
        <v>1</v>
      </c>
      <c r="O18" s="9">
        <v>1</v>
      </c>
      <c r="P18" s="8">
        <f t="shared" si="318"/>
        <v>28</v>
      </c>
      <c r="Q18" s="109">
        <f t="shared" si="321"/>
        <v>80</v>
      </c>
      <c r="R18" s="133" t="str">
        <f t="shared" si="322"/>
        <v>-14</v>
      </c>
      <c r="S18" s="7">
        <v>1</v>
      </c>
      <c r="U18">
        <v>1</v>
      </c>
      <c r="V18">
        <v>1</v>
      </c>
      <c r="X18">
        <v>1</v>
      </c>
      <c r="Z18" s="7"/>
      <c r="AD18">
        <v>1</v>
      </c>
      <c r="AE18">
        <v>1</v>
      </c>
      <c r="AG18" s="7"/>
      <c r="AI18">
        <v>1</v>
      </c>
      <c r="AK18">
        <v>1</v>
      </c>
      <c r="AN18" s="7"/>
      <c r="AP18">
        <v>1</v>
      </c>
      <c r="AR18">
        <v>1</v>
      </c>
      <c r="AS18">
        <v>1</v>
      </c>
      <c r="AU18" s="7"/>
      <c r="AW18">
        <v>1</v>
      </c>
      <c r="AZ18">
        <v>1</v>
      </c>
      <c r="BB18" s="7"/>
      <c r="BD18">
        <v>1</v>
      </c>
      <c r="BF18">
        <v>1</v>
      </c>
      <c r="BG18">
        <v>1</v>
      </c>
      <c r="BI18" s="7"/>
      <c r="BK18">
        <v>1</v>
      </c>
      <c r="BM18">
        <v>1</v>
      </c>
      <c r="BP18" s="7">
        <v>1</v>
      </c>
      <c r="BR18">
        <v>1</v>
      </c>
      <c r="BT18">
        <v>1</v>
      </c>
      <c r="BX18" s="95" t="s">
        <v>385</v>
      </c>
      <c r="BY18" s="80" t="s">
        <v>370</v>
      </c>
      <c r="CG18" s="95" t="s">
        <v>370</v>
      </c>
      <c r="CH18" s="80" t="s">
        <v>374</v>
      </c>
      <c r="CO18">
        <v>1</v>
      </c>
      <c r="CP18" s="99" t="s">
        <v>370</v>
      </c>
      <c r="CQ18" s="80" t="s">
        <v>373</v>
      </c>
      <c r="CS18">
        <v>1</v>
      </c>
      <c r="CU18">
        <v>1</v>
      </c>
      <c r="CV18">
        <v>1</v>
      </c>
      <c r="CX18">
        <v>1</v>
      </c>
      <c r="CY18" s="99" t="s">
        <v>370</v>
      </c>
      <c r="CZ18" s="80" t="s">
        <v>370</v>
      </c>
      <c r="DB18">
        <v>1</v>
      </c>
      <c r="DE18">
        <v>1</v>
      </c>
      <c r="DH18" s="99" t="s">
        <v>370</v>
      </c>
      <c r="DI18" s="80" t="s">
        <v>372</v>
      </c>
      <c r="DP18" s="7"/>
      <c r="DR18" t="s">
        <v>396</v>
      </c>
      <c r="DW18" s="7"/>
      <c r="DY18" t="s">
        <v>396</v>
      </c>
      <c r="ED18" s="7"/>
      <c r="EK18" s="7"/>
      <c r="ER18" s="7"/>
      <c r="EY18" s="7"/>
      <c r="FF18" s="7"/>
      <c r="FM18" s="7"/>
      <c r="FT18" s="7"/>
      <c r="GA18" s="7"/>
      <c r="GH18" s="7"/>
      <c r="GO18" s="7"/>
      <c r="GV18" s="7"/>
      <c r="HC18" s="7"/>
      <c r="HJ18" s="7"/>
      <c r="HQ18" s="7"/>
      <c r="HX18" s="7"/>
      <c r="IE18" s="7"/>
      <c r="IL18" s="7"/>
      <c r="IS18" s="7"/>
      <c r="IZ18" s="7"/>
      <c r="JG18" s="7"/>
      <c r="JN18" s="7"/>
      <c r="JU18" s="7"/>
      <c r="KB18" s="7"/>
      <c r="KI18" s="7"/>
      <c r="KP18" s="7"/>
      <c r="KW18" s="7"/>
      <c r="LD18" s="7"/>
      <c r="LK18" s="7"/>
      <c r="LR18" s="7"/>
      <c r="LY18" s="7"/>
      <c r="MF18" s="7"/>
    </row>
    <row r="19" spans="1:344" x14ac:dyDescent="0.25">
      <c r="A19" s="8" t="s">
        <v>142</v>
      </c>
      <c r="B19" s="8" t="s">
        <v>141</v>
      </c>
      <c r="C19" s="8" t="s">
        <v>140</v>
      </c>
      <c r="D19" s="8" t="s">
        <v>139</v>
      </c>
      <c r="E19" s="18">
        <v>38954</v>
      </c>
      <c r="F19" s="10">
        <f t="shared" si="320"/>
        <v>1</v>
      </c>
      <c r="G19" s="19">
        <f t="shared" si="320"/>
        <v>1</v>
      </c>
      <c r="H19" s="19">
        <f t="shared" si="320"/>
        <v>1</v>
      </c>
      <c r="I19" s="19" t="str">
        <f t="shared" si="320"/>
        <v/>
      </c>
      <c r="J19" s="19" t="str">
        <f t="shared" si="320"/>
        <v/>
      </c>
      <c r="K19" s="19" t="str">
        <f t="shared" si="320"/>
        <v/>
      </c>
      <c r="L19" s="19" t="str">
        <f t="shared" si="320"/>
        <v/>
      </c>
      <c r="M19" s="8">
        <v>1</v>
      </c>
      <c r="N19" s="8">
        <v>1</v>
      </c>
      <c r="O19" s="9"/>
      <c r="P19" s="8">
        <f t="shared" si="318"/>
        <v>29</v>
      </c>
      <c r="Q19" s="109">
        <f t="shared" si="321"/>
        <v>82.857142857142861</v>
      </c>
      <c r="R19" s="133" t="str">
        <f t="shared" si="322"/>
        <v>-9</v>
      </c>
      <c r="S19" s="7"/>
      <c r="U19">
        <v>1</v>
      </c>
      <c r="V19">
        <v>1</v>
      </c>
      <c r="X19">
        <v>1</v>
      </c>
      <c r="Z19" s="7"/>
      <c r="AB19">
        <v>1</v>
      </c>
      <c r="AD19">
        <v>1</v>
      </c>
      <c r="AE19">
        <v>1</v>
      </c>
      <c r="AG19" s="7"/>
      <c r="AI19">
        <v>1</v>
      </c>
      <c r="AK19">
        <v>1</v>
      </c>
      <c r="AN19" s="7"/>
      <c r="AP19">
        <v>1</v>
      </c>
      <c r="AR19">
        <v>1</v>
      </c>
      <c r="AS19">
        <v>1</v>
      </c>
      <c r="AU19" s="7"/>
      <c r="AW19">
        <v>1</v>
      </c>
      <c r="AX19">
        <v>1</v>
      </c>
      <c r="AY19">
        <v>1</v>
      </c>
      <c r="AZ19">
        <v>1</v>
      </c>
      <c r="BB19" s="7"/>
      <c r="BD19">
        <v>1</v>
      </c>
      <c r="BF19">
        <v>1</v>
      </c>
      <c r="BG19">
        <v>1</v>
      </c>
      <c r="BI19" s="7"/>
      <c r="BK19">
        <v>1</v>
      </c>
      <c r="BM19">
        <v>1</v>
      </c>
      <c r="BP19" s="7"/>
      <c r="BR19">
        <v>1</v>
      </c>
      <c r="BT19">
        <v>1</v>
      </c>
      <c r="BX19" s="95" t="s">
        <v>385</v>
      </c>
      <c r="BY19" s="80" t="s">
        <v>370</v>
      </c>
      <c r="CG19" s="95" t="s">
        <v>370</v>
      </c>
      <c r="CH19" s="80" t="s">
        <v>374</v>
      </c>
      <c r="CO19">
        <v>1</v>
      </c>
      <c r="CP19" s="99" t="s">
        <v>370</v>
      </c>
      <c r="CQ19" s="80" t="s">
        <v>373</v>
      </c>
      <c r="CS19">
        <v>1</v>
      </c>
      <c r="CU19">
        <v>1</v>
      </c>
      <c r="CV19">
        <v>1</v>
      </c>
      <c r="CX19">
        <v>1</v>
      </c>
      <c r="CY19" s="99" t="s">
        <v>387</v>
      </c>
      <c r="CZ19" s="80" t="s">
        <v>387</v>
      </c>
      <c r="DB19">
        <v>1</v>
      </c>
      <c r="DE19">
        <v>1</v>
      </c>
      <c r="DH19" s="99" t="s">
        <v>370</v>
      </c>
      <c r="DI19" s="80" t="s">
        <v>372</v>
      </c>
      <c r="DP19" s="7"/>
      <c r="DR19" t="s">
        <v>396</v>
      </c>
      <c r="DW19" s="7"/>
      <c r="DY19" t="s">
        <v>396</v>
      </c>
      <c r="ED19" s="7"/>
      <c r="EK19" s="7"/>
      <c r="ER19" s="7"/>
      <c r="EY19" s="7"/>
      <c r="FF19" s="7"/>
      <c r="FM19" s="7"/>
      <c r="FT19" s="7"/>
      <c r="GA19" s="7"/>
      <c r="GH19" s="7"/>
      <c r="GO19" s="7"/>
      <c r="GV19" s="7"/>
      <c r="HC19" s="7"/>
      <c r="HJ19" s="7"/>
      <c r="HQ19" s="7"/>
      <c r="HX19" s="7"/>
      <c r="IE19" s="7"/>
      <c r="IL19" s="7"/>
      <c r="IS19" s="7"/>
      <c r="IZ19" s="7"/>
      <c r="JG19" s="7"/>
      <c r="JN19" s="7"/>
      <c r="JU19" s="7"/>
      <c r="KB19" s="7"/>
      <c r="KI19" s="7"/>
      <c r="KP19" s="7"/>
      <c r="KW19" s="7"/>
      <c r="LD19" s="7"/>
      <c r="LK19" s="7"/>
      <c r="LR19" s="7"/>
      <c r="LY19" s="7"/>
      <c r="MF19" s="7"/>
    </row>
    <row r="20" spans="1:344" hidden="1" x14ac:dyDescent="0.25">
      <c r="A20" s="8" t="s">
        <v>162</v>
      </c>
      <c r="B20" s="8" t="s">
        <v>185</v>
      </c>
      <c r="C20" s="8" t="s">
        <v>187</v>
      </c>
      <c r="D20" s="8" t="s">
        <v>186</v>
      </c>
      <c r="E20" s="18"/>
      <c r="F20" s="10" t="str">
        <f t="shared" si="320"/>
        <v/>
      </c>
      <c r="G20" s="19" t="str">
        <f t="shared" si="320"/>
        <v/>
      </c>
      <c r="H20" s="19" t="str">
        <f t="shared" si="320"/>
        <v/>
      </c>
      <c r="I20" s="19" t="str">
        <f t="shared" si="320"/>
        <v/>
      </c>
      <c r="J20" s="19" t="str">
        <f t="shared" si="320"/>
        <v/>
      </c>
      <c r="K20" s="19" t="str">
        <f t="shared" si="320"/>
        <v/>
      </c>
      <c r="L20" s="19" t="str">
        <f t="shared" si="320"/>
        <v/>
      </c>
      <c r="M20" s="8"/>
      <c r="N20" s="8">
        <v>1</v>
      </c>
      <c r="O20" s="9"/>
      <c r="P20" s="8">
        <f t="shared" si="318"/>
        <v>1</v>
      </c>
      <c r="Q20" s="109">
        <f t="shared" si="321"/>
        <v>2.8571428571428572</v>
      </c>
      <c r="R20" s="133" t="str">
        <f t="shared" si="322"/>
        <v>-14</v>
      </c>
      <c r="S20" s="7">
        <v>1</v>
      </c>
      <c r="Z20" s="7"/>
      <c r="AG20" s="7"/>
      <c r="AN20" s="7"/>
      <c r="AU20" s="7"/>
      <c r="BB20" s="7"/>
      <c r="BI20" s="7"/>
      <c r="BP20" s="7"/>
      <c r="BX20" s="95" t="s">
        <v>370</v>
      </c>
      <c r="BY20" s="80" t="s">
        <v>373</v>
      </c>
      <c r="CG20" s="95" t="s">
        <v>370</v>
      </c>
      <c r="CH20" s="80" t="s">
        <v>374</v>
      </c>
      <c r="CP20" s="99" t="s">
        <v>370</v>
      </c>
      <c r="CQ20" s="80" t="s">
        <v>372</v>
      </c>
      <c r="CY20" s="99" t="s">
        <v>370</v>
      </c>
      <c r="CZ20" s="80" t="s">
        <v>372</v>
      </c>
      <c r="DH20" s="99" t="s">
        <v>370</v>
      </c>
      <c r="DI20" s="80" t="s">
        <v>372</v>
      </c>
      <c r="DP20" s="7"/>
      <c r="DW20" s="7"/>
      <c r="ED20" s="7"/>
      <c r="EK20" s="7"/>
      <c r="ER20" s="7"/>
      <c r="EY20" s="7"/>
      <c r="FF20" s="7"/>
      <c r="FM20" s="7"/>
      <c r="FT20" s="7"/>
      <c r="GA20" s="7"/>
      <c r="GH20" s="7"/>
      <c r="GO20" s="7"/>
      <c r="GV20" s="7"/>
      <c r="HC20" s="7"/>
      <c r="HJ20" s="7"/>
      <c r="HQ20" s="7"/>
      <c r="HX20" s="7"/>
      <c r="IE20" s="7"/>
      <c r="IL20" s="7"/>
      <c r="IS20" s="7"/>
      <c r="IZ20" s="7"/>
      <c r="JG20" s="7"/>
      <c r="JN20" s="7"/>
      <c r="JU20" s="7"/>
      <c r="KB20" s="7"/>
      <c r="KI20" s="7"/>
      <c r="KP20" s="7"/>
      <c r="KW20" s="7"/>
      <c r="LD20" s="7"/>
      <c r="LK20" s="7"/>
      <c r="LR20" s="7"/>
      <c r="LY20" s="7"/>
      <c r="MF20" s="7"/>
    </row>
    <row r="21" spans="1:344" x14ac:dyDescent="0.25">
      <c r="A21" s="8" t="s">
        <v>138</v>
      </c>
      <c r="B21" s="8" t="s">
        <v>137</v>
      </c>
      <c r="C21" s="8" t="s">
        <v>136</v>
      </c>
      <c r="D21" s="8" t="s">
        <v>135</v>
      </c>
      <c r="E21" s="18">
        <v>39155</v>
      </c>
      <c r="F21" s="10">
        <f t="shared" si="320"/>
        <v>1</v>
      </c>
      <c r="G21" s="19">
        <f t="shared" si="320"/>
        <v>1</v>
      </c>
      <c r="H21" s="19">
        <f t="shared" si="320"/>
        <v>1</v>
      </c>
      <c r="I21" s="19">
        <f t="shared" si="320"/>
        <v>1</v>
      </c>
      <c r="J21" s="19" t="str">
        <f t="shared" si="320"/>
        <v/>
      </c>
      <c r="K21" s="19" t="str">
        <f t="shared" si="320"/>
        <v/>
      </c>
      <c r="L21" s="19" t="str">
        <f t="shared" si="320"/>
        <v/>
      </c>
      <c r="M21" s="8">
        <v>1</v>
      </c>
      <c r="N21" s="8">
        <v>1</v>
      </c>
      <c r="O21" s="9"/>
      <c r="P21" s="8">
        <f t="shared" si="318"/>
        <v>23</v>
      </c>
      <c r="Q21" s="109">
        <f t="shared" si="321"/>
        <v>65.714285714285708</v>
      </c>
      <c r="R21" s="133" t="str">
        <f t="shared" si="322"/>
        <v>-20</v>
      </c>
      <c r="S21" s="7"/>
      <c r="U21">
        <v>1</v>
      </c>
      <c r="V21">
        <v>1</v>
      </c>
      <c r="X21">
        <v>1</v>
      </c>
      <c r="Z21" s="7"/>
      <c r="AB21">
        <v>1</v>
      </c>
      <c r="AD21">
        <v>1</v>
      </c>
      <c r="AE21">
        <v>1</v>
      </c>
      <c r="AG21" s="7"/>
      <c r="AI21">
        <v>1</v>
      </c>
      <c r="AK21">
        <v>1</v>
      </c>
      <c r="AL21">
        <v>1</v>
      </c>
      <c r="AN21" s="7"/>
      <c r="AP21">
        <v>1</v>
      </c>
      <c r="AR21">
        <v>1</v>
      </c>
      <c r="AS21">
        <v>1</v>
      </c>
      <c r="AU21" s="7"/>
      <c r="AW21">
        <v>1</v>
      </c>
      <c r="AX21">
        <v>1</v>
      </c>
      <c r="AY21">
        <v>1</v>
      </c>
      <c r="BB21" s="7"/>
      <c r="BD21">
        <v>1</v>
      </c>
      <c r="BF21">
        <v>1</v>
      </c>
      <c r="BG21">
        <v>1</v>
      </c>
      <c r="BI21" s="7"/>
      <c r="BK21">
        <v>1</v>
      </c>
      <c r="BM21">
        <v>1</v>
      </c>
      <c r="BP21" s="7">
        <v>1</v>
      </c>
      <c r="BR21">
        <v>1</v>
      </c>
      <c r="BT21">
        <v>1</v>
      </c>
      <c r="BX21" s="95" t="s">
        <v>385</v>
      </c>
      <c r="BY21" s="80" t="s">
        <v>370</v>
      </c>
      <c r="CG21" s="95" t="s">
        <v>370</v>
      </c>
      <c r="CH21" s="80" t="s">
        <v>374</v>
      </c>
      <c r="CP21" s="99" t="s">
        <v>370</v>
      </c>
      <c r="CQ21" s="80" t="s">
        <v>374</v>
      </c>
      <c r="CY21" s="99" t="s">
        <v>370</v>
      </c>
      <c r="CZ21" s="80" t="s">
        <v>371</v>
      </c>
      <c r="DH21" s="99" t="s">
        <v>370</v>
      </c>
      <c r="DI21" s="80" t="s">
        <v>372</v>
      </c>
      <c r="DP21" s="7"/>
      <c r="DW21" s="7"/>
      <c r="ED21" s="7"/>
      <c r="EK21" s="7"/>
      <c r="ER21" s="7"/>
      <c r="EY21" s="7"/>
      <c r="FF21" s="7"/>
      <c r="FM21" s="7"/>
      <c r="FT21" s="7"/>
      <c r="GA21" s="7"/>
      <c r="GH21" s="7"/>
      <c r="GO21" s="7"/>
      <c r="GV21" s="7"/>
      <c r="HC21" s="7"/>
      <c r="HJ21" s="7"/>
      <c r="HQ21" s="7"/>
      <c r="HX21" s="7"/>
      <c r="IE21" s="7"/>
      <c r="IL21" s="7"/>
      <c r="IS21" s="7"/>
      <c r="IZ21" s="7"/>
      <c r="JG21" s="7"/>
      <c r="JN21" s="7"/>
      <c r="JU21" s="7"/>
      <c r="KB21" s="7"/>
      <c r="KI21" s="7"/>
      <c r="KP21" s="7"/>
      <c r="KW21" s="7"/>
      <c r="LD21" s="7"/>
      <c r="LK21" s="7"/>
      <c r="LR21" s="7"/>
      <c r="LY21" s="7"/>
      <c r="MF21" s="7"/>
    </row>
    <row r="22" spans="1:344" x14ac:dyDescent="0.25">
      <c r="A22" s="8" t="s">
        <v>134</v>
      </c>
      <c r="B22" s="8" t="s">
        <v>133</v>
      </c>
      <c r="C22" s="8" t="s">
        <v>170</v>
      </c>
      <c r="D22" s="8" t="s">
        <v>171</v>
      </c>
      <c r="E22" s="18">
        <v>37177</v>
      </c>
      <c r="F22" s="10" t="str">
        <f t="shared" si="320"/>
        <v/>
      </c>
      <c r="G22" s="19" t="str">
        <f t="shared" si="320"/>
        <v/>
      </c>
      <c r="H22" s="19" t="str">
        <f t="shared" si="320"/>
        <v/>
      </c>
      <c r="I22" s="19" t="str">
        <f t="shared" si="320"/>
        <v/>
      </c>
      <c r="J22" s="19" t="str">
        <f t="shared" si="320"/>
        <v/>
      </c>
      <c r="K22" s="19" t="str">
        <f t="shared" si="320"/>
        <v/>
      </c>
      <c r="L22" s="19" t="str">
        <f t="shared" si="320"/>
        <v/>
      </c>
      <c r="M22" s="8"/>
      <c r="N22" s="8"/>
      <c r="O22" s="9">
        <v>1</v>
      </c>
      <c r="P22" s="8">
        <f t="shared" si="318"/>
        <v>23</v>
      </c>
      <c r="Q22" s="109">
        <f t="shared" si="321"/>
        <v>65.714285714285708</v>
      </c>
      <c r="R22" s="133" t="str">
        <f t="shared" si="322"/>
        <v>-2</v>
      </c>
      <c r="S22" s="7">
        <v>1</v>
      </c>
      <c r="U22">
        <v>1</v>
      </c>
      <c r="V22">
        <v>1</v>
      </c>
      <c r="Z22" s="7"/>
      <c r="AB22">
        <v>1</v>
      </c>
      <c r="AG22" s="7"/>
      <c r="AN22" s="7"/>
      <c r="AU22" s="7"/>
      <c r="AW22">
        <v>1</v>
      </c>
      <c r="AZ22">
        <v>1</v>
      </c>
      <c r="BB22" s="7"/>
      <c r="BF22">
        <v>1</v>
      </c>
      <c r="BG22">
        <v>1</v>
      </c>
      <c r="BI22" s="7"/>
      <c r="BK22">
        <v>1</v>
      </c>
      <c r="BM22">
        <v>1</v>
      </c>
      <c r="BP22" s="7"/>
      <c r="BR22">
        <v>1</v>
      </c>
      <c r="BT22">
        <v>1</v>
      </c>
      <c r="BW22">
        <v>1</v>
      </c>
      <c r="BX22" s="95" t="s">
        <v>400</v>
      </c>
      <c r="BY22" s="80" t="s">
        <v>368</v>
      </c>
      <c r="CC22">
        <v>1</v>
      </c>
      <c r="CF22">
        <v>1</v>
      </c>
      <c r="CG22" s="95" t="s">
        <v>392</v>
      </c>
      <c r="CH22" s="80" t="s">
        <v>369</v>
      </c>
      <c r="CL22">
        <v>1</v>
      </c>
      <c r="CO22">
        <v>1</v>
      </c>
      <c r="CP22" s="99" t="s">
        <v>387</v>
      </c>
      <c r="CQ22" s="80" t="s">
        <v>406</v>
      </c>
      <c r="CS22">
        <v>1</v>
      </c>
      <c r="CU22">
        <v>1</v>
      </c>
      <c r="CV22">
        <v>1</v>
      </c>
      <c r="CX22">
        <v>1</v>
      </c>
      <c r="CY22" s="99" t="s">
        <v>370</v>
      </c>
      <c r="CZ22" s="80" t="s">
        <v>370</v>
      </c>
      <c r="DB22">
        <v>1</v>
      </c>
      <c r="DE22">
        <v>1</v>
      </c>
      <c r="DH22" s="99" t="s">
        <v>370</v>
      </c>
      <c r="DI22" s="80" t="s">
        <v>372</v>
      </c>
      <c r="DP22" s="7"/>
      <c r="DW22" s="7"/>
      <c r="ED22" s="7"/>
      <c r="EK22" s="7"/>
      <c r="ER22" s="7"/>
      <c r="EY22" s="7"/>
      <c r="FF22" s="7"/>
      <c r="FM22" s="7"/>
      <c r="FT22" s="7"/>
      <c r="GA22" s="7"/>
      <c r="GH22" s="7"/>
      <c r="GO22" s="7"/>
      <c r="GV22" s="7"/>
      <c r="HC22" s="7"/>
      <c r="HJ22" s="7"/>
      <c r="HQ22" s="7"/>
      <c r="HX22" s="7"/>
      <c r="IE22" s="7"/>
      <c r="IL22" s="7"/>
      <c r="IS22" s="7"/>
      <c r="IZ22" s="7"/>
      <c r="JG22" s="7"/>
      <c r="JN22" s="7"/>
      <c r="JU22" s="7"/>
      <c r="KB22" s="7"/>
      <c r="KI22" s="7"/>
      <c r="KP22" s="7"/>
      <c r="KW22" s="7"/>
      <c r="LD22" s="7"/>
      <c r="LK22" s="7"/>
      <c r="LR22" s="7"/>
      <c r="LY22" s="7"/>
      <c r="MF22" s="7"/>
    </row>
    <row r="23" spans="1:344" x14ac:dyDescent="0.25">
      <c r="A23" s="8" t="s">
        <v>125</v>
      </c>
      <c r="B23" s="8" t="s">
        <v>167</v>
      </c>
      <c r="C23" s="8" t="s">
        <v>168</v>
      </c>
      <c r="D23" s="8" t="s">
        <v>169</v>
      </c>
      <c r="E23" s="18">
        <v>36870</v>
      </c>
      <c r="F23" s="10" t="str">
        <f t="shared" si="320"/>
        <v/>
      </c>
      <c r="G23" s="19" t="str">
        <f t="shared" si="320"/>
        <v/>
      </c>
      <c r="H23" s="19" t="str">
        <f t="shared" si="320"/>
        <v/>
      </c>
      <c r="I23" s="19" t="str">
        <f t="shared" si="320"/>
        <v/>
      </c>
      <c r="J23" s="19" t="str">
        <f t="shared" si="320"/>
        <v/>
      </c>
      <c r="K23" s="19" t="str">
        <f t="shared" si="320"/>
        <v/>
      </c>
      <c r="L23" s="19" t="str">
        <f t="shared" si="320"/>
        <v/>
      </c>
      <c r="M23" s="8"/>
      <c r="N23" s="8"/>
      <c r="O23" s="9">
        <v>1</v>
      </c>
      <c r="P23" s="8">
        <f t="shared" si="318"/>
        <v>27</v>
      </c>
      <c r="Q23" s="109">
        <f t="shared" si="321"/>
        <v>77.142857142857153</v>
      </c>
      <c r="R23" s="133" t="str">
        <f t="shared" si="322"/>
        <v>-10</v>
      </c>
      <c r="S23" s="7">
        <v>1</v>
      </c>
      <c r="Z23" s="7"/>
      <c r="AB23">
        <v>1</v>
      </c>
      <c r="AD23">
        <v>1</v>
      </c>
      <c r="AE23">
        <v>1</v>
      </c>
      <c r="AG23" s="7"/>
      <c r="AI23">
        <v>1</v>
      </c>
      <c r="AK23">
        <v>1</v>
      </c>
      <c r="AL23">
        <v>1</v>
      </c>
      <c r="AN23" s="7"/>
      <c r="AP23">
        <v>1</v>
      </c>
      <c r="AR23">
        <v>1</v>
      </c>
      <c r="AS23">
        <v>1</v>
      </c>
      <c r="AU23" s="7"/>
      <c r="AY23">
        <v>1</v>
      </c>
      <c r="AZ23">
        <v>1</v>
      </c>
      <c r="BB23" s="7"/>
      <c r="BD23">
        <v>1</v>
      </c>
      <c r="BG23">
        <v>1</v>
      </c>
      <c r="BI23" s="7"/>
      <c r="BK23">
        <v>1</v>
      </c>
      <c r="BM23">
        <v>1</v>
      </c>
      <c r="BP23" s="7"/>
      <c r="BR23">
        <v>1</v>
      </c>
      <c r="BX23" s="95" t="s">
        <v>370</v>
      </c>
      <c r="BY23" s="80" t="s">
        <v>374</v>
      </c>
      <c r="CC23">
        <v>1</v>
      </c>
      <c r="CF23">
        <v>1</v>
      </c>
      <c r="CG23" s="95" t="s">
        <v>400</v>
      </c>
      <c r="CH23" s="80" t="s">
        <v>368</v>
      </c>
      <c r="CJ23" s="34"/>
      <c r="CL23">
        <v>1</v>
      </c>
      <c r="CO23">
        <v>1</v>
      </c>
      <c r="CP23" s="99" t="s">
        <v>386</v>
      </c>
      <c r="CQ23" s="80" t="s">
        <v>370</v>
      </c>
      <c r="CS23">
        <v>1</v>
      </c>
      <c r="CU23">
        <v>1</v>
      </c>
      <c r="CV23">
        <v>1</v>
      </c>
      <c r="CX23">
        <v>1</v>
      </c>
      <c r="CY23" s="99" t="s">
        <v>370</v>
      </c>
      <c r="CZ23" s="80" t="s">
        <v>370</v>
      </c>
      <c r="DB23">
        <v>1</v>
      </c>
      <c r="DE23">
        <v>1</v>
      </c>
      <c r="DH23" s="99" t="s">
        <v>370</v>
      </c>
      <c r="DI23" s="80" t="s">
        <v>372</v>
      </c>
      <c r="DP23" s="7"/>
      <c r="DW23" s="7"/>
      <c r="ED23" s="7"/>
      <c r="EK23" s="7"/>
      <c r="ER23" s="7"/>
      <c r="EY23" s="7"/>
      <c r="FF23" s="7"/>
      <c r="FM23" s="7"/>
      <c r="FT23" s="7"/>
      <c r="GA23" s="7"/>
      <c r="GH23" s="7"/>
      <c r="GO23" s="7"/>
      <c r="GV23" s="7"/>
      <c r="HC23" s="7"/>
      <c r="HJ23" s="7"/>
      <c r="HQ23" s="7"/>
      <c r="HX23" s="7"/>
      <c r="IE23" s="7"/>
      <c r="IL23" s="7"/>
      <c r="IS23" s="7"/>
      <c r="IZ23" s="7"/>
      <c r="JG23" s="7"/>
      <c r="JN23" s="7"/>
      <c r="JU23" s="7"/>
      <c r="KB23" s="7"/>
      <c r="KI23" s="7"/>
      <c r="KP23" s="7"/>
      <c r="KW23" s="7"/>
      <c r="LD23" s="7"/>
      <c r="LK23" s="7"/>
      <c r="LR23" s="7"/>
      <c r="LY23" s="7"/>
      <c r="MF23" s="7"/>
    </row>
    <row r="24" spans="1:344" x14ac:dyDescent="0.25">
      <c r="A24" s="8" t="s">
        <v>182</v>
      </c>
      <c r="B24" s="8" t="s">
        <v>183</v>
      </c>
      <c r="C24" s="8" t="s">
        <v>184</v>
      </c>
      <c r="D24" s="8" t="s">
        <v>81</v>
      </c>
      <c r="E24" s="18">
        <v>38054</v>
      </c>
      <c r="F24" s="10">
        <f t="shared" si="320"/>
        <v>1</v>
      </c>
      <c r="G24" s="19">
        <f t="shared" si="320"/>
        <v>1</v>
      </c>
      <c r="H24" s="19" t="str">
        <f t="shared" si="320"/>
        <v/>
      </c>
      <c r="I24" s="19" t="str">
        <f t="shared" si="320"/>
        <v/>
      </c>
      <c r="J24" s="19" t="str">
        <f t="shared" si="320"/>
        <v/>
      </c>
      <c r="K24" s="19" t="str">
        <f t="shared" si="320"/>
        <v/>
      </c>
      <c r="L24" s="19" t="str">
        <f t="shared" si="320"/>
        <v/>
      </c>
      <c r="M24" s="8"/>
      <c r="N24" s="8">
        <v>1</v>
      </c>
      <c r="O24" s="9">
        <v>1</v>
      </c>
      <c r="P24" s="8">
        <f t="shared" si="318"/>
        <v>29</v>
      </c>
      <c r="Q24" s="109">
        <f t="shared" si="321"/>
        <v>82.857142857142861</v>
      </c>
      <c r="R24" s="133" t="str">
        <f t="shared" si="322"/>
        <v>-13</v>
      </c>
      <c r="S24" s="7">
        <v>1</v>
      </c>
      <c r="U24">
        <v>1</v>
      </c>
      <c r="V24">
        <v>1</v>
      </c>
      <c r="Z24" s="7"/>
      <c r="AB24">
        <v>1</v>
      </c>
      <c r="AE24">
        <v>1</v>
      </c>
      <c r="AG24" s="7"/>
      <c r="AI24">
        <v>1</v>
      </c>
      <c r="AK24">
        <v>1</v>
      </c>
      <c r="AL24">
        <v>1</v>
      </c>
      <c r="AN24" s="7"/>
      <c r="AP24">
        <v>1</v>
      </c>
      <c r="AR24">
        <v>1</v>
      </c>
      <c r="AU24" s="7"/>
      <c r="AY24">
        <v>1</v>
      </c>
      <c r="AZ24">
        <v>1</v>
      </c>
      <c r="BB24" s="7"/>
      <c r="BD24">
        <v>1</v>
      </c>
      <c r="BF24">
        <v>1</v>
      </c>
      <c r="BG24">
        <v>1</v>
      </c>
      <c r="BI24" s="7"/>
      <c r="BK24">
        <v>1</v>
      </c>
      <c r="BM24">
        <v>1</v>
      </c>
      <c r="BP24" s="7">
        <v>1</v>
      </c>
      <c r="BR24">
        <v>1</v>
      </c>
      <c r="BT24">
        <v>1</v>
      </c>
      <c r="BX24" s="95" t="s">
        <v>400</v>
      </c>
      <c r="BY24" s="80" t="s">
        <v>373</v>
      </c>
      <c r="CF24">
        <v>1</v>
      </c>
      <c r="CG24" s="95" t="s">
        <v>392</v>
      </c>
      <c r="CH24" s="80" t="s">
        <v>401</v>
      </c>
      <c r="CL24">
        <v>1</v>
      </c>
      <c r="CO24">
        <v>1</v>
      </c>
      <c r="CP24" s="99" t="s">
        <v>370</v>
      </c>
      <c r="CQ24" s="80" t="s">
        <v>371</v>
      </c>
      <c r="CS24">
        <v>1</v>
      </c>
      <c r="CU24">
        <v>1</v>
      </c>
      <c r="CV24">
        <v>1</v>
      </c>
      <c r="CX24">
        <v>1</v>
      </c>
      <c r="CY24" s="99" t="s">
        <v>370</v>
      </c>
      <c r="CZ24" s="80" t="s">
        <v>370</v>
      </c>
      <c r="DB24">
        <v>1</v>
      </c>
      <c r="DE24">
        <v>1</v>
      </c>
      <c r="DH24" s="99" t="s">
        <v>370</v>
      </c>
      <c r="DI24" s="80" t="s">
        <v>372</v>
      </c>
      <c r="DP24" s="7"/>
      <c r="DR24" t="s">
        <v>421</v>
      </c>
      <c r="DW24" s="7"/>
      <c r="ED24" s="7"/>
      <c r="EK24" s="7"/>
      <c r="ER24" s="7"/>
      <c r="EY24" s="7"/>
      <c r="FF24" s="7"/>
      <c r="FM24" s="7"/>
      <c r="FT24" s="7"/>
      <c r="GA24" s="7"/>
      <c r="GH24" s="7"/>
      <c r="GO24" s="7"/>
      <c r="GV24" s="7"/>
      <c r="HC24" s="7"/>
      <c r="HJ24" s="7"/>
      <c r="HQ24" s="7"/>
      <c r="HX24" s="7"/>
      <c r="IE24" s="7"/>
      <c r="IL24" s="7"/>
      <c r="IS24" s="7"/>
      <c r="IZ24" s="7"/>
      <c r="JG24" s="7"/>
      <c r="JN24" s="7"/>
      <c r="JU24" s="7"/>
      <c r="KB24" s="7"/>
      <c r="KI24" s="7"/>
      <c r="KP24" s="7"/>
      <c r="KW24" s="7"/>
      <c r="LD24" s="7"/>
      <c r="LK24" s="7"/>
      <c r="LR24" s="7"/>
      <c r="LY24" s="7"/>
      <c r="MF24" s="7"/>
    </row>
    <row r="25" spans="1:344" hidden="1" x14ac:dyDescent="0.25">
      <c r="A25" s="8" t="s">
        <v>129</v>
      </c>
      <c r="B25" s="8"/>
      <c r="C25" s="8" t="s">
        <v>165</v>
      </c>
      <c r="D25" s="8" t="s">
        <v>166</v>
      </c>
      <c r="E25" s="18">
        <v>36892</v>
      </c>
      <c r="F25" s="10" t="str">
        <f t="shared" si="320"/>
        <v/>
      </c>
      <c r="G25" s="19" t="str">
        <f t="shared" si="320"/>
        <v/>
      </c>
      <c r="H25" s="19" t="str">
        <f t="shared" si="320"/>
        <v/>
      </c>
      <c r="I25" s="19" t="str">
        <f t="shared" si="320"/>
        <v/>
      </c>
      <c r="J25" s="19" t="str">
        <f t="shared" si="320"/>
        <v/>
      </c>
      <c r="K25" s="19" t="str">
        <f t="shared" si="320"/>
        <v/>
      </c>
      <c r="L25" s="19" t="str">
        <f t="shared" si="320"/>
        <v/>
      </c>
      <c r="M25" s="8"/>
      <c r="N25" s="8"/>
      <c r="O25" s="9">
        <v>1</v>
      </c>
      <c r="P25" s="8" t="str">
        <f t="shared" si="318"/>
        <v/>
      </c>
      <c r="Q25" s="109" t="str">
        <f t="shared" si="321"/>
        <v/>
      </c>
      <c r="R25" s="133" t="str">
        <f t="shared" si="322"/>
        <v>?</v>
      </c>
      <c r="S25" s="7"/>
      <c r="Z25" s="7"/>
      <c r="AG25" s="7"/>
      <c r="AN25" s="7"/>
      <c r="AU25" s="7"/>
      <c r="BB25" s="7"/>
      <c r="BI25" s="7"/>
      <c r="BP25" s="7"/>
      <c r="BX25" s="95" t="s">
        <v>370</v>
      </c>
      <c r="BY25" s="79"/>
      <c r="CG25" s="95" t="s">
        <v>370</v>
      </c>
      <c r="CH25" s="80" t="s">
        <v>372</v>
      </c>
      <c r="CP25" s="99" t="s">
        <v>370</v>
      </c>
      <c r="CQ25" s="80" t="s">
        <v>372</v>
      </c>
      <c r="CY25" s="99" t="s">
        <v>370</v>
      </c>
      <c r="CZ25" s="80" t="s">
        <v>372</v>
      </c>
      <c r="DH25" s="99" t="s">
        <v>370</v>
      </c>
      <c r="DI25" s="80" t="s">
        <v>372</v>
      </c>
      <c r="DP25" s="7"/>
      <c r="DW25" s="7"/>
      <c r="ED25" s="7"/>
      <c r="EK25" s="7"/>
      <c r="ER25" s="7"/>
      <c r="EY25" s="7"/>
      <c r="FF25" s="7"/>
      <c r="FM25" s="7"/>
      <c r="FT25" s="7"/>
      <c r="GA25" s="7"/>
      <c r="GH25" s="7"/>
      <c r="GO25" s="7"/>
      <c r="GV25" s="7"/>
      <c r="HC25" s="7"/>
      <c r="HJ25" s="7"/>
      <c r="HQ25" s="7"/>
      <c r="HX25" s="7"/>
      <c r="IE25" s="7"/>
      <c r="IL25" s="7"/>
      <c r="IS25" s="7"/>
      <c r="IZ25" s="7"/>
      <c r="JG25" s="7"/>
      <c r="JN25" s="7"/>
      <c r="JU25" s="7"/>
      <c r="KB25" s="7"/>
      <c r="KI25" s="7"/>
      <c r="KP25" s="7"/>
      <c r="KW25" s="7"/>
      <c r="LD25" s="7"/>
      <c r="LK25" s="7"/>
      <c r="LR25" s="7"/>
      <c r="LY25" s="7"/>
      <c r="MF25" s="7"/>
    </row>
    <row r="26" spans="1:344" x14ac:dyDescent="0.25">
      <c r="A26" s="88" t="s">
        <v>132</v>
      </c>
      <c r="B26" s="88"/>
      <c r="C26" s="88" t="s">
        <v>131</v>
      </c>
      <c r="D26" s="88" t="s">
        <v>130</v>
      </c>
      <c r="E26" s="89">
        <v>39280</v>
      </c>
      <c r="F26" s="90">
        <f t="shared" si="320"/>
        <v>1</v>
      </c>
      <c r="G26" s="88">
        <f t="shared" si="320"/>
        <v>1</v>
      </c>
      <c r="H26" s="88">
        <f t="shared" si="320"/>
        <v>1</v>
      </c>
      <c r="I26" s="88">
        <f t="shared" si="320"/>
        <v>1</v>
      </c>
      <c r="J26" s="88" t="str">
        <f t="shared" si="320"/>
        <v/>
      </c>
      <c r="K26" s="88" t="str">
        <f t="shared" si="320"/>
        <v/>
      </c>
      <c r="L26" s="88" t="str">
        <f t="shared" si="320"/>
        <v/>
      </c>
      <c r="M26" s="88">
        <v>1</v>
      </c>
      <c r="N26" s="88">
        <v>1</v>
      </c>
      <c r="O26" s="91"/>
      <c r="P26" s="88">
        <f t="shared" si="318"/>
        <v>19</v>
      </c>
      <c r="Q26" s="110">
        <f t="shared" si="321"/>
        <v>54.285714285714285</v>
      </c>
      <c r="R26" s="134" t="str">
        <f t="shared" si="322"/>
        <v>-26</v>
      </c>
      <c r="S26" s="92"/>
      <c r="T26" s="93"/>
      <c r="U26" s="93">
        <v>1</v>
      </c>
      <c r="V26" s="93"/>
      <c r="W26" s="93"/>
      <c r="X26" s="93">
        <v>1</v>
      </c>
      <c r="Y26" s="93"/>
      <c r="Z26" s="92"/>
      <c r="AA26" s="93"/>
      <c r="AB26" s="93">
        <v>1</v>
      </c>
      <c r="AC26" s="93"/>
      <c r="AD26" s="93">
        <v>1</v>
      </c>
      <c r="AE26" s="93">
        <v>1</v>
      </c>
      <c r="AF26" s="93"/>
      <c r="AG26" s="92"/>
      <c r="AH26" s="93"/>
      <c r="AI26" s="93">
        <v>1</v>
      </c>
      <c r="AJ26" s="93"/>
      <c r="AK26" s="93">
        <v>1</v>
      </c>
      <c r="AL26" s="93"/>
      <c r="AM26" s="93"/>
      <c r="AN26" s="92"/>
      <c r="AO26" s="93"/>
      <c r="AP26" s="93">
        <v>1</v>
      </c>
      <c r="AQ26" s="93"/>
      <c r="AR26" s="93">
        <v>1</v>
      </c>
      <c r="AS26" s="93">
        <v>1</v>
      </c>
      <c r="AT26" s="93"/>
      <c r="AU26" s="92"/>
      <c r="AV26" s="93"/>
      <c r="AW26" s="93">
        <v>1</v>
      </c>
      <c r="AX26" s="93"/>
      <c r="AY26" s="93">
        <v>1</v>
      </c>
      <c r="AZ26" s="93"/>
      <c r="BA26" s="93"/>
      <c r="BB26" s="92"/>
      <c r="BC26" s="93"/>
      <c r="BD26" s="93">
        <v>1</v>
      </c>
      <c r="BE26" s="93"/>
      <c r="BF26" s="93">
        <v>1</v>
      </c>
      <c r="BG26" s="93"/>
      <c r="BH26" s="93"/>
      <c r="BI26" s="92"/>
      <c r="BJ26" s="93"/>
      <c r="BK26" s="93">
        <v>1</v>
      </c>
      <c r="BL26" s="93"/>
      <c r="BM26" s="93">
        <v>1</v>
      </c>
      <c r="BN26" s="93"/>
      <c r="BO26" s="93"/>
      <c r="BP26" s="92"/>
      <c r="BQ26" s="93"/>
      <c r="BR26" s="93">
        <v>1</v>
      </c>
      <c r="BS26" s="93"/>
      <c r="BT26" s="93"/>
      <c r="BU26" s="93"/>
      <c r="BV26" s="93"/>
      <c r="BW26" s="93"/>
      <c r="BX26" s="97" t="s">
        <v>370</v>
      </c>
      <c r="BY26" s="94" t="s">
        <v>374</v>
      </c>
      <c r="BZ26" s="93"/>
      <c r="CA26" s="93"/>
      <c r="CB26" s="93"/>
      <c r="CC26" s="93"/>
      <c r="CD26" s="93"/>
      <c r="CE26" s="93"/>
      <c r="CF26" s="93"/>
      <c r="CG26" s="97" t="s">
        <v>370</v>
      </c>
      <c r="CH26" s="94" t="s">
        <v>374</v>
      </c>
      <c r="CI26" s="93"/>
      <c r="CJ26" s="93"/>
      <c r="CK26" s="93"/>
      <c r="CL26" s="93"/>
      <c r="CM26" s="93"/>
      <c r="CN26" s="93"/>
      <c r="CO26" s="93"/>
      <c r="CP26" s="97" t="s">
        <v>370</v>
      </c>
      <c r="CQ26" s="94" t="s">
        <v>374</v>
      </c>
      <c r="CR26" s="93"/>
      <c r="CS26" s="93">
        <v>1</v>
      </c>
      <c r="CT26" s="93"/>
      <c r="CU26" s="93"/>
      <c r="CV26" s="93">
        <v>1</v>
      </c>
      <c r="CW26" s="93"/>
      <c r="CX26" s="93"/>
      <c r="CY26" s="97" t="s">
        <v>370</v>
      </c>
      <c r="CZ26" s="94" t="s">
        <v>368</v>
      </c>
      <c r="DA26" s="93"/>
      <c r="DB26" s="93"/>
      <c r="DC26" s="93"/>
      <c r="DD26" s="93"/>
      <c r="DE26" s="93"/>
      <c r="DF26" s="93"/>
      <c r="DG26" s="93"/>
      <c r="DH26" s="97" t="s">
        <v>370</v>
      </c>
      <c r="DI26" s="94" t="s">
        <v>372</v>
      </c>
      <c r="DJ26" s="93"/>
      <c r="DK26" s="93"/>
      <c r="DL26" s="93"/>
      <c r="DM26" s="93"/>
      <c r="DN26" s="93"/>
      <c r="DO26" s="93"/>
      <c r="DP26" s="92"/>
      <c r="DQ26" s="93"/>
      <c r="DR26" s="93"/>
      <c r="DS26" s="93"/>
      <c r="DT26" s="93"/>
      <c r="DU26" s="93"/>
      <c r="DV26" s="93"/>
      <c r="DW26" s="92"/>
      <c r="DX26" s="93"/>
      <c r="DY26" s="93"/>
      <c r="DZ26" s="93"/>
      <c r="EA26" s="93"/>
      <c r="EB26" s="93"/>
      <c r="EC26" s="93"/>
      <c r="ED26" s="92"/>
      <c r="EE26" s="93"/>
      <c r="EF26" s="93"/>
      <c r="EG26" s="93"/>
      <c r="EH26" s="93"/>
      <c r="EI26" s="93"/>
      <c r="EJ26" s="93"/>
      <c r="EK26" s="92"/>
      <c r="EL26" s="93"/>
      <c r="EM26" s="93"/>
      <c r="EN26" s="93"/>
      <c r="EO26" s="93"/>
      <c r="EP26" s="93"/>
      <c r="EQ26" s="93"/>
      <c r="ER26" s="92"/>
      <c r="ES26" s="93"/>
      <c r="ET26" s="93"/>
      <c r="EU26" s="93"/>
      <c r="EV26" s="93"/>
      <c r="EW26" s="93"/>
      <c r="EX26" s="93"/>
      <c r="EY26" s="92"/>
      <c r="EZ26" s="93"/>
      <c r="FA26" s="93"/>
      <c r="FB26" s="93"/>
      <c r="FC26" s="93"/>
      <c r="FD26" s="93"/>
      <c r="FE26" s="93"/>
      <c r="FF26" s="92"/>
      <c r="FG26" s="93"/>
      <c r="FH26" s="93"/>
      <c r="FI26" s="93"/>
      <c r="FJ26" s="93"/>
      <c r="FK26" s="93"/>
      <c r="FL26" s="93"/>
      <c r="FM26" s="92"/>
      <c r="FN26" s="93"/>
      <c r="FO26" s="93"/>
      <c r="FP26" s="93"/>
      <c r="FQ26" s="93"/>
      <c r="FR26" s="93"/>
      <c r="FS26" s="93"/>
      <c r="FT26" s="92"/>
      <c r="FU26" s="93"/>
      <c r="FV26" s="93"/>
      <c r="FW26" s="93"/>
      <c r="FX26" s="93"/>
      <c r="FY26" s="93"/>
      <c r="FZ26" s="93"/>
      <c r="GA26" s="92"/>
      <c r="GB26" s="93"/>
      <c r="GC26" s="93"/>
      <c r="GD26" s="93"/>
      <c r="GE26" s="93"/>
      <c r="GF26" s="93"/>
      <c r="GG26" s="93"/>
      <c r="GH26" s="92"/>
      <c r="GI26" s="93"/>
      <c r="GJ26" s="93"/>
      <c r="GK26" s="93"/>
      <c r="GL26" s="93"/>
      <c r="GM26" s="93"/>
      <c r="GN26" s="93"/>
      <c r="GO26" s="92"/>
      <c r="GP26" s="93"/>
      <c r="GQ26" s="93"/>
      <c r="GR26" s="93"/>
      <c r="GS26" s="93"/>
      <c r="GT26" s="93"/>
      <c r="GU26" s="93"/>
      <c r="GV26" s="92"/>
      <c r="GW26" s="93"/>
      <c r="GX26" s="93"/>
      <c r="GY26" s="93"/>
      <c r="GZ26" s="93"/>
      <c r="HA26" s="93"/>
      <c r="HB26" s="93"/>
      <c r="HC26" s="92"/>
      <c r="HD26" s="93"/>
      <c r="HE26" s="93"/>
      <c r="HF26" s="93"/>
      <c r="HG26" s="93"/>
      <c r="HH26" s="93"/>
      <c r="HI26" s="93"/>
      <c r="HJ26" s="92"/>
      <c r="HK26" s="93"/>
      <c r="HL26" s="93"/>
      <c r="HM26" s="93"/>
      <c r="HN26" s="93"/>
      <c r="HO26" s="93"/>
      <c r="HP26" s="93"/>
      <c r="HQ26" s="92"/>
      <c r="HR26" s="93"/>
      <c r="HS26" s="93"/>
      <c r="HT26" s="93"/>
      <c r="HU26" s="93"/>
      <c r="HV26" s="93"/>
      <c r="HW26" s="93"/>
      <c r="HX26" s="92"/>
      <c r="HY26" s="93"/>
      <c r="HZ26" s="93"/>
      <c r="IA26" s="93"/>
      <c r="IB26" s="93"/>
      <c r="IC26" s="93"/>
      <c r="ID26" s="93"/>
      <c r="IE26" s="92"/>
      <c r="IF26" s="93"/>
      <c r="IG26" s="93"/>
      <c r="IH26" s="93"/>
      <c r="II26" s="93"/>
      <c r="IJ26" s="93"/>
      <c r="IK26" s="93"/>
      <c r="IL26" s="92"/>
      <c r="IM26" s="93"/>
      <c r="IN26" s="93"/>
      <c r="IO26" s="93"/>
      <c r="IP26" s="93"/>
      <c r="IQ26" s="93"/>
      <c r="IR26" s="93"/>
      <c r="IS26" s="92"/>
      <c r="IT26" s="93"/>
      <c r="IU26" s="93"/>
      <c r="IV26" s="93"/>
      <c r="IW26" s="93"/>
      <c r="IX26" s="93"/>
      <c r="IY26" s="93"/>
      <c r="IZ26" s="92"/>
      <c r="JA26" s="93"/>
      <c r="JB26" s="93"/>
      <c r="JC26" s="93"/>
      <c r="JD26" s="93"/>
      <c r="JE26" s="93"/>
      <c r="JF26" s="93"/>
      <c r="JG26" s="92"/>
      <c r="JH26" s="93"/>
      <c r="JI26" s="93"/>
      <c r="JJ26" s="93"/>
      <c r="JK26" s="93"/>
      <c r="JL26" s="93"/>
      <c r="JM26" s="93"/>
      <c r="JN26" s="92"/>
      <c r="JO26" s="93"/>
      <c r="JP26" s="93"/>
      <c r="JQ26" s="93"/>
      <c r="JR26" s="93"/>
      <c r="JS26" s="93"/>
      <c r="JT26" s="93"/>
      <c r="JU26" s="92"/>
      <c r="JV26" s="93"/>
      <c r="JW26" s="93"/>
      <c r="JX26" s="93"/>
      <c r="JY26" s="93"/>
      <c r="JZ26" s="93"/>
      <c r="KA26" s="93"/>
      <c r="KB26" s="92"/>
      <c r="KC26" s="93"/>
      <c r="KD26" s="93"/>
      <c r="KE26" s="93"/>
      <c r="KF26" s="93"/>
      <c r="KG26" s="93"/>
      <c r="KH26" s="93"/>
      <c r="KI26" s="92"/>
      <c r="KJ26" s="93"/>
      <c r="KK26" s="93"/>
      <c r="KL26" s="93"/>
      <c r="KM26" s="93"/>
      <c r="KN26" s="93"/>
      <c r="KO26" s="93"/>
      <c r="KP26" s="92"/>
      <c r="KQ26" s="93"/>
      <c r="KR26" s="93"/>
      <c r="KS26" s="93"/>
      <c r="KT26" s="93"/>
      <c r="KU26" s="93"/>
      <c r="KV26" s="93"/>
      <c r="KW26" s="92"/>
      <c r="KX26" s="93"/>
      <c r="KY26" s="93"/>
      <c r="KZ26" s="93"/>
      <c r="LA26" s="93"/>
      <c r="LB26" s="93"/>
      <c r="LC26" s="93"/>
      <c r="LD26" s="92"/>
      <c r="LE26" s="93"/>
      <c r="LF26" s="93"/>
      <c r="LG26" s="93"/>
      <c r="LH26" s="93"/>
      <c r="LI26" s="93"/>
      <c r="LJ26" s="93"/>
      <c r="LK26" s="92"/>
      <c r="LL26" s="93"/>
      <c r="LM26" s="93"/>
      <c r="LN26" s="93"/>
      <c r="LO26" s="93"/>
      <c r="LP26" s="93"/>
      <c r="LQ26" s="93"/>
      <c r="LR26" s="92"/>
      <c r="LS26" s="93"/>
      <c r="LT26" s="93"/>
      <c r="LU26" s="93"/>
      <c r="LV26" s="93"/>
      <c r="LW26" s="93"/>
      <c r="LX26" s="93"/>
      <c r="LY26" s="92"/>
      <c r="LZ26" s="93"/>
      <c r="MA26" s="93"/>
      <c r="MB26" s="93"/>
      <c r="MC26" s="93"/>
      <c r="MD26" s="93"/>
      <c r="ME26" s="93"/>
      <c r="MF26" s="92"/>
    </row>
    <row r="27" spans="1:344" hidden="1" x14ac:dyDescent="0.25">
      <c r="A27" s="19" t="s">
        <v>92</v>
      </c>
      <c r="B27" s="19"/>
      <c r="C27" s="19" t="s">
        <v>159</v>
      </c>
      <c r="D27" s="19" t="s">
        <v>121</v>
      </c>
      <c r="E27" s="56">
        <v>38544</v>
      </c>
      <c r="F27" s="10">
        <f t="shared" si="320"/>
        <v>1</v>
      </c>
      <c r="G27" s="19">
        <f t="shared" si="320"/>
        <v>1</v>
      </c>
      <c r="H27" s="19" t="str">
        <f t="shared" si="320"/>
        <v/>
      </c>
      <c r="I27" s="19" t="str">
        <f t="shared" si="320"/>
        <v/>
      </c>
      <c r="J27" s="19" t="str">
        <f t="shared" si="320"/>
        <v/>
      </c>
      <c r="K27" s="19" t="str">
        <f t="shared" si="320"/>
        <v/>
      </c>
      <c r="L27" s="19" t="str">
        <f t="shared" si="320"/>
        <v/>
      </c>
      <c r="M27" s="8"/>
      <c r="N27" s="8">
        <v>1</v>
      </c>
      <c r="O27" s="9"/>
      <c r="P27" s="8" t="str">
        <f t="shared" si="318"/>
        <v/>
      </c>
      <c r="Q27" s="84" t="str">
        <f>IF(SUM(R27:XFD27) &gt; 0, SUM(R27:XFD27) / $P$83 * 100, "")</f>
        <v/>
      </c>
      <c r="R27" s="133" t="str">
        <f t="shared" si="322"/>
        <v>?</v>
      </c>
      <c r="S27" s="7"/>
      <c r="Z27" s="7"/>
      <c r="AG27" s="7"/>
      <c r="AN27" s="7"/>
      <c r="AU27" s="7"/>
      <c r="BB27" s="7"/>
      <c r="BI27" s="7"/>
      <c r="BP27" s="7"/>
      <c r="BX27" s="96"/>
      <c r="BY27" s="79"/>
      <c r="CG27" s="96"/>
      <c r="CH27" s="80"/>
      <c r="CQ27" s="7"/>
      <c r="CZ27" s="7"/>
      <c r="DI27" s="7"/>
      <c r="DP27" s="7"/>
      <c r="DW27" s="7"/>
      <c r="ED27" s="7"/>
      <c r="EK27" s="7"/>
      <c r="ER27" s="7"/>
      <c r="EY27" s="7"/>
      <c r="FF27" s="7"/>
      <c r="FM27" s="7"/>
      <c r="FT27" s="7"/>
      <c r="GA27" s="7"/>
      <c r="GH27" s="7"/>
      <c r="GO27" s="7"/>
      <c r="GV27" s="7"/>
      <c r="HC27" s="7"/>
      <c r="HJ27" s="7"/>
      <c r="HQ27" s="7"/>
      <c r="HX27" s="7"/>
      <c r="IE27" s="7"/>
      <c r="IL27" s="7"/>
      <c r="IS27" s="7"/>
      <c r="IZ27" s="7"/>
      <c r="JG27" s="7"/>
      <c r="JN27" s="7"/>
      <c r="JU27" s="7"/>
      <c r="KB27" s="7"/>
      <c r="KI27" s="7"/>
      <c r="KP27" s="7"/>
      <c r="KW27" s="7"/>
      <c r="LD27" s="7"/>
      <c r="LK27" s="7"/>
      <c r="LR27" s="7"/>
      <c r="LY27" s="7"/>
      <c r="MF27" s="7"/>
    </row>
    <row r="28" spans="1:344" x14ac:dyDescent="0.25">
      <c r="A28" s="8" t="s">
        <v>115</v>
      </c>
      <c r="B28" s="8"/>
      <c r="C28" s="8" t="s">
        <v>244</v>
      </c>
      <c r="D28" s="8" t="s">
        <v>245</v>
      </c>
      <c r="E28" s="18">
        <v>36526</v>
      </c>
      <c r="F28" s="10" t="str">
        <f t="shared" si="320"/>
        <v/>
      </c>
      <c r="G28" s="19" t="str">
        <f t="shared" ref="G28:L29" si="323">IF($E28 &gt;= G$5, 1, "")</f>
        <v/>
      </c>
      <c r="H28" s="19" t="str">
        <f t="shared" si="323"/>
        <v/>
      </c>
      <c r="I28" s="19" t="str">
        <f t="shared" si="323"/>
        <v/>
      </c>
      <c r="J28" s="19" t="str">
        <f t="shared" si="323"/>
        <v/>
      </c>
      <c r="K28" s="19" t="str">
        <f t="shared" si="323"/>
        <v/>
      </c>
      <c r="L28" s="19" t="str">
        <f t="shared" si="323"/>
        <v/>
      </c>
      <c r="M28" s="8"/>
      <c r="N28" s="8"/>
      <c r="O28" s="9"/>
      <c r="P28" s="8">
        <f t="shared" si="318"/>
        <v>13</v>
      </c>
      <c r="Q28" s="109">
        <f>IF(SUM(S28:XFD28) &gt; 0, SUM(S28:XFD28) / $P$33 * 100, "")</f>
        <v>37.142857142857146</v>
      </c>
      <c r="R28" s="133" t="str">
        <f t="shared" si="322"/>
        <v>?</v>
      </c>
      <c r="S28" s="7"/>
      <c r="Z28" s="7"/>
      <c r="AG28" s="7"/>
      <c r="AI28">
        <v>1</v>
      </c>
      <c r="AK28">
        <v>1</v>
      </c>
      <c r="AN28" s="7"/>
      <c r="AP28">
        <v>1</v>
      </c>
      <c r="AR28">
        <v>1</v>
      </c>
      <c r="AS28">
        <v>1</v>
      </c>
      <c r="AU28" s="7"/>
      <c r="AY28">
        <v>1</v>
      </c>
      <c r="AZ28">
        <v>1</v>
      </c>
      <c r="BB28" s="7"/>
      <c r="BD28">
        <v>1</v>
      </c>
      <c r="BF28">
        <v>1</v>
      </c>
      <c r="BG28">
        <v>1</v>
      </c>
      <c r="BI28" s="7"/>
      <c r="BK28">
        <v>1</v>
      </c>
      <c r="BP28" s="7"/>
      <c r="BR28">
        <v>1</v>
      </c>
      <c r="BT28">
        <v>1</v>
      </c>
      <c r="BX28" s="96"/>
      <c r="BY28" s="79"/>
      <c r="CG28" s="96"/>
      <c r="CH28" s="80"/>
      <c r="CQ28" s="7"/>
      <c r="CZ28" s="7"/>
      <c r="DI28" s="7"/>
      <c r="DP28" s="7"/>
      <c r="DW28" s="7"/>
      <c r="ED28" s="7"/>
      <c r="EK28" s="7"/>
      <c r="ER28" s="7"/>
      <c r="EY28" s="7"/>
      <c r="FF28" s="7"/>
      <c r="FM28" s="7"/>
      <c r="FT28" s="7"/>
      <c r="GA28" s="7"/>
      <c r="GH28" s="7"/>
      <c r="GO28" s="7"/>
      <c r="GV28" s="7"/>
      <c r="HC28" s="7"/>
      <c r="HJ28" s="7"/>
      <c r="HQ28" s="7"/>
      <c r="HX28" s="7"/>
      <c r="IE28" s="7"/>
      <c r="IL28" s="7"/>
      <c r="IS28" s="7"/>
      <c r="IZ28" s="7"/>
      <c r="JG28" s="7"/>
      <c r="JN28" s="7"/>
      <c r="JU28" s="7"/>
      <c r="KB28" s="7"/>
      <c r="KI28" s="7"/>
      <c r="KP28" s="7"/>
      <c r="KW28" s="7"/>
      <c r="LD28" s="7"/>
      <c r="LK28" s="7"/>
      <c r="LR28" s="7"/>
      <c r="LY28" s="7"/>
      <c r="MF28" s="7"/>
    </row>
    <row r="29" spans="1:344" x14ac:dyDescent="0.25">
      <c r="A29" s="8" t="s">
        <v>395</v>
      </c>
      <c r="B29" s="8"/>
      <c r="C29" s="8" t="s">
        <v>239</v>
      </c>
      <c r="D29" s="8" t="s">
        <v>164</v>
      </c>
      <c r="E29" s="18">
        <v>36526</v>
      </c>
      <c r="F29" s="10" t="str">
        <f t="shared" si="320"/>
        <v/>
      </c>
      <c r="G29" s="19" t="str">
        <f t="shared" si="323"/>
        <v/>
      </c>
      <c r="H29" s="19" t="str">
        <f t="shared" si="323"/>
        <v/>
      </c>
      <c r="I29" s="19" t="str">
        <f t="shared" si="323"/>
        <v/>
      </c>
      <c r="J29" s="19" t="str">
        <f t="shared" si="323"/>
        <v/>
      </c>
      <c r="K29" s="19" t="str">
        <f t="shared" si="323"/>
        <v/>
      </c>
      <c r="L29" s="19" t="str">
        <f t="shared" si="323"/>
        <v/>
      </c>
      <c r="M29" s="8"/>
      <c r="N29" s="8"/>
      <c r="O29" s="9"/>
      <c r="P29" s="8">
        <f t="shared" si="318"/>
        <v>3</v>
      </c>
      <c r="Q29" s="109">
        <f>IF(SUM(S29:XFD29) &gt; 0, SUM(S29:XFD29) / $P$33 * 100, "")</f>
        <v>8.5714285714285712</v>
      </c>
      <c r="R29" s="133" t="str">
        <f t="shared" si="322"/>
        <v>?</v>
      </c>
      <c r="S29" s="7"/>
      <c r="Z29" s="7"/>
      <c r="AG29" s="7"/>
      <c r="AN29" s="7"/>
      <c r="AU29" s="7"/>
      <c r="BB29" s="7"/>
      <c r="BI29" s="7"/>
      <c r="BP29" s="7"/>
      <c r="BX29" s="96"/>
      <c r="BY29" s="79"/>
      <c r="CG29" s="96"/>
      <c r="CH29" s="80"/>
      <c r="CL29">
        <v>1</v>
      </c>
      <c r="CQ29" s="7"/>
      <c r="CS29">
        <v>1</v>
      </c>
      <c r="CV29">
        <v>1</v>
      </c>
      <c r="CZ29" s="7"/>
      <c r="DI29" s="7"/>
      <c r="DP29" s="7"/>
      <c r="DW29" s="7"/>
      <c r="ED29" s="7"/>
      <c r="EK29" s="7"/>
      <c r="ER29" s="7"/>
      <c r="EY29" s="7"/>
      <c r="FF29" s="7"/>
      <c r="FM29" s="7"/>
      <c r="FT29" s="7"/>
      <c r="GA29" s="7"/>
      <c r="GH29" s="7"/>
      <c r="GO29" s="7"/>
      <c r="GV29" s="7"/>
      <c r="HC29" s="7"/>
      <c r="HJ29" s="7"/>
      <c r="HQ29" s="7"/>
      <c r="HX29" s="7"/>
      <c r="IE29" s="7"/>
      <c r="IL29" s="7"/>
      <c r="IS29" s="7"/>
      <c r="IZ29" s="7"/>
      <c r="JG29" s="7"/>
      <c r="JN29" s="7"/>
      <c r="JU29" s="7"/>
      <c r="KB29" s="7"/>
      <c r="KI29" s="7"/>
      <c r="KP29" s="7"/>
      <c r="KW29" s="7"/>
      <c r="LD29" s="7"/>
      <c r="LK29" s="7"/>
      <c r="LR29" s="7"/>
      <c r="LY29" s="7"/>
      <c r="MF29" s="7"/>
    </row>
    <row r="30" spans="1:344" hidden="1" x14ac:dyDescent="0.25">
      <c r="A30" s="8" t="s">
        <v>351</v>
      </c>
      <c r="B30" s="8"/>
      <c r="C30" s="8"/>
      <c r="D30" s="8"/>
      <c r="E30" s="18"/>
      <c r="F30" s="10"/>
      <c r="G30" s="19"/>
      <c r="H30" s="19"/>
      <c r="I30" s="19"/>
      <c r="J30" s="19"/>
      <c r="K30" s="19"/>
      <c r="L30" s="19"/>
      <c r="M30" s="8"/>
      <c r="N30" s="8"/>
      <c r="O30" s="9"/>
      <c r="P30" s="8">
        <f t="shared" si="318"/>
        <v>2</v>
      </c>
      <c r="Q30" s="109">
        <f>IF(SUM(R30:XFD30) &gt; 0, SUM(R30:XFD30) / $P$83 * 100, "")</f>
        <v>20.987654320987652</v>
      </c>
      <c r="R30" s="84">
        <f>IF(SUM(S30:XFD30) &gt; 0, SUM(S30:XFD30) / $P$83 * 100, "")</f>
        <v>5.5555555555555554</v>
      </c>
      <c r="S30" s="7"/>
      <c r="Z30" s="7"/>
      <c r="AG30" s="7"/>
      <c r="AN30" s="7"/>
      <c r="AU30" s="7"/>
      <c r="BB30" s="7"/>
      <c r="BI30" s="7"/>
      <c r="BM30">
        <v>1</v>
      </c>
      <c r="BP30" s="7"/>
      <c r="BT30">
        <v>1</v>
      </c>
      <c r="BX30" s="96"/>
      <c r="BY30" s="79"/>
      <c r="CG30" s="96"/>
      <c r="CH30" s="80"/>
      <c r="CQ30" s="7"/>
      <c r="CZ30" s="7"/>
      <c r="DI30" s="7"/>
      <c r="DP30" s="7"/>
      <c r="DW30" s="7"/>
      <c r="ED30" s="7"/>
      <c r="EK30" s="7"/>
      <c r="ER30" s="7"/>
      <c r="EY30" s="7"/>
      <c r="FF30" s="7"/>
      <c r="FM30" s="7"/>
      <c r="FT30" s="7"/>
      <c r="GA30" s="7"/>
      <c r="GH30" s="7"/>
      <c r="GO30" s="7"/>
      <c r="GV30" s="7"/>
      <c r="HC30" s="7"/>
      <c r="HJ30" s="7"/>
      <c r="HQ30" s="7"/>
      <c r="HX30" s="7"/>
      <c r="IE30" s="7"/>
      <c r="IL30" s="7"/>
      <c r="IS30" s="7"/>
      <c r="IZ30" s="7"/>
      <c r="JG30" s="7"/>
      <c r="JN30" s="7"/>
      <c r="JU30" s="7"/>
      <c r="KB30" s="7"/>
      <c r="KI30" s="7"/>
      <c r="KP30" s="7"/>
      <c r="KW30" s="7"/>
      <c r="LD30" s="7"/>
      <c r="LK30" s="7"/>
      <c r="LR30" s="7"/>
      <c r="LY30" s="7"/>
      <c r="MF30" s="7"/>
    </row>
    <row r="31" spans="1:344" ht="7.5" customHeight="1" thickBot="1" x14ac:dyDescent="0.3">
      <c r="A31" s="8"/>
      <c r="B31" s="8"/>
      <c r="C31" s="8"/>
      <c r="D31" s="8"/>
      <c r="E31" s="8"/>
      <c r="F31" s="10"/>
      <c r="G31" s="19"/>
      <c r="H31" s="19"/>
      <c r="I31" s="8"/>
      <c r="J31" s="8"/>
      <c r="K31" s="8"/>
      <c r="L31" s="8"/>
      <c r="M31" s="8"/>
      <c r="N31" s="8"/>
      <c r="O31" s="9"/>
      <c r="P31" s="8" t="str">
        <f>IF(SUM(R31:MF31) &gt; 0, SUM(R31:MF31), "")</f>
        <v/>
      </c>
      <c r="Q31" s="19" t="str">
        <f>IF(SUM(R31:XFD31) &gt; 0, SUM(R31:XFD31), "")</f>
        <v/>
      </c>
      <c r="R31" s="9"/>
      <c r="S31" s="7"/>
      <c r="Z31" s="7"/>
      <c r="AG31" s="7"/>
      <c r="AN31" s="7"/>
      <c r="AU31" s="7"/>
      <c r="BB31" s="7"/>
      <c r="BI31" s="7"/>
      <c r="BP31" s="7"/>
      <c r="BX31" s="96"/>
      <c r="BY31" s="79"/>
      <c r="CG31" s="96"/>
      <c r="CH31" s="7"/>
      <c r="CQ31" s="7"/>
      <c r="CZ31" s="7"/>
      <c r="DI31" s="7"/>
      <c r="DP31" s="7"/>
      <c r="DW31" s="7"/>
      <c r="ED31" s="7"/>
      <c r="EK31" s="7"/>
      <c r="ER31" s="7"/>
      <c r="EY31" s="7"/>
      <c r="FF31" s="7"/>
      <c r="FM31" s="7"/>
      <c r="FT31" s="7"/>
      <c r="GA31" s="7"/>
      <c r="GH31" s="7"/>
      <c r="GO31" s="7"/>
      <c r="GV31" s="7"/>
      <c r="HC31" s="7"/>
      <c r="HJ31" s="7"/>
      <c r="HQ31" s="7"/>
      <c r="HX31" s="7"/>
      <c r="IE31" s="7"/>
      <c r="IL31" s="7"/>
      <c r="IS31" s="7"/>
      <c r="IZ31" s="7"/>
      <c r="JG31" s="7"/>
      <c r="JN31" s="7"/>
      <c r="JU31" s="7"/>
      <c r="KB31" s="7"/>
      <c r="KI31" s="7"/>
      <c r="KP31" s="7"/>
      <c r="KW31" s="7"/>
      <c r="LD31" s="7"/>
      <c r="LK31" s="7"/>
      <c r="LR31" s="7"/>
      <c r="LY31" s="7"/>
      <c r="MF31" s="7"/>
    </row>
    <row r="32" spans="1:344" ht="15.75" thickBot="1" x14ac:dyDescent="0.3">
      <c r="A32" s="115" t="s">
        <v>25</v>
      </c>
      <c r="B32" s="16"/>
      <c r="C32" s="16"/>
      <c r="D32" s="16"/>
      <c r="E32" s="17"/>
      <c r="F32" s="16">
        <f t="shared" ref="F32:L32" si="324">SUM(F6:F31)</f>
        <v>13</v>
      </c>
      <c r="G32" s="16">
        <f t="shared" si="324"/>
        <v>8</v>
      </c>
      <c r="H32" s="16">
        <f t="shared" si="324"/>
        <v>3</v>
      </c>
      <c r="I32" s="16">
        <f t="shared" si="324"/>
        <v>2</v>
      </c>
      <c r="J32" s="16">
        <f t="shared" si="324"/>
        <v>0</v>
      </c>
      <c r="K32" s="16">
        <f t="shared" si="324"/>
        <v>0</v>
      </c>
      <c r="L32" s="16">
        <f t="shared" si="324"/>
        <v>0</v>
      </c>
      <c r="M32" s="16">
        <v>0</v>
      </c>
      <c r="N32" s="16">
        <f>SUM(N6:N31)</f>
        <v>15</v>
      </c>
      <c r="O32" s="17">
        <f>SUM(O6:O31)+ SUM(O40:O71)</f>
        <v>15</v>
      </c>
      <c r="P32" s="16">
        <f>VisibleSum(P6:P26)</f>
        <v>26.266666666666666</v>
      </c>
      <c r="Q32" s="16">
        <f>P32 / P33 * 100</f>
        <v>75.047619047619037</v>
      </c>
      <c r="R32" s="17">
        <f>VisibleSum(R6:R26)</f>
        <v>-10.6</v>
      </c>
      <c r="S32" s="15">
        <f t="shared" ref="S32:AX32" si="325">IF(SUM(S6:S31) &gt; 0, SUM(S6:S31), "")</f>
        <v>15</v>
      </c>
      <c r="T32" s="14" t="str">
        <f t="shared" si="325"/>
        <v/>
      </c>
      <c r="U32" s="14">
        <f t="shared" si="325"/>
        <v>12</v>
      </c>
      <c r="V32" s="14">
        <f t="shared" si="325"/>
        <v>13</v>
      </c>
      <c r="W32" s="14" t="str">
        <f t="shared" si="325"/>
        <v/>
      </c>
      <c r="X32" s="14">
        <f t="shared" si="325"/>
        <v>12</v>
      </c>
      <c r="Y32" s="14" t="str">
        <f t="shared" si="325"/>
        <v/>
      </c>
      <c r="Z32" s="15" t="str">
        <f t="shared" si="325"/>
        <v/>
      </c>
      <c r="AA32" s="14" t="str">
        <f t="shared" si="325"/>
        <v/>
      </c>
      <c r="AB32" s="14">
        <f t="shared" si="325"/>
        <v>15</v>
      </c>
      <c r="AC32" s="14" t="str">
        <f t="shared" si="325"/>
        <v/>
      </c>
      <c r="AD32" s="14">
        <f t="shared" si="325"/>
        <v>12</v>
      </c>
      <c r="AE32" s="14">
        <f t="shared" si="325"/>
        <v>15</v>
      </c>
      <c r="AF32" s="14" t="str">
        <f t="shared" si="325"/>
        <v/>
      </c>
      <c r="AG32" s="15" t="str">
        <f t="shared" si="325"/>
        <v/>
      </c>
      <c r="AH32" s="14" t="str">
        <f t="shared" si="325"/>
        <v/>
      </c>
      <c r="AI32" s="14">
        <f t="shared" si="325"/>
        <v>16</v>
      </c>
      <c r="AJ32" s="14" t="str">
        <f t="shared" si="325"/>
        <v/>
      </c>
      <c r="AK32" s="14">
        <f t="shared" si="325"/>
        <v>15</v>
      </c>
      <c r="AL32" s="14">
        <f t="shared" si="325"/>
        <v>10</v>
      </c>
      <c r="AM32" s="14" t="str">
        <f t="shared" si="325"/>
        <v/>
      </c>
      <c r="AN32" s="15" t="str">
        <f t="shared" si="325"/>
        <v/>
      </c>
      <c r="AO32" s="14" t="str">
        <f t="shared" si="325"/>
        <v/>
      </c>
      <c r="AP32" s="14">
        <f t="shared" si="325"/>
        <v>15</v>
      </c>
      <c r="AQ32" s="14" t="str">
        <f t="shared" si="325"/>
        <v/>
      </c>
      <c r="AR32" s="14">
        <f t="shared" si="325"/>
        <v>16</v>
      </c>
      <c r="AS32" s="14">
        <f t="shared" si="325"/>
        <v>11</v>
      </c>
      <c r="AT32" s="14" t="str">
        <f t="shared" si="325"/>
        <v/>
      </c>
      <c r="AU32" s="15" t="str">
        <f t="shared" si="325"/>
        <v/>
      </c>
      <c r="AV32" s="14" t="str">
        <f t="shared" si="325"/>
        <v/>
      </c>
      <c r="AW32" s="14">
        <f t="shared" si="325"/>
        <v>14</v>
      </c>
      <c r="AX32" s="14">
        <f t="shared" si="325"/>
        <v>2</v>
      </c>
      <c r="AY32" s="14">
        <f t="shared" ref="AY32:BW32" si="326">IF(SUM(AY6:AY31) &gt; 0, SUM(AY6:AY31), "")</f>
        <v>13</v>
      </c>
      <c r="AZ32" s="14">
        <f t="shared" si="326"/>
        <v>12</v>
      </c>
      <c r="BA32" s="14" t="str">
        <f t="shared" si="326"/>
        <v/>
      </c>
      <c r="BB32" s="15" t="str">
        <f t="shared" si="326"/>
        <v/>
      </c>
      <c r="BC32" s="14" t="str">
        <f t="shared" si="326"/>
        <v/>
      </c>
      <c r="BD32" s="14">
        <f t="shared" si="326"/>
        <v>14</v>
      </c>
      <c r="BE32" s="14" t="str">
        <f t="shared" si="326"/>
        <v/>
      </c>
      <c r="BF32" s="14">
        <f t="shared" si="326"/>
        <v>14</v>
      </c>
      <c r="BG32" s="14">
        <f t="shared" si="326"/>
        <v>11</v>
      </c>
      <c r="BH32" s="14" t="str">
        <f t="shared" si="326"/>
        <v/>
      </c>
      <c r="BI32" s="15" t="str">
        <f t="shared" si="326"/>
        <v/>
      </c>
      <c r="BJ32" s="14" t="str">
        <f t="shared" si="326"/>
        <v/>
      </c>
      <c r="BK32" s="14">
        <f t="shared" si="326"/>
        <v>16</v>
      </c>
      <c r="BL32" s="14" t="str">
        <f t="shared" si="326"/>
        <v/>
      </c>
      <c r="BM32" s="14">
        <f t="shared" si="326"/>
        <v>16</v>
      </c>
      <c r="BN32" s="14" t="str">
        <f t="shared" si="326"/>
        <v/>
      </c>
      <c r="BO32" s="14" t="str">
        <f t="shared" si="326"/>
        <v/>
      </c>
      <c r="BP32" s="15">
        <f t="shared" si="326"/>
        <v>8</v>
      </c>
      <c r="BQ32" s="14" t="str">
        <f t="shared" si="326"/>
        <v/>
      </c>
      <c r="BR32" s="14">
        <f t="shared" si="326"/>
        <v>17</v>
      </c>
      <c r="BS32" s="14" t="str">
        <f t="shared" si="326"/>
        <v/>
      </c>
      <c r="BT32" s="14">
        <f t="shared" si="326"/>
        <v>14</v>
      </c>
      <c r="BU32" s="14" t="str">
        <f t="shared" si="326"/>
        <v/>
      </c>
      <c r="BV32" s="14" t="str">
        <f t="shared" si="326"/>
        <v/>
      </c>
      <c r="BW32" s="14">
        <f t="shared" si="326"/>
        <v>3</v>
      </c>
      <c r="BX32" s="14"/>
      <c r="BY32" s="15">
        <f>VisibleSum(BY6:BY26)</f>
        <v>-2.7333333333333334</v>
      </c>
      <c r="BZ32" s="14" t="str">
        <f t="shared" ref="BZ32:CF32" si="327">IF(SUM(BZ6:BZ31) &gt; 0, SUM(BZ6:BZ31), "")</f>
        <v/>
      </c>
      <c r="CA32" s="14" t="str">
        <f t="shared" si="327"/>
        <v/>
      </c>
      <c r="CB32" s="14" t="str">
        <f t="shared" si="327"/>
        <v/>
      </c>
      <c r="CC32" s="14">
        <f t="shared" si="327"/>
        <v>9</v>
      </c>
      <c r="CD32" s="14" t="str">
        <f t="shared" si="327"/>
        <v/>
      </c>
      <c r="CE32" s="14" t="str">
        <f t="shared" si="327"/>
        <v/>
      </c>
      <c r="CF32" s="14">
        <f t="shared" si="327"/>
        <v>6</v>
      </c>
      <c r="CG32" s="14"/>
      <c r="CH32" s="15">
        <f>VisibleSum(CH6:CH26)</f>
        <v>-3.8666666666666667</v>
      </c>
      <c r="CI32" s="14" t="str">
        <f t="shared" ref="CI32:CO32" si="328">IF(SUM(CI6:CI31) &gt; 0, SUM(CI6:CI31), "")</f>
        <v/>
      </c>
      <c r="CJ32" s="14" t="str">
        <f t="shared" si="328"/>
        <v/>
      </c>
      <c r="CK32" s="14" t="str">
        <f t="shared" si="328"/>
        <v/>
      </c>
      <c r="CL32" s="14">
        <f t="shared" si="328"/>
        <v>10</v>
      </c>
      <c r="CM32" s="14" t="str">
        <f t="shared" si="328"/>
        <v/>
      </c>
      <c r="CN32" s="14" t="str">
        <f t="shared" si="328"/>
        <v/>
      </c>
      <c r="CO32" s="14">
        <f t="shared" si="328"/>
        <v>8</v>
      </c>
      <c r="CP32" s="14"/>
      <c r="CQ32" s="15">
        <f>VisibleSum(CQ6:CQ26)</f>
        <v>-4.0666666666666664</v>
      </c>
      <c r="CR32" s="14" t="str">
        <f t="shared" ref="CR32:EB32" si="329">IF(SUM(CR6:CR31) &gt; 0, SUM(CR6:CR31), "")</f>
        <v/>
      </c>
      <c r="CS32" s="14">
        <f t="shared" si="329"/>
        <v>13</v>
      </c>
      <c r="CT32" s="14" t="str">
        <f t="shared" si="329"/>
        <v/>
      </c>
      <c r="CU32" s="14">
        <f t="shared" si="329"/>
        <v>10</v>
      </c>
      <c r="CV32" s="14">
        <f t="shared" si="329"/>
        <v>13</v>
      </c>
      <c r="CW32" s="14"/>
      <c r="CX32" s="14">
        <f t="shared" ref="CX32" si="330">IF(SUM(CX6:CX31) &gt; 0, SUM(CX6:CX31), "")</f>
        <v>7</v>
      </c>
      <c r="CY32" s="14" t="str">
        <f t="shared" si="329"/>
        <v/>
      </c>
      <c r="CZ32" s="15">
        <f>VisibleSum(CZ6:CZ26)</f>
        <v>6.6666666666666666E-2</v>
      </c>
      <c r="DA32" s="14" t="str">
        <f t="shared" si="329"/>
        <v/>
      </c>
      <c r="DB32" s="14">
        <f t="shared" si="329"/>
        <v>11</v>
      </c>
      <c r="DC32" s="14" t="str">
        <f t="shared" si="329"/>
        <v/>
      </c>
      <c r="DD32" s="14" t="str">
        <f t="shared" si="329"/>
        <v/>
      </c>
      <c r="DE32" s="14">
        <f t="shared" si="329"/>
        <v>8</v>
      </c>
      <c r="DF32" s="14" t="str">
        <f t="shared" si="329"/>
        <v/>
      </c>
      <c r="DG32" s="14"/>
      <c r="DH32" s="14"/>
      <c r="DI32" s="135">
        <f>IF(VisibleSum(DI6:DI26) = "", "??", VisibleSum(DI6:DI26))</f>
        <v>0</v>
      </c>
      <c r="DJ32" s="14" t="str">
        <f t="shared" si="329"/>
        <v/>
      </c>
      <c r="DK32" s="14" t="str">
        <f t="shared" si="329"/>
        <v/>
      </c>
      <c r="DL32" s="14" t="str">
        <f t="shared" si="329"/>
        <v/>
      </c>
      <c r="DM32" s="14" t="str">
        <f t="shared" si="329"/>
        <v/>
      </c>
      <c r="DN32" s="14" t="str">
        <f t="shared" si="329"/>
        <v/>
      </c>
      <c r="DO32" s="14" t="str">
        <f t="shared" si="329"/>
        <v/>
      </c>
      <c r="DP32" s="15" t="str">
        <f t="shared" si="329"/>
        <v/>
      </c>
      <c r="DQ32" s="14" t="str">
        <f t="shared" si="329"/>
        <v/>
      </c>
      <c r="DR32" s="14" t="str">
        <f t="shared" si="329"/>
        <v/>
      </c>
      <c r="DS32" s="14" t="str">
        <f t="shared" si="329"/>
        <v/>
      </c>
      <c r="DT32" s="14" t="str">
        <f t="shared" si="329"/>
        <v/>
      </c>
      <c r="DU32" s="14" t="str">
        <f t="shared" si="329"/>
        <v/>
      </c>
      <c r="DV32" s="14" t="str">
        <f t="shared" si="329"/>
        <v/>
      </c>
      <c r="DW32" s="15" t="str">
        <f t="shared" si="329"/>
        <v/>
      </c>
      <c r="DX32" s="14" t="str">
        <f t="shared" si="329"/>
        <v/>
      </c>
      <c r="DY32" s="14" t="str">
        <f t="shared" si="329"/>
        <v/>
      </c>
      <c r="DZ32" s="14" t="str">
        <f t="shared" si="329"/>
        <v/>
      </c>
      <c r="EA32" s="14" t="str">
        <f t="shared" si="329"/>
        <v/>
      </c>
      <c r="EB32" s="14" t="str">
        <f t="shared" si="329"/>
        <v/>
      </c>
      <c r="EC32" s="14"/>
      <c r="ED32" s="15" t="str">
        <f t="shared" ref="ED32:FI32" si="331">IF(SUM(ED6:ED31) &gt; 0, SUM(ED6:ED31), "")</f>
        <v/>
      </c>
      <c r="EE32" s="14" t="str">
        <f t="shared" si="331"/>
        <v/>
      </c>
      <c r="EF32" s="14" t="str">
        <f t="shared" si="331"/>
        <v/>
      </c>
      <c r="EG32" s="14" t="str">
        <f t="shared" si="331"/>
        <v/>
      </c>
      <c r="EH32" s="14" t="str">
        <f t="shared" si="331"/>
        <v/>
      </c>
      <c r="EI32" s="14" t="str">
        <f t="shared" si="331"/>
        <v/>
      </c>
      <c r="EJ32" s="14" t="str">
        <f t="shared" si="331"/>
        <v/>
      </c>
      <c r="EK32" s="15" t="str">
        <f t="shared" si="331"/>
        <v/>
      </c>
      <c r="EL32" s="14" t="str">
        <f t="shared" si="331"/>
        <v/>
      </c>
      <c r="EM32" s="14" t="str">
        <f t="shared" si="331"/>
        <v/>
      </c>
      <c r="EN32" s="14" t="str">
        <f t="shared" si="331"/>
        <v/>
      </c>
      <c r="EO32" s="14" t="str">
        <f t="shared" si="331"/>
        <v/>
      </c>
      <c r="EP32" s="14" t="str">
        <f t="shared" si="331"/>
        <v/>
      </c>
      <c r="EQ32" s="14" t="str">
        <f t="shared" si="331"/>
        <v/>
      </c>
      <c r="ER32" s="15" t="str">
        <f t="shared" si="331"/>
        <v/>
      </c>
      <c r="ES32" s="14" t="str">
        <f t="shared" si="331"/>
        <v/>
      </c>
      <c r="ET32" s="14" t="str">
        <f t="shared" si="331"/>
        <v/>
      </c>
      <c r="EU32" s="14" t="str">
        <f t="shared" si="331"/>
        <v/>
      </c>
      <c r="EV32" s="14" t="str">
        <f t="shared" si="331"/>
        <v/>
      </c>
      <c r="EW32" s="14" t="str">
        <f t="shared" si="331"/>
        <v/>
      </c>
      <c r="EX32" s="14" t="str">
        <f t="shared" si="331"/>
        <v/>
      </c>
      <c r="EY32" s="15" t="str">
        <f t="shared" si="331"/>
        <v/>
      </c>
      <c r="EZ32" s="14" t="str">
        <f t="shared" si="331"/>
        <v/>
      </c>
      <c r="FA32" s="14" t="str">
        <f t="shared" si="331"/>
        <v/>
      </c>
      <c r="FB32" s="14" t="str">
        <f t="shared" si="331"/>
        <v/>
      </c>
      <c r="FC32" s="14" t="str">
        <f t="shared" si="331"/>
        <v/>
      </c>
      <c r="FD32" s="14" t="str">
        <f t="shared" si="331"/>
        <v/>
      </c>
      <c r="FE32" s="14" t="str">
        <f t="shared" si="331"/>
        <v/>
      </c>
      <c r="FF32" s="15" t="str">
        <f t="shared" si="331"/>
        <v/>
      </c>
      <c r="FG32" s="14" t="str">
        <f t="shared" si="331"/>
        <v/>
      </c>
      <c r="FH32" s="14" t="str">
        <f t="shared" si="331"/>
        <v/>
      </c>
      <c r="FI32" s="14" t="str">
        <f t="shared" si="331"/>
        <v/>
      </c>
      <c r="FJ32" s="14" t="str">
        <f t="shared" ref="FJ32:GM32" si="332">IF(SUM(FJ6:FJ31) &gt; 0, SUM(FJ6:FJ31), "")</f>
        <v/>
      </c>
      <c r="FK32" s="14" t="str">
        <f t="shared" si="332"/>
        <v/>
      </c>
      <c r="FL32" s="14" t="str">
        <f t="shared" si="332"/>
        <v/>
      </c>
      <c r="FM32" s="15" t="str">
        <f t="shared" si="332"/>
        <v/>
      </c>
      <c r="FN32" s="14" t="str">
        <f t="shared" si="332"/>
        <v/>
      </c>
      <c r="FO32" s="14" t="str">
        <f t="shared" si="332"/>
        <v/>
      </c>
      <c r="FP32" s="14" t="str">
        <f t="shared" si="332"/>
        <v/>
      </c>
      <c r="FQ32" s="14" t="str">
        <f t="shared" si="332"/>
        <v/>
      </c>
      <c r="FR32" s="14" t="str">
        <f t="shared" si="332"/>
        <v/>
      </c>
      <c r="FS32" s="14" t="str">
        <f t="shared" si="332"/>
        <v/>
      </c>
      <c r="FT32" s="15" t="str">
        <f t="shared" si="332"/>
        <v/>
      </c>
      <c r="FU32" s="14" t="str">
        <f t="shared" si="332"/>
        <v/>
      </c>
      <c r="FV32" s="14" t="str">
        <f t="shared" si="332"/>
        <v/>
      </c>
      <c r="FW32" s="14" t="str">
        <f t="shared" si="332"/>
        <v/>
      </c>
      <c r="FX32" s="14" t="str">
        <f t="shared" si="332"/>
        <v/>
      </c>
      <c r="FY32" s="14" t="str">
        <f t="shared" si="332"/>
        <v/>
      </c>
      <c r="FZ32" s="14" t="str">
        <f t="shared" si="332"/>
        <v/>
      </c>
      <c r="GA32" s="15" t="str">
        <f t="shared" si="332"/>
        <v/>
      </c>
      <c r="GB32" s="14" t="str">
        <f t="shared" si="332"/>
        <v/>
      </c>
      <c r="GC32" s="14" t="str">
        <f t="shared" si="332"/>
        <v/>
      </c>
      <c r="GD32" s="14" t="str">
        <f t="shared" si="332"/>
        <v/>
      </c>
      <c r="GE32" s="14" t="str">
        <f t="shared" si="332"/>
        <v/>
      </c>
      <c r="GF32" s="14" t="str">
        <f t="shared" si="332"/>
        <v/>
      </c>
      <c r="GG32" s="14" t="str">
        <f t="shared" si="332"/>
        <v/>
      </c>
      <c r="GH32" s="15" t="str">
        <f t="shared" si="332"/>
        <v/>
      </c>
      <c r="GI32" s="14" t="str">
        <f t="shared" si="332"/>
        <v/>
      </c>
      <c r="GJ32" s="14" t="str">
        <f t="shared" si="332"/>
        <v/>
      </c>
      <c r="GK32" s="14" t="str">
        <f t="shared" si="332"/>
        <v/>
      </c>
      <c r="GL32" s="14" t="str">
        <f t="shared" si="332"/>
        <v/>
      </c>
      <c r="GM32" s="14" t="str">
        <f t="shared" si="332"/>
        <v/>
      </c>
      <c r="GN32" s="14"/>
      <c r="GO32" s="15" t="str">
        <f t="shared" ref="GO32:HT32" si="333">IF(SUM(GO6:GO31) &gt; 0, SUM(GO6:GO31), "")</f>
        <v/>
      </c>
      <c r="GP32" s="14" t="str">
        <f t="shared" si="333"/>
        <v/>
      </c>
      <c r="GQ32" s="14" t="str">
        <f t="shared" si="333"/>
        <v/>
      </c>
      <c r="GR32" s="14" t="str">
        <f t="shared" si="333"/>
        <v/>
      </c>
      <c r="GS32" s="14" t="str">
        <f t="shared" si="333"/>
        <v/>
      </c>
      <c r="GT32" s="14" t="str">
        <f t="shared" si="333"/>
        <v/>
      </c>
      <c r="GU32" s="14" t="str">
        <f t="shared" si="333"/>
        <v/>
      </c>
      <c r="GV32" s="15" t="str">
        <f t="shared" si="333"/>
        <v/>
      </c>
      <c r="GW32" s="14" t="str">
        <f t="shared" si="333"/>
        <v/>
      </c>
      <c r="GX32" s="14" t="str">
        <f t="shared" si="333"/>
        <v/>
      </c>
      <c r="GY32" s="14" t="str">
        <f t="shared" si="333"/>
        <v/>
      </c>
      <c r="GZ32" s="14" t="str">
        <f t="shared" si="333"/>
        <v/>
      </c>
      <c r="HA32" s="14" t="str">
        <f t="shared" si="333"/>
        <v/>
      </c>
      <c r="HB32" s="14" t="str">
        <f t="shared" si="333"/>
        <v/>
      </c>
      <c r="HC32" s="15" t="str">
        <f t="shared" si="333"/>
        <v/>
      </c>
      <c r="HD32" s="14" t="str">
        <f t="shared" si="333"/>
        <v/>
      </c>
      <c r="HE32" s="14" t="str">
        <f t="shared" si="333"/>
        <v/>
      </c>
      <c r="HF32" s="14" t="str">
        <f t="shared" si="333"/>
        <v/>
      </c>
      <c r="HG32" s="14" t="str">
        <f t="shared" si="333"/>
        <v/>
      </c>
      <c r="HH32" s="14" t="str">
        <f t="shared" si="333"/>
        <v/>
      </c>
      <c r="HI32" s="14" t="str">
        <f t="shared" si="333"/>
        <v/>
      </c>
      <c r="HJ32" s="15" t="str">
        <f t="shared" si="333"/>
        <v/>
      </c>
      <c r="HK32" s="14" t="str">
        <f t="shared" si="333"/>
        <v/>
      </c>
      <c r="HL32" s="14" t="str">
        <f t="shared" si="333"/>
        <v/>
      </c>
      <c r="HM32" s="14" t="str">
        <f t="shared" si="333"/>
        <v/>
      </c>
      <c r="HN32" s="14" t="str">
        <f t="shared" si="333"/>
        <v/>
      </c>
      <c r="HO32" s="14" t="str">
        <f t="shared" si="333"/>
        <v/>
      </c>
      <c r="HP32" s="14" t="str">
        <f t="shared" si="333"/>
        <v/>
      </c>
      <c r="HQ32" s="15" t="str">
        <f t="shared" si="333"/>
        <v/>
      </c>
      <c r="HR32" s="14" t="str">
        <f t="shared" si="333"/>
        <v/>
      </c>
      <c r="HS32" s="14" t="str">
        <f t="shared" si="333"/>
        <v/>
      </c>
      <c r="HT32" s="14" t="str">
        <f t="shared" si="333"/>
        <v/>
      </c>
      <c r="HU32" s="14" t="str">
        <f t="shared" ref="HU32:IZ32" si="334">IF(SUM(HU6:HU31) &gt; 0, SUM(HU6:HU31), "")</f>
        <v/>
      </c>
      <c r="HV32" s="14" t="str">
        <f t="shared" si="334"/>
        <v/>
      </c>
      <c r="HW32" s="14" t="str">
        <f t="shared" si="334"/>
        <v/>
      </c>
      <c r="HX32" s="15" t="str">
        <f t="shared" si="334"/>
        <v/>
      </c>
      <c r="HY32" s="14" t="str">
        <f t="shared" si="334"/>
        <v/>
      </c>
      <c r="HZ32" s="14" t="str">
        <f t="shared" si="334"/>
        <v/>
      </c>
      <c r="IA32" s="14" t="str">
        <f t="shared" si="334"/>
        <v/>
      </c>
      <c r="IB32" s="14" t="str">
        <f t="shared" si="334"/>
        <v/>
      </c>
      <c r="IC32" s="14" t="str">
        <f t="shared" si="334"/>
        <v/>
      </c>
      <c r="ID32" s="14" t="str">
        <f t="shared" si="334"/>
        <v/>
      </c>
      <c r="IE32" s="15" t="str">
        <f t="shared" si="334"/>
        <v/>
      </c>
      <c r="IF32" s="14" t="str">
        <f t="shared" si="334"/>
        <v/>
      </c>
      <c r="IG32" s="14" t="str">
        <f t="shared" si="334"/>
        <v/>
      </c>
      <c r="IH32" s="14" t="str">
        <f t="shared" si="334"/>
        <v/>
      </c>
      <c r="II32" s="14" t="str">
        <f t="shared" si="334"/>
        <v/>
      </c>
      <c r="IJ32" s="14" t="str">
        <f t="shared" si="334"/>
        <v/>
      </c>
      <c r="IK32" s="14" t="str">
        <f t="shared" si="334"/>
        <v/>
      </c>
      <c r="IL32" s="15" t="str">
        <f t="shared" si="334"/>
        <v/>
      </c>
      <c r="IM32" s="14" t="str">
        <f t="shared" si="334"/>
        <v/>
      </c>
      <c r="IN32" s="14" t="str">
        <f t="shared" si="334"/>
        <v/>
      </c>
      <c r="IO32" s="14" t="str">
        <f t="shared" si="334"/>
        <v/>
      </c>
      <c r="IP32" s="14" t="str">
        <f t="shared" si="334"/>
        <v/>
      </c>
      <c r="IQ32" s="14" t="str">
        <f t="shared" si="334"/>
        <v/>
      </c>
      <c r="IR32" s="14" t="str">
        <f t="shared" si="334"/>
        <v/>
      </c>
      <c r="IS32" s="15" t="str">
        <f t="shared" si="334"/>
        <v/>
      </c>
      <c r="IT32" s="14" t="str">
        <f t="shared" si="334"/>
        <v/>
      </c>
      <c r="IU32" s="14" t="str">
        <f t="shared" si="334"/>
        <v/>
      </c>
      <c r="IV32" s="14" t="str">
        <f t="shared" si="334"/>
        <v/>
      </c>
      <c r="IW32" s="14" t="str">
        <f t="shared" si="334"/>
        <v/>
      </c>
      <c r="IX32" s="14" t="str">
        <f t="shared" si="334"/>
        <v/>
      </c>
      <c r="IY32" s="14" t="str">
        <f t="shared" si="334"/>
        <v/>
      </c>
      <c r="IZ32" s="15" t="str">
        <f t="shared" si="334"/>
        <v/>
      </c>
      <c r="JA32" s="14" t="str">
        <f t="shared" ref="JA32:KF32" si="335">IF(SUM(JA6:JA31) &gt; 0, SUM(JA6:JA31), "")</f>
        <v/>
      </c>
      <c r="JB32" s="14" t="str">
        <f t="shared" si="335"/>
        <v/>
      </c>
      <c r="JC32" s="14" t="str">
        <f t="shared" si="335"/>
        <v/>
      </c>
      <c r="JD32" s="14" t="str">
        <f t="shared" si="335"/>
        <v/>
      </c>
      <c r="JE32" s="14" t="str">
        <f t="shared" si="335"/>
        <v/>
      </c>
      <c r="JF32" s="14" t="str">
        <f t="shared" si="335"/>
        <v/>
      </c>
      <c r="JG32" s="15" t="str">
        <f t="shared" si="335"/>
        <v/>
      </c>
      <c r="JH32" s="14" t="str">
        <f t="shared" si="335"/>
        <v/>
      </c>
      <c r="JI32" s="14" t="str">
        <f t="shared" si="335"/>
        <v/>
      </c>
      <c r="JJ32" s="14" t="str">
        <f t="shared" si="335"/>
        <v/>
      </c>
      <c r="JK32" s="14" t="str">
        <f t="shared" si="335"/>
        <v/>
      </c>
      <c r="JL32" s="14" t="str">
        <f t="shared" si="335"/>
        <v/>
      </c>
      <c r="JM32" s="14" t="str">
        <f t="shared" si="335"/>
        <v/>
      </c>
      <c r="JN32" s="15" t="str">
        <f t="shared" si="335"/>
        <v/>
      </c>
      <c r="JO32" s="14" t="str">
        <f t="shared" si="335"/>
        <v/>
      </c>
      <c r="JP32" s="14" t="str">
        <f t="shared" si="335"/>
        <v/>
      </c>
      <c r="JQ32" s="14" t="str">
        <f t="shared" si="335"/>
        <v/>
      </c>
      <c r="JR32" s="14" t="str">
        <f t="shared" si="335"/>
        <v/>
      </c>
      <c r="JS32" s="14" t="str">
        <f t="shared" si="335"/>
        <v/>
      </c>
      <c r="JT32" s="14" t="str">
        <f t="shared" si="335"/>
        <v/>
      </c>
      <c r="JU32" s="15" t="str">
        <f t="shared" si="335"/>
        <v/>
      </c>
      <c r="JV32" s="14" t="str">
        <f t="shared" si="335"/>
        <v/>
      </c>
      <c r="JW32" s="14" t="str">
        <f t="shared" si="335"/>
        <v/>
      </c>
      <c r="JX32" s="14" t="str">
        <f t="shared" si="335"/>
        <v/>
      </c>
      <c r="JY32" s="14" t="str">
        <f t="shared" si="335"/>
        <v/>
      </c>
      <c r="JZ32" s="14" t="str">
        <f t="shared" si="335"/>
        <v/>
      </c>
      <c r="KA32" s="14" t="str">
        <f t="shared" si="335"/>
        <v/>
      </c>
      <c r="KB32" s="15" t="str">
        <f t="shared" si="335"/>
        <v/>
      </c>
      <c r="KC32" s="14" t="str">
        <f t="shared" si="335"/>
        <v/>
      </c>
      <c r="KD32" s="14" t="str">
        <f t="shared" si="335"/>
        <v/>
      </c>
      <c r="KE32" s="14" t="str">
        <f t="shared" si="335"/>
        <v/>
      </c>
      <c r="KF32" s="14" t="str">
        <f t="shared" si="335"/>
        <v/>
      </c>
      <c r="KG32" s="14" t="str">
        <f t="shared" ref="KG32:LL32" si="336">IF(SUM(KG6:KG31) &gt; 0, SUM(KG6:KG31), "")</f>
        <v/>
      </c>
      <c r="KH32" s="14" t="str">
        <f t="shared" si="336"/>
        <v/>
      </c>
      <c r="KI32" s="15" t="str">
        <f t="shared" si="336"/>
        <v/>
      </c>
      <c r="KJ32" s="14" t="str">
        <f t="shared" si="336"/>
        <v/>
      </c>
      <c r="KK32" s="14" t="str">
        <f t="shared" si="336"/>
        <v/>
      </c>
      <c r="KL32" s="14" t="str">
        <f t="shared" si="336"/>
        <v/>
      </c>
      <c r="KM32" s="14" t="str">
        <f t="shared" si="336"/>
        <v/>
      </c>
      <c r="KN32" s="14" t="str">
        <f t="shared" si="336"/>
        <v/>
      </c>
      <c r="KO32" s="14" t="str">
        <f t="shared" si="336"/>
        <v/>
      </c>
      <c r="KP32" s="15" t="str">
        <f t="shared" si="336"/>
        <v/>
      </c>
      <c r="KQ32" s="14" t="str">
        <f t="shared" si="336"/>
        <v/>
      </c>
      <c r="KR32" s="14" t="str">
        <f t="shared" si="336"/>
        <v/>
      </c>
      <c r="KS32" s="14" t="str">
        <f t="shared" si="336"/>
        <v/>
      </c>
      <c r="KT32" s="14" t="str">
        <f t="shared" si="336"/>
        <v/>
      </c>
      <c r="KU32" s="14" t="str">
        <f t="shared" si="336"/>
        <v/>
      </c>
      <c r="KV32" s="14" t="str">
        <f t="shared" si="336"/>
        <v/>
      </c>
      <c r="KW32" s="15" t="str">
        <f t="shared" si="336"/>
        <v/>
      </c>
      <c r="KX32" s="14" t="str">
        <f t="shared" si="336"/>
        <v/>
      </c>
      <c r="KY32" s="14" t="str">
        <f t="shared" si="336"/>
        <v/>
      </c>
      <c r="KZ32" s="14" t="str">
        <f t="shared" si="336"/>
        <v/>
      </c>
      <c r="LA32" s="14" t="str">
        <f t="shared" si="336"/>
        <v/>
      </c>
      <c r="LB32" s="14" t="str">
        <f t="shared" si="336"/>
        <v/>
      </c>
      <c r="LC32" s="14" t="str">
        <f t="shared" si="336"/>
        <v/>
      </c>
      <c r="LD32" s="15" t="str">
        <f t="shared" si="336"/>
        <v/>
      </c>
      <c r="LE32" s="14" t="str">
        <f t="shared" si="336"/>
        <v/>
      </c>
      <c r="LF32" s="14" t="str">
        <f t="shared" si="336"/>
        <v/>
      </c>
      <c r="LG32" s="14" t="str">
        <f t="shared" si="336"/>
        <v/>
      </c>
      <c r="LH32" s="14" t="str">
        <f t="shared" si="336"/>
        <v/>
      </c>
      <c r="LI32" s="14" t="str">
        <f t="shared" si="336"/>
        <v/>
      </c>
      <c r="LJ32" s="14" t="str">
        <f t="shared" si="336"/>
        <v/>
      </c>
      <c r="LK32" s="15" t="str">
        <f t="shared" si="336"/>
        <v/>
      </c>
      <c r="LL32" s="14" t="str">
        <f t="shared" si="336"/>
        <v/>
      </c>
      <c r="LM32" s="14" t="str">
        <f t="shared" ref="LM32:MF32" si="337">IF(SUM(LM6:LM31) &gt; 0, SUM(LM6:LM31), "")</f>
        <v/>
      </c>
      <c r="LN32" s="14" t="str">
        <f t="shared" si="337"/>
        <v/>
      </c>
      <c r="LO32" s="14" t="str">
        <f t="shared" si="337"/>
        <v/>
      </c>
      <c r="LP32" s="14" t="str">
        <f t="shared" si="337"/>
        <v/>
      </c>
      <c r="LQ32" s="14" t="str">
        <f t="shared" si="337"/>
        <v/>
      </c>
      <c r="LR32" s="15" t="str">
        <f t="shared" si="337"/>
        <v/>
      </c>
      <c r="LS32" s="14" t="str">
        <f t="shared" si="337"/>
        <v/>
      </c>
      <c r="LT32" s="14" t="str">
        <f t="shared" si="337"/>
        <v/>
      </c>
      <c r="LU32" s="14" t="str">
        <f t="shared" si="337"/>
        <v/>
      </c>
      <c r="LV32" s="14" t="str">
        <f t="shared" si="337"/>
        <v/>
      </c>
      <c r="LW32" s="14" t="str">
        <f t="shared" si="337"/>
        <v/>
      </c>
      <c r="LX32" s="14" t="str">
        <f t="shared" si="337"/>
        <v/>
      </c>
      <c r="LY32" s="15" t="str">
        <f t="shared" si="337"/>
        <v/>
      </c>
      <c r="LZ32" s="14" t="str">
        <f t="shared" si="337"/>
        <v/>
      </c>
      <c r="MA32" s="14" t="str">
        <f t="shared" si="337"/>
        <v/>
      </c>
      <c r="MB32" s="14" t="str">
        <f t="shared" si="337"/>
        <v/>
      </c>
      <c r="MC32" s="14" t="str">
        <f t="shared" si="337"/>
        <v/>
      </c>
      <c r="MD32" s="14" t="str">
        <f t="shared" si="337"/>
        <v/>
      </c>
      <c r="ME32" s="14" t="str">
        <f t="shared" si="337"/>
        <v/>
      </c>
      <c r="MF32" s="116" t="str">
        <f t="shared" si="337"/>
        <v/>
      </c>
    </row>
    <row r="33" spans="1:344" x14ac:dyDescent="0.25">
      <c r="A33" s="112" t="s">
        <v>18</v>
      </c>
      <c r="B33" s="111"/>
      <c r="C33" s="111"/>
      <c r="D33" s="111"/>
      <c r="E33" s="111"/>
      <c r="F33" s="113"/>
      <c r="G33" s="111"/>
      <c r="H33" s="111"/>
      <c r="I33" s="111"/>
      <c r="J33" s="111"/>
      <c r="K33" s="111"/>
      <c r="L33" s="111"/>
      <c r="M33" s="111"/>
      <c r="N33" s="111"/>
      <c r="O33" s="114"/>
      <c r="P33" s="111">
        <f>SUM(S33:MF33)</f>
        <v>35</v>
      </c>
      <c r="Q33" s="111"/>
      <c r="R33" s="114"/>
      <c r="S33" s="114">
        <v>1</v>
      </c>
      <c r="T33" s="111"/>
      <c r="U33" s="111">
        <v>1</v>
      </c>
      <c r="V33" s="111">
        <v>1</v>
      </c>
      <c r="W33" s="111"/>
      <c r="X33" s="111">
        <v>1</v>
      </c>
      <c r="Y33" s="111"/>
      <c r="Z33" s="114"/>
      <c r="AA33" s="111"/>
      <c r="AB33" s="111">
        <v>1</v>
      </c>
      <c r="AC33" s="111"/>
      <c r="AD33" s="111">
        <v>1</v>
      </c>
      <c r="AE33" s="111">
        <v>1</v>
      </c>
      <c r="AF33" s="111"/>
      <c r="AG33" s="114"/>
      <c r="AH33" s="111"/>
      <c r="AI33" s="111">
        <v>1</v>
      </c>
      <c r="AJ33" s="111"/>
      <c r="AK33" s="111">
        <v>1</v>
      </c>
      <c r="AL33" s="111">
        <v>1</v>
      </c>
      <c r="AM33" s="111"/>
      <c r="AN33" s="114"/>
      <c r="AO33" s="111"/>
      <c r="AP33" s="111">
        <v>1</v>
      </c>
      <c r="AQ33" s="111"/>
      <c r="AR33" s="111">
        <v>1</v>
      </c>
      <c r="AS33" s="111">
        <v>1</v>
      </c>
      <c r="AT33" s="111"/>
      <c r="AU33" s="114"/>
      <c r="AV33" s="111"/>
      <c r="AW33" s="111">
        <v>1</v>
      </c>
      <c r="AX33" s="111"/>
      <c r="AY33" s="111">
        <v>1</v>
      </c>
      <c r="AZ33" s="111">
        <v>1</v>
      </c>
      <c r="BA33" s="111"/>
      <c r="BB33" s="114"/>
      <c r="BC33" s="111"/>
      <c r="BD33" s="111">
        <v>1</v>
      </c>
      <c r="BE33" s="111"/>
      <c r="BF33" s="111">
        <v>1</v>
      </c>
      <c r="BG33" s="111">
        <v>1</v>
      </c>
      <c r="BH33" s="111"/>
      <c r="BI33" s="114"/>
      <c r="BJ33" s="111"/>
      <c r="BK33" s="111">
        <v>1</v>
      </c>
      <c r="BL33" s="111"/>
      <c r="BM33" s="111">
        <v>1</v>
      </c>
      <c r="BN33" s="111"/>
      <c r="BO33" s="111"/>
      <c r="BP33" s="114">
        <v>1</v>
      </c>
      <c r="BQ33" s="111"/>
      <c r="BR33" s="111">
        <v>1</v>
      </c>
      <c r="BS33" s="111"/>
      <c r="BT33" s="111">
        <v>1</v>
      </c>
      <c r="BU33" s="111"/>
      <c r="BV33" s="111"/>
      <c r="BW33" s="111">
        <v>1</v>
      </c>
      <c r="BX33" s="111"/>
      <c r="BY33" s="114"/>
      <c r="BZ33" s="111"/>
      <c r="CA33" s="111"/>
      <c r="CB33" s="111"/>
      <c r="CC33" s="111">
        <v>1</v>
      </c>
      <c r="CD33" s="111"/>
      <c r="CE33" s="111"/>
      <c r="CF33" s="111">
        <v>1</v>
      </c>
      <c r="CG33" s="111"/>
      <c r="CH33" s="114"/>
      <c r="CI33" s="111"/>
      <c r="CJ33" s="111"/>
      <c r="CK33" s="111"/>
      <c r="CL33" s="111">
        <v>1</v>
      </c>
      <c r="CM33" s="111"/>
      <c r="CN33" s="111"/>
      <c r="CO33" s="111">
        <v>1</v>
      </c>
      <c r="CP33" s="111"/>
      <c r="CQ33" s="114"/>
      <c r="CR33" s="111"/>
      <c r="CS33" s="111">
        <v>1</v>
      </c>
      <c r="CT33" s="111"/>
      <c r="CU33" s="111">
        <v>1</v>
      </c>
      <c r="CV33" s="111">
        <v>1</v>
      </c>
      <c r="CW33" s="111"/>
      <c r="CX33" s="111">
        <v>1</v>
      </c>
      <c r="CY33" s="111"/>
      <c r="CZ33" s="114"/>
      <c r="DA33" s="111"/>
      <c r="DB33" s="111">
        <v>1</v>
      </c>
      <c r="DC33" s="111"/>
      <c r="DD33" s="111"/>
      <c r="DE33" s="111">
        <v>1</v>
      </c>
      <c r="DF33" s="111"/>
      <c r="DG33" s="111"/>
      <c r="DH33" s="111"/>
      <c r="DI33" s="114"/>
      <c r="DJ33" s="111"/>
      <c r="DK33" s="111"/>
      <c r="DL33" s="111"/>
      <c r="DM33" s="111"/>
      <c r="DN33" s="111"/>
      <c r="DO33" s="111"/>
      <c r="DP33" s="114"/>
      <c r="DQ33" s="111"/>
      <c r="DR33" s="111"/>
      <c r="DS33" s="111"/>
      <c r="DT33" s="111"/>
      <c r="DU33" s="111"/>
      <c r="DV33" s="111"/>
      <c r="DW33" s="114"/>
      <c r="DX33" s="111"/>
      <c r="DY33" s="111"/>
      <c r="DZ33" s="111"/>
      <c r="EA33" s="111"/>
      <c r="EB33" s="111"/>
      <c r="EC33" s="111"/>
      <c r="ED33" s="114"/>
      <c r="EE33" s="111"/>
      <c r="EF33" s="111"/>
      <c r="EG33" s="111"/>
      <c r="EH33" s="111"/>
      <c r="EI33" s="111"/>
      <c r="EJ33" s="111"/>
      <c r="EK33" s="114"/>
      <c r="EL33" s="111"/>
      <c r="EM33" s="111"/>
      <c r="EN33" s="111"/>
      <c r="EO33" s="111"/>
      <c r="EP33" s="111"/>
      <c r="EQ33" s="111"/>
      <c r="ER33" s="114"/>
      <c r="ES33" s="111"/>
      <c r="ET33" s="111"/>
      <c r="EU33" s="111"/>
      <c r="EV33" s="111"/>
      <c r="EW33" s="111"/>
      <c r="EX33" s="111"/>
      <c r="EY33" s="114"/>
      <c r="EZ33" s="111"/>
      <c r="FA33" s="111"/>
      <c r="FB33" s="111"/>
      <c r="FC33" s="111"/>
      <c r="FD33" s="111"/>
      <c r="FE33" s="111"/>
      <c r="FF33" s="114"/>
      <c r="FG33" s="111"/>
      <c r="FH33" s="111"/>
      <c r="FI33" s="111"/>
      <c r="FJ33" s="111"/>
      <c r="FK33" s="111"/>
      <c r="FL33" s="111"/>
      <c r="FM33" s="114"/>
      <c r="FN33" s="111"/>
      <c r="FO33" s="111"/>
      <c r="FP33" s="111"/>
      <c r="FQ33" s="111"/>
      <c r="FR33" s="111"/>
      <c r="FS33" s="111"/>
      <c r="FT33" s="114"/>
      <c r="FU33" s="111"/>
      <c r="FV33" s="111"/>
      <c r="FW33" s="111"/>
      <c r="FX33" s="111"/>
      <c r="FY33" s="111"/>
      <c r="FZ33" s="111"/>
      <c r="GA33" s="114"/>
      <c r="GB33" s="111"/>
      <c r="GC33" s="111"/>
      <c r="GD33" s="111"/>
      <c r="GE33" s="111"/>
      <c r="GF33" s="111"/>
      <c r="GG33" s="111"/>
      <c r="GH33" s="114"/>
      <c r="GI33" s="111"/>
      <c r="GJ33" s="111"/>
      <c r="GK33" s="111"/>
      <c r="GL33" s="111"/>
      <c r="GM33" s="111"/>
      <c r="GN33" s="111"/>
      <c r="GO33" s="114"/>
      <c r="GP33" s="111"/>
      <c r="GQ33" s="111"/>
      <c r="GR33" s="111"/>
      <c r="GS33" s="111"/>
      <c r="GT33" s="111"/>
      <c r="GU33" s="111"/>
      <c r="GV33" s="114"/>
      <c r="GW33" s="111"/>
      <c r="GX33" s="111"/>
      <c r="GY33" s="111"/>
      <c r="GZ33" s="111"/>
      <c r="HA33" s="111"/>
      <c r="HB33" s="111"/>
      <c r="HC33" s="114"/>
      <c r="HD33" s="111"/>
      <c r="HE33" s="111"/>
      <c r="HF33" s="111"/>
      <c r="HG33" s="111"/>
      <c r="HH33" s="111"/>
      <c r="HI33" s="111"/>
      <c r="HJ33" s="114"/>
      <c r="HK33" s="111"/>
      <c r="HL33" s="111"/>
      <c r="HM33" s="111"/>
      <c r="HN33" s="111"/>
      <c r="HO33" s="111"/>
      <c r="HP33" s="111"/>
      <c r="HQ33" s="114"/>
      <c r="HR33" s="111"/>
      <c r="HS33" s="111"/>
      <c r="HT33" s="111"/>
      <c r="HU33" s="111"/>
      <c r="HV33" s="111"/>
      <c r="HW33" s="111"/>
      <c r="HX33" s="114"/>
      <c r="HY33" s="111"/>
      <c r="HZ33" s="111"/>
      <c r="IA33" s="111"/>
      <c r="IB33" s="111"/>
      <c r="IC33" s="111"/>
      <c r="ID33" s="111"/>
      <c r="IE33" s="114"/>
      <c r="IF33" s="111"/>
      <c r="IG33" s="111"/>
      <c r="IH33" s="111"/>
      <c r="II33" s="111"/>
      <c r="IJ33" s="111"/>
      <c r="IK33" s="111"/>
      <c r="IL33" s="114"/>
      <c r="IM33" s="111"/>
      <c r="IN33" s="111"/>
      <c r="IO33" s="111"/>
      <c r="IP33" s="111"/>
      <c r="IQ33" s="111"/>
      <c r="IR33" s="111"/>
      <c r="IS33" s="114"/>
      <c r="IT33" s="111"/>
      <c r="IU33" s="111"/>
      <c r="IV33" s="111"/>
      <c r="IW33" s="111"/>
      <c r="IX33" s="111"/>
      <c r="IY33" s="111"/>
      <c r="IZ33" s="114"/>
      <c r="JA33" s="111"/>
      <c r="JB33" s="111"/>
      <c r="JC33" s="111"/>
      <c r="JD33" s="111"/>
      <c r="JE33" s="111"/>
      <c r="JF33" s="111"/>
      <c r="JG33" s="114"/>
      <c r="JH33" s="111"/>
      <c r="JI33" s="111"/>
      <c r="JJ33" s="111"/>
      <c r="JK33" s="111"/>
      <c r="JL33" s="111"/>
      <c r="JM33" s="111"/>
      <c r="JN33" s="114"/>
      <c r="JO33" s="111"/>
      <c r="JP33" s="111"/>
      <c r="JQ33" s="111"/>
      <c r="JR33" s="111"/>
      <c r="JS33" s="111"/>
      <c r="JT33" s="111"/>
      <c r="JU33" s="114"/>
      <c r="JV33" s="111"/>
      <c r="JW33" s="111"/>
      <c r="JX33" s="111"/>
      <c r="JY33" s="111"/>
      <c r="JZ33" s="111"/>
      <c r="KA33" s="111"/>
      <c r="KB33" s="114"/>
      <c r="KC33" s="111"/>
      <c r="KD33" s="111"/>
      <c r="KE33" s="111"/>
      <c r="KF33" s="111"/>
      <c r="KG33" s="111"/>
      <c r="KH33" s="111"/>
      <c r="KI33" s="114"/>
      <c r="KJ33" s="111"/>
      <c r="KK33" s="111"/>
      <c r="KL33" s="111"/>
      <c r="KM33" s="111"/>
      <c r="KN33" s="111"/>
      <c r="KO33" s="111"/>
      <c r="KP33" s="114"/>
      <c r="KQ33" s="111"/>
      <c r="KR33" s="111"/>
      <c r="KS33" s="111"/>
      <c r="KT33" s="111"/>
      <c r="KU33" s="111"/>
      <c r="KV33" s="111"/>
      <c r="KW33" s="114"/>
      <c r="KX33" s="111"/>
      <c r="KY33" s="111"/>
      <c r="KZ33" s="111"/>
      <c r="LA33" s="111"/>
      <c r="LB33" s="111"/>
      <c r="LC33" s="111"/>
      <c r="LD33" s="114"/>
      <c r="LE33" s="111"/>
      <c r="LF33" s="111"/>
      <c r="LG33" s="111"/>
      <c r="LH33" s="111"/>
      <c r="LI33" s="111"/>
      <c r="LJ33" s="111"/>
      <c r="LK33" s="114"/>
      <c r="LL33" s="111"/>
      <c r="LM33" s="111"/>
      <c r="LN33" s="111"/>
      <c r="LO33" s="111"/>
      <c r="LP33" s="111"/>
      <c r="LQ33" s="111"/>
      <c r="LR33" s="114"/>
      <c r="LS33" s="111"/>
      <c r="LT33" s="111"/>
      <c r="LU33" s="111"/>
      <c r="LV33" s="111"/>
      <c r="LW33" s="111"/>
      <c r="LX33" s="111"/>
      <c r="LY33" s="114"/>
      <c r="LZ33" s="111"/>
      <c r="MA33" s="111"/>
      <c r="MB33" s="111"/>
      <c r="MC33" s="111"/>
      <c r="MD33" s="111"/>
      <c r="ME33" s="111"/>
      <c r="MF33" s="114"/>
    </row>
    <row r="34" spans="1:344" ht="7.5" customHeight="1" x14ac:dyDescent="0.25">
      <c r="A34" s="129"/>
      <c r="B34" s="130"/>
      <c r="C34" s="130"/>
      <c r="D34" s="130"/>
      <c r="E34" s="131"/>
      <c r="F34" s="130"/>
      <c r="G34" s="130"/>
      <c r="H34" s="130"/>
      <c r="I34" s="130"/>
      <c r="J34" s="130"/>
      <c r="K34" s="130"/>
      <c r="L34" s="130"/>
      <c r="M34" s="130"/>
      <c r="N34" s="130"/>
      <c r="O34" s="131"/>
      <c r="P34" s="130"/>
      <c r="Q34" s="130"/>
      <c r="R34" s="131"/>
      <c r="S34" s="37"/>
      <c r="T34" s="132"/>
      <c r="U34" s="132"/>
      <c r="V34" s="132"/>
      <c r="W34" s="132"/>
      <c r="X34" s="132"/>
      <c r="Y34" s="132"/>
      <c r="Z34" s="37"/>
      <c r="AA34" s="132"/>
      <c r="AB34" s="132"/>
      <c r="AC34" s="132"/>
      <c r="AD34" s="132"/>
      <c r="AE34" s="132"/>
      <c r="AF34" s="132"/>
      <c r="AG34" s="37"/>
      <c r="AH34" s="132"/>
      <c r="AI34" s="132"/>
      <c r="AJ34" s="132"/>
      <c r="AK34" s="132"/>
      <c r="AL34" s="132"/>
      <c r="AM34" s="132"/>
      <c r="AN34" s="37"/>
      <c r="AO34" s="132"/>
      <c r="AP34" s="132"/>
      <c r="AQ34" s="132"/>
      <c r="AR34" s="132"/>
      <c r="AS34" s="132"/>
      <c r="AT34" s="132"/>
      <c r="AU34" s="37"/>
      <c r="AV34" s="132"/>
      <c r="AW34" s="132"/>
      <c r="AX34" s="132"/>
      <c r="AY34" s="132"/>
      <c r="AZ34" s="132"/>
      <c r="BA34" s="132"/>
      <c r="BB34" s="37"/>
      <c r="BC34" s="132"/>
      <c r="BD34" s="132"/>
      <c r="BE34" s="132"/>
      <c r="BF34" s="132"/>
      <c r="BG34" s="132"/>
      <c r="BH34" s="132"/>
      <c r="BI34" s="37"/>
      <c r="BJ34" s="132"/>
      <c r="BK34" s="132"/>
      <c r="BL34" s="132"/>
      <c r="BM34" s="132"/>
      <c r="BN34" s="132"/>
      <c r="BO34" s="132"/>
      <c r="BP34" s="37"/>
      <c r="BQ34" s="132"/>
      <c r="BR34" s="132"/>
      <c r="BS34" s="132"/>
      <c r="BT34" s="132"/>
      <c r="BU34" s="132"/>
      <c r="BV34" s="132"/>
      <c r="BW34" s="132"/>
      <c r="BX34" s="132"/>
      <c r="BY34" s="37"/>
      <c r="BZ34" s="132"/>
      <c r="CA34" s="132"/>
      <c r="CB34" s="132"/>
      <c r="CC34" s="132"/>
      <c r="CD34" s="132"/>
      <c r="CE34" s="132"/>
      <c r="CF34" s="132"/>
      <c r="CG34" s="132"/>
      <c r="CH34" s="37"/>
      <c r="CI34" s="132"/>
      <c r="CJ34" s="132"/>
      <c r="CK34" s="132"/>
      <c r="CL34" s="132"/>
      <c r="CM34" s="132"/>
      <c r="CN34" s="132"/>
      <c r="CO34" s="132"/>
      <c r="CP34" s="132"/>
      <c r="CQ34" s="37"/>
      <c r="CR34" s="132"/>
      <c r="CS34" s="132"/>
      <c r="CT34" s="132"/>
      <c r="CU34" s="132"/>
      <c r="CV34" s="132"/>
      <c r="CW34" s="132"/>
      <c r="CX34" s="132"/>
      <c r="CY34" s="132"/>
      <c r="CZ34" s="37"/>
      <c r="DA34" s="132"/>
      <c r="DB34" s="132"/>
      <c r="DC34" s="132"/>
      <c r="DD34" s="132"/>
      <c r="DE34" s="132"/>
      <c r="DF34" s="132"/>
      <c r="DG34" s="132"/>
      <c r="DH34" s="132"/>
      <c r="DI34" s="37"/>
      <c r="DJ34" s="132"/>
      <c r="DK34" s="132"/>
      <c r="DL34" s="132"/>
      <c r="DM34" s="132"/>
      <c r="DN34" s="132"/>
      <c r="DO34" s="132"/>
      <c r="DP34" s="37"/>
      <c r="DQ34" s="132"/>
      <c r="DR34" s="132"/>
      <c r="DS34" s="132"/>
      <c r="DT34" s="132"/>
      <c r="DU34" s="132"/>
      <c r="DV34" s="132"/>
      <c r="DW34" s="37"/>
      <c r="DX34" s="132"/>
      <c r="DY34" s="132"/>
      <c r="DZ34" s="132"/>
      <c r="EA34" s="132"/>
      <c r="EB34" s="132"/>
      <c r="EC34" s="132"/>
      <c r="ED34" s="37"/>
      <c r="EE34" s="132"/>
      <c r="EF34" s="132"/>
      <c r="EG34" s="132"/>
      <c r="EH34" s="132"/>
      <c r="EI34" s="132"/>
      <c r="EJ34" s="132"/>
      <c r="EK34" s="37"/>
      <c r="EL34" s="132"/>
      <c r="EM34" s="132"/>
      <c r="EN34" s="132"/>
      <c r="EO34" s="132"/>
      <c r="EP34" s="132"/>
      <c r="EQ34" s="132"/>
      <c r="ER34" s="37"/>
      <c r="ES34" s="132"/>
      <c r="ET34" s="132"/>
      <c r="EU34" s="132"/>
      <c r="EV34" s="132"/>
      <c r="EW34" s="132"/>
      <c r="EX34" s="132"/>
      <c r="EY34" s="37"/>
      <c r="EZ34" s="132"/>
      <c r="FA34" s="132"/>
      <c r="FB34" s="132"/>
      <c r="FC34" s="132"/>
      <c r="FD34" s="132"/>
      <c r="FE34" s="132"/>
      <c r="FF34" s="37"/>
      <c r="FG34" s="132"/>
      <c r="FH34" s="132"/>
      <c r="FI34" s="132"/>
      <c r="FJ34" s="132"/>
      <c r="FK34" s="132"/>
      <c r="FL34" s="132"/>
      <c r="FM34" s="37"/>
      <c r="FN34" s="132"/>
      <c r="FO34" s="132"/>
      <c r="FP34" s="132"/>
      <c r="FQ34" s="132"/>
      <c r="FR34" s="132"/>
      <c r="FS34" s="132"/>
      <c r="FT34" s="37"/>
      <c r="FU34" s="132"/>
      <c r="FV34" s="132"/>
      <c r="FW34" s="132"/>
      <c r="FX34" s="132"/>
      <c r="FY34" s="132"/>
      <c r="FZ34" s="132"/>
      <c r="GA34" s="37"/>
      <c r="GB34" s="132"/>
      <c r="GC34" s="132"/>
      <c r="GD34" s="132"/>
      <c r="GE34" s="132"/>
      <c r="GF34" s="132"/>
      <c r="GG34" s="132"/>
      <c r="GH34" s="37"/>
      <c r="GI34" s="132"/>
      <c r="GJ34" s="132"/>
      <c r="GK34" s="132"/>
      <c r="GL34" s="132"/>
      <c r="GM34" s="132"/>
      <c r="GN34" s="132"/>
      <c r="GO34" s="37"/>
      <c r="GP34" s="132"/>
      <c r="GQ34" s="132"/>
      <c r="GR34" s="132"/>
      <c r="GS34" s="132"/>
      <c r="GT34" s="132"/>
      <c r="GU34" s="132"/>
      <c r="GV34" s="37"/>
      <c r="GW34" s="132"/>
      <c r="GX34" s="132"/>
      <c r="GY34" s="132"/>
      <c r="GZ34" s="132"/>
      <c r="HA34" s="132"/>
      <c r="HB34" s="132"/>
      <c r="HC34" s="37"/>
      <c r="HD34" s="132"/>
      <c r="HE34" s="132"/>
      <c r="HF34" s="132"/>
      <c r="HG34" s="132"/>
      <c r="HH34" s="132"/>
      <c r="HI34" s="132"/>
      <c r="HJ34" s="37"/>
      <c r="HK34" s="132"/>
      <c r="HL34" s="132"/>
      <c r="HM34" s="132"/>
      <c r="HN34" s="132"/>
      <c r="HO34" s="132"/>
      <c r="HP34" s="132"/>
      <c r="HQ34" s="37"/>
      <c r="HR34" s="132"/>
      <c r="HS34" s="132"/>
      <c r="HT34" s="132"/>
      <c r="HU34" s="132"/>
      <c r="HV34" s="132"/>
      <c r="HW34" s="132"/>
      <c r="HX34" s="37"/>
      <c r="HY34" s="132"/>
      <c r="HZ34" s="132"/>
      <c r="IA34" s="132"/>
      <c r="IB34" s="132"/>
      <c r="IC34" s="132"/>
      <c r="ID34" s="132"/>
      <c r="IE34" s="37"/>
      <c r="IF34" s="132"/>
      <c r="IG34" s="132"/>
      <c r="IH34" s="132"/>
      <c r="II34" s="132"/>
      <c r="IJ34" s="132"/>
      <c r="IK34" s="132"/>
      <c r="IL34" s="37"/>
      <c r="IM34" s="132"/>
      <c r="IN34" s="132"/>
      <c r="IO34" s="132"/>
      <c r="IP34" s="132"/>
      <c r="IQ34" s="132"/>
      <c r="IR34" s="132"/>
      <c r="IS34" s="37"/>
      <c r="IT34" s="132"/>
      <c r="IU34" s="132"/>
      <c r="IV34" s="132"/>
      <c r="IW34" s="132"/>
      <c r="IX34" s="132"/>
      <c r="IY34" s="132"/>
      <c r="IZ34" s="37"/>
      <c r="JA34" s="132"/>
      <c r="JB34" s="132"/>
      <c r="JC34" s="132"/>
      <c r="JD34" s="132"/>
      <c r="JE34" s="132"/>
      <c r="JF34" s="132"/>
      <c r="JG34" s="37"/>
      <c r="JH34" s="132"/>
      <c r="JI34" s="132"/>
      <c r="JJ34" s="132"/>
      <c r="JK34" s="132"/>
      <c r="JL34" s="132"/>
      <c r="JM34" s="132"/>
      <c r="JN34" s="37"/>
      <c r="JO34" s="132"/>
      <c r="JP34" s="132"/>
      <c r="JQ34" s="132"/>
      <c r="JR34" s="132"/>
      <c r="JS34" s="132"/>
      <c r="JT34" s="132"/>
      <c r="JU34" s="37"/>
      <c r="JV34" s="132"/>
      <c r="JW34" s="132"/>
      <c r="JX34" s="132"/>
      <c r="JY34" s="132"/>
      <c r="JZ34" s="132"/>
      <c r="KA34" s="132"/>
      <c r="KB34" s="37"/>
      <c r="KC34" s="132"/>
      <c r="KD34" s="132"/>
      <c r="KE34" s="132"/>
      <c r="KF34" s="132"/>
      <c r="KG34" s="132"/>
      <c r="KH34" s="132"/>
      <c r="KI34" s="37"/>
      <c r="KJ34" s="132"/>
      <c r="KK34" s="132"/>
      <c r="KL34" s="132"/>
      <c r="KM34" s="132"/>
      <c r="KN34" s="132"/>
      <c r="KO34" s="132"/>
      <c r="KP34" s="37"/>
      <c r="KQ34" s="132"/>
      <c r="KR34" s="132"/>
      <c r="KS34" s="132"/>
      <c r="KT34" s="132"/>
      <c r="KU34" s="132"/>
      <c r="KV34" s="132"/>
      <c r="KW34" s="37"/>
      <c r="KX34" s="132"/>
      <c r="KY34" s="132"/>
      <c r="KZ34" s="132"/>
      <c r="LA34" s="132"/>
      <c r="LB34" s="132"/>
      <c r="LC34" s="132"/>
      <c r="LD34" s="37"/>
      <c r="LE34" s="132"/>
      <c r="LF34" s="132"/>
      <c r="LG34" s="132"/>
      <c r="LH34" s="132"/>
      <c r="LI34" s="132"/>
      <c r="LJ34" s="132"/>
      <c r="LK34" s="37"/>
      <c r="LL34" s="132"/>
      <c r="LM34" s="132"/>
      <c r="LN34" s="132"/>
      <c r="LO34" s="132"/>
      <c r="LP34" s="132"/>
      <c r="LQ34" s="132"/>
      <c r="LR34" s="37"/>
      <c r="LS34" s="132"/>
      <c r="LT34" s="132"/>
      <c r="LU34" s="132"/>
      <c r="LV34" s="132"/>
      <c r="LW34" s="132"/>
      <c r="LX34" s="132"/>
      <c r="LY34" s="37"/>
      <c r="LZ34" s="132"/>
      <c r="MA34" s="132"/>
      <c r="MB34" s="132"/>
      <c r="MC34" s="132"/>
      <c r="MD34" s="132"/>
      <c r="ME34" s="132"/>
      <c r="MF34" s="37"/>
    </row>
    <row r="35" spans="1:344" ht="66" hidden="1" customHeight="1" x14ac:dyDescent="0.25">
      <c r="A35" s="19"/>
      <c r="B35" s="19"/>
      <c r="C35" s="19"/>
      <c r="D35" s="19"/>
      <c r="E35" s="9"/>
      <c r="F35" s="19"/>
      <c r="G35" s="19"/>
      <c r="H35" s="19"/>
      <c r="I35" s="19"/>
      <c r="J35" s="19"/>
      <c r="K35" s="19"/>
      <c r="L35" s="19"/>
      <c r="M35" s="19"/>
      <c r="N35" s="19"/>
      <c r="O35" s="9"/>
      <c r="P35" s="124" t="s">
        <v>416</v>
      </c>
      <c r="Q35" s="125" t="s">
        <v>416</v>
      </c>
      <c r="R35" s="126"/>
      <c r="S35" s="49">
        <f t="shared" ref="S35:AX35" si="338">S1</f>
        <v>43975</v>
      </c>
      <c r="T35" s="49">
        <f t="shared" si="338"/>
        <v>43976</v>
      </c>
      <c r="U35" s="49">
        <f t="shared" si="338"/>
        <v>43977</v>
      </c>
      <c r="V35" s="49">
        <f t="shared" si="338"/>
        <v>43978</v>
      </c>
      <c r="W35" s="49">
        <f t="shared" si="338"/>
        <v>43979</v>
      </c>
      <c r="X35" s="49">
        <f t="shared" si="338"/>
        <v>43980</v>
      </c>
      <c r="Y35" s="49">
        <f t="shared" si="338"/>
        <v>43981</v>
      </c>
      <c r="Z35" s="49">
        <f t="shared" si="338"/>
        <v>43982</v>
      </c>
      <c r="AA35" s="49">
        <f t="shared" si="338"/>
        <v>43983</v>
      </c>
      <c r="AB35" s="49">
        <f t="shared" si="338"/>
        <v>43984</v>
      </c>
      <c r="AC35" s="49">
        <f t="shared" si="338"/>
        <v>43985</v>
      </c>
      <c r="AD35" s="49">
        <f t="shared" si="338"/>
        <v>43986</v>
      </c>
      <c r="AE35" s="49">
        <f t="shared" si="338"/>
        <v>43987</v>
      </c>
      <c r="AF35" s="49">
        <f t="shared" si="338"/>
        <v>43988</v>
      </c>
      <c r="AG35" s="49">
        <f t="shared" si="338"/>
        <v>43989</v>
      </c>
      <c r="AH35" s="49">
        <f t="shared" si="338"/>
        <v>43990</v>
      </c>
      <c r="AI35" s="49">
        <f t="shared" si="338"/>
        <v>43991</v>
      </c>
      <c r="AJ35" s="49">
        <f t="shared" si="338"/>
        <v>43992</v>
      </c>
      <c r="AK35" s="49">
        <f t="shared" si="338"/>
        <v>43993</v>
      </c>
      <c r="AL35" s="49">
        <f t="shared" si="338"/>
        <v>43994</v>
      </c>
      <c r="AM35" s="49">
        <f t="shared" si="338"/>
        <v>43995</v>
      </c>
      <c r="AN35" s="49">
        <f t="shared" si="338"/>
        <v>43996</v>
      </c>
      <c r="AO35" s="49">
        <f t="shared" si="338"/>
        <v>43997</v>
      </c>
      <c r="AP35" s="49">
        <f t="shared" si="338"/>
        <v>43998</v>
      </c>
      <c r="AQ35" s="49">
        <f t="shared" si="338"/>
        <v>43999</v>
      </c>
      <c r="AR35" s="49">
        <f t="shared" si="338"/>
        <v>44000</v>
      </c>
      <c r="AS35" s="49">
        <f t="shared" si="338"/>
        <v>44001</v>
      </c>
      <c r="AT35" s="49">
        <f t="shared" si="338"/>
        <v>44002</v>
      </c>
      <c r="AU35" s="49">
        <f t="shared" si="338"/>
        <v>44003</v>
      </c>
      <c r="AV35" s="49">
        <f t="shared" si="338"/>
        <v>44004</v>
      </c>
      <c r="AW35" s="49">
        <f t="shared" si="338"/>
        <v>44005</v>
      </c>
      <c r="AX35" s="49">
        <f t="shared" si="338"/>
        <v>44006</v>
      </c>
      <c r="AY35" s="49">
        <f t="shared" ref="AY35:BW35" si="339">AY1</f>
        <v>44007</v>
      </c>
      <c r="AZ35" s="49">
        <f t="shared" si="339"/>
        <v>44008</v>
      </c>
      <c r="BA35" s="49">
        <f t="shared" si="339"/>
        <v>44009</v>
      </c>
      <c r="BB35" s="49">
        <f t="shared" si="339"/>
        <v>44010</v>
      </c>
      <c r="BC35" s="49">
        <f t="shared" si="339"/>
        <v>44011</v>
      </c>
      <c r="BD35" s="49">
        <f t="shared" si="339"/>
        <v>44012</v>
      </c>
      <c r="BE35" s="49">
        <f t="shared" si="339"/>
        <v>44013</v>
      </c>
      <c r="BF35" s="49">
        <f t="shared" si="339"/>
        <v>44014</v>
      </c>
      <c r="BG35" s="49">
        <f t="shared" si="339"/>
        <v>44015</v>
      </c>
      <c r="BH35" s="49">
        <f t="shared" si="339"/>
        <v>44016</v>
      </c>
      <c r="BI35" s="49">
        <f t="shared" si="339"/>
        <v>44017</v>
      </c>
      <c r="BJ35" s="49">
        <f t="shared" si="339"/>
        <v>44018</v>
      </c>
      <c r="BK35" s="49">
        <f t="shared" si="339"/>
        <v>44019</v>
      </c>
      <c r="BL35" s="49">
        <f t="shared" si="339"/>
        <v>44020</v>
      </c>
      <c r="BM35" s="49">
        <f t="shared" si="339"/>
        <v>44021</v>
      </c>
      <c r="BN35" s="49">
        <f t="shared" si="339"/>
        <v>44022</v>
      </c>
      <c r="BO35" s="49">
        <f t="shared" si="339"/>
        <v>44023</v>
      </c>
      <c r="BP35" s="49">
        <f t="shared" si="339"/>
        <v>44024</v>
      </c>
      <c r="BQ35" s="49">
        <f t="shared" si="339"/>
        <v>44025</v>
      </c>
      <c r="BR35" s="49">
        <f t="shared" si="339"/>
        <v>44026</v>
      </c>
      <c r="BS35" s="49">
        <f t="shared" si="339"/>
        <v>44027</v>
      </c>
      <c r="BT35" s="49">
        <f t="shared" si="339"/>
        <v>44028</v>
      </c>
      <c r="BU35" s="49">
        <f t="shared" si="339"/>
        <v>44029</v>
      </c>
      <c r="BV35" s="49">
        <f t="shared" si="339"/>
        <v>44030</v>
      </c>
      <c r="BW35" s="49">
        <f t="shared" si="339"/>
        <v>44031</v>
      </c>
      <c r="BX35" s="49"/>
      <c r="BY35" s="49"/>
      <c r="BZ35" s="49">
        <f t="shared" ref="BZ35:CF35" si="340">BZ1</f>
        <v>44032</v>
      </c>
      <c r="CA35" s="49">
        <f t="shared" si="340"/>
        <v>44033</v>
      </c>
      <c r="CB35" s="49">
        <f t="shared" si="340"/>
        <v>44034</v>
      </c>
      <c r="CC35" s="49">
        <f t="shared" si="340"/>
        <v>44035</v>
      </c>
      <c r="CD35" s="49">
        <f t="shared" si="340"/>
        <v>44036</v>
      </c>
      <c r="CE35" s="49">
        <f t="shared" si="340"/>
        <v>44037</v>
      </c>
      <c r="CF35" s="49">
        <f t="shared" si="340"/>
        <v>44038</v>
      </c>
      <c r="CG35" s="49"/>
      <c r="CH35" s="49"/>
      <c r="CI35" s="49">
        <f t="shared" ref="CI35:CO35" si="341">CI1</f>
        <v>44039</v>
      </c>
      <c r="CJ35" s="49">
        <f t="shared" si="341"/>
        <v>44040</v>
      </c>
      <c r="CK35" s="49">
        <f t="shared" si="341"/>
        <v>44041</v>
      </c>
      <c r="CL35" s="49">
        <f t="shared" si="341"/>
        <v>44042</v>
      </c>
      <c r="CM35" s="49">
        <f t="shared" si="341"/>
        <v>44043</v>
      </c>
      <c r="CN35" s="49">
        <f t="shared" si="341"/>
        <v>44044</v>
      </c>
      <c r="CO35" s="49">
        <f t="shared" si="341"/>
        <v>44045</v>
      </c>
      <c r="CP35" s="49"/>
      <c r="CQ35" s="49"/>
      <c r="CR35" s="49">
        <f t="shared" ref="CR35:FG35" si="342">CR1</f>
        <v>44046</v>
      </c>
      <c r="CS35" s="49">
        <f t="shared" si="342"/>
        <v>44047</v>
      </c>
      <c r="CT35" s="49">
        <f t="shared" si="342"/>
        <v>44048</v>
      </c>
      <c r="CU35" s="49">
        <f t="shared" si="342"/>
        <v>44049</v>
      </c>
      <c r="CV35" s="49">
        <f t="shared" si="342"/>
        <v>44050</v>
      </c>
      <c r="CW35" s="49">
        <f t="shared" si="342"/>
        <v>44051</v>
      </c>
      <c r="CX35" s="49">
        <f t="shared" si="342"/>
        <v>44052</v>
      </c>
      <c r="CY35" s="49"/>
      <c r="CZ35" s="49"/>
      <c r="DA35" s="49">
        <f t="shared" si="342"/>
        <v>44053</v>
      </c>
      <c r="DB35" s="49">
        <f t="shared" si="342"/>
        <v>44054</v>
      </c>
      <c r="DC35" s="49">
        <f t="shared" si="342"/>
        <v>44055</v>
      </c>
      <c r="DD35" s="49">
        <f t="shared" si="342"/>
        <v>44056</v>
      </c>
      <c r="DE35" s="49">
        <f t="shared" si="342"/>
        <v>44057</v>
      </c>
      <c r="DF35" s="49">
        <f t="shared" si="342"/>
        <v>44058</v>
      </c>
      <c r="DG35" s="49">
        <f t="shared" si="342"/>
        <v>44059</v>
      </c>
      <c r="DH35" s="49"/>
      <c r="DI35" s="49"/>
      <c r="DJ35" s="49">
        <f t="shared" si="342"/>
        <v>44060</v>
      </c>
      <c r="DK35" s="49">
        <f t="shared" si="342"/>
        <v>44061</v>
      </c>
      <c r="DL35" s="49">
        <f t="shared" si="342"/>
        <v>44062</v>
      </c>
      <c r="DM35" s="49">
        <f t="shared" si="342"/>
        <v>44063</v>
      </c>
      <c r="DN35" s="49">
        <f t="shared" si="342"/>
        <v>44064</v>
      </c>
      <c r="DO35" s="49">
        <f t="shared" si="342"/>
        <v>44065</v>
      </c>
      <c r="DP35" s="49">
        <f t="shared" si="342"/>
        <v>44066</v>
      </c>
      <c r="DQ35" s="49">
        <f t="shared" si="342"/>
        <v>44067</v>
      </c>
      <c r="DR35" s="49">
        <f t="shared" si="342"/>
        <v>44068</v>
      </c>
      <c r="DS35" s="49">
        <f t="shared" si="342"/>
        <v>44069</v>
      </c>
      <c r="DT35" s="49">
        <f t="shared" si="342"/>
        <v>44070</v>
      </c>
      <c r="DU35" s="49">
        <f t="shared" si="342"/>
        <v>44071</v>
      </c>
      <c r="DV35" s="49">
        <f t="shared" si="342"/>
        <v>44072</v>
      </c>
      <c r="DW35" s="49">
        <f t="shared" si="342"/>
        <v>44073</v>
      </c>
      <c r="DX35" s="49">
        <f t="shared" si="342"/>
        <v>44074</v>
      </c>
      <c r="DY35" s="49">
        <f t="shared" si="342"/>
        <v>44075</v>
      </c>
      <c r="DZ35" s="49">
        <f t="shared" si="342"/>
        <v>44076</v>
      </c>
      <c r="EA35" s="49">
        <f t="shared" si="342"/>
        <v>44077</v>
      </c>
      <c r="EB35" s="49">
        <f t="shared" si="342"/>
        <v>44078</v>
      </c>
      <c r="EC35" s="49">
        <f t="shared" si="342"/>
        <v>44079</v>
      </c>
      <c r="ED35" s="49">
        <f t="shared" si="342"/>
        <v>44080</v>
      </c>
      <c r="EE35" s="49">
        <f t="shared" si="342"/>
        <v>44081</v>
      </c>
      <c r="EF35" s="49">
        <f t="shared" si="342"/>
        <v>44082</v>
      </c>
      <c r="EG35" s="49">
        <f t="shared" si="342"/>
        <v>44083</v>
      </c>
      <c r="EH35" s="49">
        <f t="shared" si="342"/>
        <v>44084</v>
      </c>
      <c r="EI35" s="49">
        <f t="shared" si="342"/>
        <v>44085</v>
      </c>
      <c r="EJ35" s="49">
        <f t="shared" si="342"/>
        <v>44086</v>
      </c>
      <c r="EK35" s="49">
        <f t="shared" si="342"/>
        <v>44087</v>
      </c>
      <c r="EL35" s="49">
        <f t="shared" si="342"/>
        <v>44088</v>
      </c>
      <c r="EM35" s="49">
        <f t="shared" si="342"/>
        <v>44089</v>
      </c>
      <c r="EN35" s="49">
        <f t="shared" si="342"/>
        <v>44090</v>
      </c>
      <c r="EO35" s="49">
        <f t="shared" si="342"/>
        <v>44091</v>
      </c>
      <c r="EP35" s="49">
        <f t="shared" si="342"/>
        <v>44092</v>
      </c>
      <c r="EQ35" s="49">
        <f t="shared" si="342"/>
        <v>44093</v>
      </c>
      <c r="ER35" s="49">
        <f t="shared" si="342"/>
        <v>44094</v>
      </c>
      <c r="ES35" s="49">
        <f t="shared" si="342"/>
        <v>44095</v>
      </c>
      <c r="ET35" s="49">
        <f t="shared" si="342"/>
        <v>44096</v>
      </c>
      <c r="EU35" s="49">
        <f t="shared" si="342"/>
        <v>44097</v>
      </c>
      <c r="EV35" s="49">
        <f t="shared" si="342"/>
        <v>44098</v>
      </c>
      <c r="EW35" s="49">
        <f t="shared" si="342"/>
        <v>44099</v>
      </c>
      <c r="EX35" s="49">
        <f t="shared" si="342"/>
        <v>44100</v>
      </c>
      <c r="EY35" s="49">
        <f t="shared" si="342"/>
        <v>44101</v>
      </c>
      <c r="EZ35" s="49">
        <f t="shared" si="342"/>
        <v>44102</v>
      </c>
      <c r="FA35" s="49">
        <f t="shared" si="342"/>
        <v>44103</v>
      </c>
      <c r="FB35" s="49">
        <f t="shared" si="342"/>
        <v>44104</v>
      </c>
      <c r="FC35" s="49">
        <f t="shared" si="342"/>
        <v>44105</v>
      </c>
      <c r="FD35" s="49">
        <f t="shared" si="342"/>
        <v>44106</v>
      </c>
      <c r="FE35" s="49">
        <f t="shared" si="342"/>
        <v>44107</v>
      </c>
      <c r="FF35" s="49">
        <f t="shared" si="342"/>
        <v>44108</v>
      </c>
      <c r="FG35" s="49">
        <f t="shared" si="342"/>
        <v>44109</v>
      </c>
      <c r="FH35" s="49">
        <f t="shared" ref="FH35:HS35" si="343">FH1</f>
        <v>44110</v>
      </c>
      <c r="FI35" s="49">
        <f t="shared" si="343"/>
        <v>44111</v>
      </c>
      <c r="FJ35" s="49">
        <f t="shared" si="343"/>
        <v>44112</v>
      </c>
      <c r="FK35" s="49">
        <f t="shared" si="343"/>
        <v>44113</v>
      </c>
      <c r="FL35" s="49">
        <f t="shared" si="343"/>
        <v>44114</v>
      </c>
      <c r="FM35" s="49">
        <f t="shared" si="343"/>
        <v>44115</v>
      </c>
      <c r="FN35" s="49">
        <f t="shared" si="343"/>
        <v>44116</v>
      </c>
      <c r="FO35" s="49">
        <f t="shared" si="343"/>
        <v>44117</v>
      </c>
      <c r="FP35" s="49">
        <f t="shared" si="343"/>
        <v>44118</v>
      </c>
      <c r="FQ35" s="49">
        <f t="shared" si="343"/>
        <v>44119</v>
      </c>
      <c r="FR35" s="49">
        <f t="shared" si="343"/>
        <v>44120</v>
      </c>
      <c r="FS35" s="49">
        <f t="shared" si="343"/>
        <v>44121</v>
      </c>
      <c r="FT35" s="49">
        <f t="shared" si="343"/>
        <v>44122</v>
      </c>
      <c r="FU35" s="49">
        <f t="shared" si="343"/>
        <v>44123</v>
      </c>
      <c r="FV35" s="49">
        <f t="shared" si="343"/>
        <v>44124</v>
      </c>
      <c r="FW35" s="49">
        <f t="shared" si="343"/>
        <v>44125</v>
      </c>
      <c r="FX35" s="49">
        <f t="shared" si="343"/>
        <v>44126</v>
      </c>
      <c r="FY35" s="49">
        <f t="shared" si="343"/>
        <v>44127</v>
      </c>
      <c r="FZ35" s="49">
        <f t="shared" si="343"/>
        <v>44128</v>
      </c>
      <c r="GA35" s="49">
        <f t="shared" si="343"/>
        <v>44129</v>
      </c>
      <c r="GB35" s="49">
        <f t="shared" si="343"/>
        <v>44130</v>
      </c>
      <c r="GC35" s="49">
        <f t="shared" si="343"/>
        <v>44131</v>
      </c>
      <c r="GD35" s="49">
        <f t="shared" si="343"/>
        <v>44132</v>
      </c>
      <c r="GE35" s="49">
        <f t="shared" si="343"/>
        <v>44133</v>
      </c>
      <c r="GF35" s="49">
        <f t="shared" si="343"/>
        <v>44134</v>
      </c>
      <c r="GG35" s="49">
        <f t="shared" si="343"/>
        <v>44135</v>
      </c>
      <c r="GH35" s="49">
        <f t="shared" si="343"/>
        <v>44136</v>
      </c>
      <c r="GI35" s="49">
        <f t="shared" si="343"/>
        <v>44137</v>
      </c>
      <c r="GJ35" s="49">
        <f t="shared" si="343"/>
        <v>44138</v>
      </c>
      <c r="GK35" s="49">
        <f t="shared" si="343"/>
        <v>44139</v>
      </c>
      <c r="GL35" s="49">
        <f t="shared" si="343"/>
        <v>44140</v>
      </c>
      <c r="GM35" s="49">
        <f t="shared" si="343"/>
        <v>44141</v>
      </c>
      <c r="GN35" s="49">
        <f t="shared" si="343"/>
        <v>44142</v>
      </c>
      <c r="GO35" s="49">
        <f t="shared" si="343"/>
        <v>44143</v>
      </c>
      <c r="GP35" s="49">
        <f t="shared" si="343"/>
        <v>44144</v>
      </c>
      <c r="GQ35" s="49">
        <f t="shared" si="343"/>
        <v>44145</v>
      </c>
      <c r="GR35" s="49">
        <f t="shared" si="343"/>
        <v>44146</v>
      </c>
      <c r="GS35" s="49">
        <f t="shared" si="343"/>
        <v>44147</v>
      </c>
      <c r="GT35" s="49">
        <f t="shared" si="343"/>
        <v>44148</v>
      </c>
      <c r="GU35" s="49">
        <f t="shared" si="343"/>
        <v>44149</v>
      </c>
      <c r="GV35" s="49">
        <f t="shared" si="343"/>
        <v>44150</v>
      </c>
      <c r="GW35" s="49">
        <f t="shared" si="343"/>
        <v>44151</v>
      </c>
      <c r="GX35" s="49">
        <f t="shared" si="343"/>
        <v>44152</v>
      </c>
      <c r="GY35" s="49">
        <f t="shared" si="343"/>
        <v>44153</v>
      </c>
      <c r="GZ35" s="49">
        <f t="shared" si="343"/>
        <v>44154</v>
      </c>
      <c r="HA35" s="49">
        <f t="shared" si="343"/>
        <v>44155</v>
      </c>
      <c r="HB35" s="49">
        <f t="shared" si="343"/>
        <v>44156</v>
      </c>
      <c r="HC35" s="49">
        <f t="shared" si="343"/>
        <v>44157</v>
      </c>
      <c r="HD35" s="49">
        <f t="shared" si="343"/>
        <v>44158</v>
      </c>
      <c r="HE35" s="49">
        <f t="shared" si="343"/>
        <v>44159</v>
      </c>
      <c r="HF35" s="49">
        <f t="shared" si="343"/>
        <v>44160</v>
      </c>
      <c r="HG35" s="49">
        <f t="shared" si="343"/>
        <v>44161</v>
      </c>
      <c r="HH35" s="49">
        <f t="shared" si="343"/>
        <v>44162</v>
      </c>
      <c r="HI35" s="49">
        <f t="shared" si="343"/>
        <v>44163</v>
      </c>
      <c r="HJ35" s="49">
        <f t="shared" si="343"/>
        <v>44164</v>
      </c>
      <c r="HK35" s="49">
        <f t="shared" si="343"/>
        <v>44165</v>
      </c>
      <c r="HL35" s="49">
        <f t="shared" si="343"/>
        <v>44166</v>
      </c>
      <c r="HM35" s="49">
        <f t="shared" si="343"/>
        <v>44167</v>
      </c>
      <c r="HN35" s="49">
        <f t="shared" si="343"/>
        <v>44168</v>
      </c>
      <c r="HO35" s="49">
        <f t="shared" si="343"/>
        <v>44169</v>
      </c>
      <c r="HP35" s="49">
        <f t="shared" si="343"/>
        <v>44170</v>
      </c>
      <c r="HQ35" s="49">
        <f t="shared" si="343"/>
        <v>44171</v>
      </c>
      <c r="HR35" s="49">
        <f t="shared" si="343"/>
        <v>44172</v>
      </c>
      <c r="HS35" s="49">
        <f t="shared" si="343"/>
        <v>44173</v>
      </c>
      <c r="HT35" s="49">
        <f t="shared" ref="HT35:KE35" si="344">HT1</f>
        <v>44174</v>
      </c>
      <c r="HU35" s="49">
        <f t="shared" si="344"/>
        <v>44175</v>
      </c>
      <c r="HV35" s="49">
        <f t="shared" si="344"/>
        <v>44176</v>
      </c>
      <c r="HW35" s="49">
        <f t="shared" si="344"/>
        <v>44177</v>
      </c>
      <c r="HX35" s="49">
        <f t="shared" si="344"/>
        <v>44178</v>
      </c>
      <c r="HY35" s="49">
        <f t="shared" si="344"/>
        <v>44179</v>
      </c>
      <c r="HZ35" s="49">
        <f t="shared" si="344"/>
        <v>44180</v>
      </c>
      <c r="IA35" s="49">
        <f t="shared" si="344"/>
        <v>44181</v>
      </c>
      <c r="IB35" s="49">
        <f t="shared" si="344"/>
        <v>44182</v>
      </c>
      <c r="IC35" s="49">
        <f t="shared" si="344"/>
        <v>44183</v>
      </c>
      <c r="ID35" s="49">
        <f t="shared" si="344"/>
        <v>44184</v>
      </c>
      <c r="IE35" s="49">
        <f t="shared" si="344"/>
        <v>44185</v>
      </c>
      <c r="IF35" s="49">
        <f t="shared" si="344"/>
        <v>44186</v>
      </c>
      <c r="IG35" s="49">
        <f t="shared" si="344"/>
        <v>44187</v>
      </c>
      <c r="IH35" s="49">
        <f t="shared" si="344"/>
        <v>44188</v>
      </c>
      <c r="II35" s="49">
        <f t="shared" si="344"/>
        <v>44189</v>
      </c>
      <c r="IJ35" s="49">
        <f t="shared" si="344"/>
        <v>44190</v>
      </c>
      <c r="IK35" s="49">
        <f t="shared" si="344"/>
        <v>44191</v>
      </c>
      <c r="IL35" s="49">
        <f t="shared" si="344"/>
        <v>44192</v>
      </c>
      <c r="IM35" s="49">
        <f t="shared" si="344"/>
        <v>44193</v>
      </c>
      <c r="IN35" s="49">
        <f t="shared" si="344"/>
        <v>44194</v>
      </c>
      <c r="IO35" s="49">
        <f t="shared" si="344"/>
        <v>44195</v>
      </c>
      <c r="IP35" s="49">
        <f t="shared" si="344"/>
        <v>44196</v>
      </c>
      <c r="IQ35" s="49">
        <f t="shared" si="344"/>
        <v>44197</v>
      </c>
      <c r="IR35" s="49">
        <f t="shared" si="344"/>
        <v>44198</v>
      </c>
      <c r="IS35" s="49">
        <f t="shared" si="344"/>
        <v>44199</v>
      </c>
      <c r="IT35" s="49">
        <f t="shared" si="344"/>
        <v>44200</v>
      </c>
      <c r="IU35" s="49">
        <f t="shared" si="344"/>
        <v>44201</v>
      </c>
      <c r="IV35" s="49">
        <f t="shared" si="344"/>
        <v>44202</v>
      </c>
      <c r="IW35" s="49">
        <f t="shared" si="344"/>
        <v>44203</v>
      </c>
      <c r="IX35" s="49">
        <f t="shared" si="344"/>
        <v>44204</v>
      </c>
      <c r="IY35" s="49">
        <f t="shared" si="344"/>
        <v>44205</v>
      </c>
      <c r="IZ35" s="49">
        <f t="shared" si="344"/>
        <v>44206</v>
      </c>
      <c r="JA35" s="49">
        <f t="shared" si="344"/>
        <v>44207</v>
      </c>
      <c r="JB35" s="49">
        <f t="shared" si="344"/>
        <v>44208</v>
      </c>
      <c r="JC35" s="49">
        <f t="shared" si="344"/>
        <v>44209</v>
      </c>
      <c r="JD35" s="49">
        <f t="shared" si="344"/>
        <v>44210</v>
      </c>
      <c r="JE35" s="49">
        <f t="shared" si="344"/>
        <v>44211</v>
      </c>
      <c r="JF35" s="49">
        <f t="shared" si="344"/>
        <v>44212</v>
      </c>
      <c r="JG35" s="49">
        <f t="shared" si="344"/>
        <v>44213</v>
      </c>
      <c r="JH35" s="49">
        <f t="shared" si="344"/>
        <v>44214</v>
      </c>
      <c r="JI35" s="49">
        <f t="shared" si="344"/>
        <v>44215</v>
      </c>
      <c r="JJ35" s="49">
        <f t="shared" si="344"/>
        <v>44216</v>
      </c>
      <c r="JK35" s="49">
        <f t="shared" si="344"/>
        <v>44217</v>
      </c>
      <c r="JL35" s="49">
        <f t="shared" si="344"/>
        <v>44218</v>
      </c>
      <c r="JM35" s="49">
        <f t="shared" si="344"/>
        <v>44219</v>
      </c>
      <c r="JN35" s="49">
        <f t="shared" si="344"/>
        <v>44220</v>
      </c>
      <c r="JO35" s="49">
        <f t="shared" si="344"/>
        <v>44221</v>
      </c>
      <c r="JP35" s="49">
        <f t="shared" si="344"/>
        <v>44222</v>
      </c>
      <c r="JQ35" s="49">
        <f t="shared" si="344"/>
        <v>44223</v>
      </c>
      <c r="JR35" s="49">
        <f t="shared" si="344"/>
        <v>44224</v>
      </c>
      <c r="JS35" s="49">
        <f t="shared" si="344"/>
        <v>44225</v>
      </c>
      <c r="JT35" s="49">
        <f t="shared" si="344"/>
        <v>44226</v>
      </c>
      <c r="JU35" s="49">
        <f t="shared" si="344"/>
        <v>44227</v>
      </c>
      <c r="JV35" s="49">
        <f t="shared" si="344"/>
        <v>44228</v>
      </c>
      <c r="JW35" s="49">
        <f t="shared" si="344"/>
        <v>44229</v>
      </c>
      <c r="JX35" s="49">
        <f t="shared" si="344"/>
        <v>44230</v>
      </c>
      <c r="JY35" s="49">
        <f t="shared" si="344"/>
        <v>44231</v>
      </c>
      <c r="JZ35" s="49">
        <f t="shared" si="344"/>
        <v>44232</v>
      </c>
      <c r="KA35" s="49">
        <f t="shared" si="344"/>
        <v>44233</v>
      </c>
      <c r="KB35" s="49">
        <f t="shared" si="344"/>
        <v>44234</v>
      </c>
      <c r="KC35" s="49">
        <f t="shared" si="344"/>
        <v>44235</v>
      </c>
      <c r="KD35" s="49">
        <f t="shared" si="344"/>
        <v>44236</v>
      </c>
      <c r="KE35" s="49">
        <f t="shared" si="344"/>
        <v>44237</v>
      </c>
      <c r="KF35" s="49">
        <f t="shared" ref="KF35:MF35" si="345">KF1</f>
        <v>44238</v>
      </c>
      <c r="KG35" s="49">
        <f t="shared" si="345"/>
        <v>44239</v>
      </c>
      <c r="KH35" s="49">
        <f t="shared" si="345"/>
        <v>44240</v>
      </c>
      <c r="KI35" s="49">
        <f t="shared" si="345"/>
        <v>44241</v>
      </c>
      <c r="KJ35" s="49">
        <f t="shared" si="345"/>
        <v>44242</v>
      </c>
      <c r="KK35" s="49">
        <f t="shared" si="345"/>
        <v>44243</v>
      </c>
      <c r="KL35" s="49">
        <f t="shared" si="345"/>
        <v>44244</v>
      </c>
      <c r="KM35" s="49">
        <f t="shared" si="345"/>
        <v>44245</v>
      </c>
      <c r="KN35" s="49">
        <f t="shared" si="345"/>
        <v>44246</v>
      </c>
      <c r="KO35" s="49">
        <f t="shared" si="345"/>
        <v>44247</v>
      </c>
      <c r="KP35" s="49">
        <f t="shared" si="345"/>
        <v>44248</v>
      </c>
      <c r="KQ35" s="49">
        <f t="shared" si="345"/>
        <v>44249</v>
      </c>
      <c r="KR35" s="49">
        <f t="shared" si="345"/>
        <v>44250</v>
      </c>
      <c r="KS35" s="49">
        <f t="shared" si="345"/>
        <v>44251</v>
      </c>
      <c r="KT35" s="49">
        <f t="shared" si="345"/>
        <v>44252</v>
      </c>
      <c r="KU35" s="49">
        <f t="shared" si="345"/>
        <v>44253</v>
      </c>
      <c r="KV35" s="49">
        <f t="shared" si="345"/>
        <v>44254</v>
      </c>
      <c r="KW35" s="49">
        <f t="shared" si="345"/>
        <v>44255</v>
      </c>
      <c r="KX35" s="49">
        <f t="shared" si="345"/>
        <v>44256</v>
      </c>
      <c r="KY35" s="49">
        <f t="shared" si="345"/>
        <v>44257</v>
      </c>
      <c r="KZ35" s="49">
        <f t="shared" si="345"/>
        <v>44258</v>
      </c>
      <c r="LA35" s="49">
        <f t="shared" si="345"/>
        <v>44259</v>
      </c>
      <c r="LB35" s="49">
        <f t="shared" si="345"/>
        <v>44260</v>
      </c>
      <c r="LC35" s="49">
        <f t="shared" si="345"/>
        <v>44261</v>
      </c>
      <c r="LD35" s="49">
        <f t="shared" si="345"/>
        <v>44262</v>
      </c>
      <c r="LE35" s="49">
        <f t="shared" si="345"/>
        <v>44263</v>
      </c>
      <c r="LF35" s="49">
        <f t="shared" si="345"/>
        <v>44264</v>
      </c>
      <c r="LG35" s="49">
        <f t="shared" si="345"/>
        <v>44265</v>
      </c>
      <c r="LH35" s="49">
        <f t="shared" si="345"/>
        <v>44266</v>
      </c>
      <c r="LI35" s="49">
        <f t="shared" si="345"/>
        <v>44267</v>
      </c>
      <c r="LJ35" s="49">
        <f t="shared" si="345"/>
        <v>44268</v>
      </c>
      <c r="LK35" s="49">
        <f t="shared" si="345"/>
        <v>44269</v>
      </c>
      <c r="LL35" s="49">
        <f t="shared" si="345"/>
        <v>44270</v>
      </c>
      <c r="LM35" s="49">
        <f t="shared" si="345"/>
        <v>44271</v>
      </c>
      <c r="LN35" s="49">
        <f t="shared" si="345"/>
        <v>44272</v>
      </c>
      <c r="LO35" s="49">
        <f t="shared" si="345"/>
        <v>44273</v>
      </c>
      <c r="LP35" s="49">
        <f t="shared" si="345"/>
        <v>44274</v>
      </c>
      <c r="LQ35" s="49">
        <f t="shared" si="345"/>
        <v>44275</v>
      </c>
      <c r="LR35" s="49">
        <f t="shared" si="345"/>
        <v>44276</v>
      </c>
      <c r="LS35" s="49">
        <f t="shared" si="345"/>
        <v>44277</v>
      </c>
      <c r="LT35" s="49">
        <f t="shared" si="345"/>
        <v>44278</v>
      </c>
      <c r="LU35" s="49">
        <f t="shared" si="345"/>
        <v>44279</v>
      </c>
      <c r="LV35" s="49">
        <f t="shared" si="345"/>
        <v>44280</v>
      </c>
      <c r="LW35" s="49">
        <f t="shared" si="345"/>
        <v>44281</v>
      </c>
      <c r="LX35" s="49">
        <f t="shared" si="345"/>
        <v>44282</v>
      </c>
      <c r="LY35" s="49">
        <f t="shared" si="345"/>
        <v>44283</v>
      </c>
      <c r="LZ35" s="49">
        <f t="shared" si="345"/>
        <v>44284</v>
      </c>
      <c r="MA35" s="49">
        <f t="shared" si="345"/>
        <v>44285</v>
      </c>
      <c r="MB35" s="49">
        <f t="shared" si="345"/>
        <v>44286</v>
      </c>
      <c r="MC35" s="49">
        <f t="shared" si="345"/>
        <v>44287</v>
      </c>
      <c r="MD35" s="49">
        <f t="shared" si="345"/>
        <v>44288</v>
      </c>
      <c r="ME35" s="49">
        <f t="shared" si="345"/>
        <v>44289</v>
      </c>
      <c r="MF35" s="49">
        <f t="shared" si="345"/>
        <v>44290</v>
      </c>
    </row>
    <row r="36" spans="1:344" ht="15" customHeight="1" x14ac:dyDescent="0.25">
      <c r="A36" s="136" t="s">
        <v>144</v>
      </c>
      <c r="B36" s="136"/>
      <c r="C36" s="136"/>
      <c r="D36" s="136"/>
      <c r="E36" s="137"/>
      <c r="F36" s="36"/>
      <c r="G36" s="36"/>
      <c r="H36" s="36"/>
      <c r="I36" s="36"/>
      <c r="J36" s="36"/>
      <c r="K36" s="36"/>
      <c r="L36" s="36"/>
      <c r="M36" s="36"/>
      <c r="N36" s="36"/>
      <c r="O36" s="35"/>
      <c r="P36" s="147" t="s">
        <v>49</v>
      </c>
      <c r="Q36" s="147" t="s">
        <v>48</v>
      </c>
      <c r="R36" s="148"/>
      <c r="S36" s="54">
        <f>S35</f>
        <v>43975</v>
      </c>
      <c r="T36" s="55">
        <f t="shared" ref="T36:CI36" si="346">T35</f>
        <v>43976</v>
      </c>
      <c r="U36" s="54">
        <f t="shared" si="346"/>
        <v>43977</v>
      </c>
      <c r="V36" s="54">
        <f t="shared" si="346"/>
        <v>43978</v>
      </c>
      <c r="W36" s="54">
        <f t="shared" si="346"/>
        <v>43979</v>
      </c>
      <c r="X36" s="54">
        <f t="shared" si="346"/>
        <v>43980</v>
      </c>
      <c r="Y36" s="54">
        <f t="shared" si="346"/>
        <v>43981</v>
      </c>
      <c r="Z36" s="53">
        <f t="shared" si="346"/>
        <v>43982</v>
      </c>
      <c r="AA36" s="54">
        <f t="shared" si="346"/>
        <v>43983</v>
      </c>
      <c r="AB36" s="54">
        <f t="shared" si="346"/>
        <v>43984</v>
      </c>
      <c r="AC36" s="54">
        <f t="shared" si="346"/>
        <v>43985</v>
      </c>
      <c r="AD36" s="54">
        <f t="shared" si="346"/>
        <v>43986</v>
      </c>
      <c r="AE36" s="54">
        <f t="shared" si="346"/>
        <v>43987</v>
      </c>
      <c r="AF36" s="54">
        <f t="shared" si="346"/>
        <v>43988</v>
      </c>
      <c r="AG36" s="53">
        <f t="shared" si="346"/>
        <v>43989</v>
      </c>
      <c r="AH36" s="54">
        <f t="shared" si="346"/>
        <v>43990</v>
      </c>
      <c r="AI36" s="54">
        <f t="shared" si="346"/>
        <v>43991</v>
      </c>
      <c r="AJ36" s="54">
        <f t="shared" si="346"/>
        <v>43992</v>
      </c>
      <c r="AK36" s="54">
        <f t="shared" si="346"/>
        <v>43993</v>
      </c>
      <c r="AL36" s="54">
        <f t="shared" si="346"/>
        <v>43994</v>
      </c>
      <c r="AM36" s="54">
        <f t="shared" si="346"/>
        <v>43995</v>
      </c>
      <c r="AN36" s="53">
        <f t="shared" si="346"/>
        <v>43996</v>
      </c>
      <c r="AO36" s="54">
        <f t="shared" si="346"/>
        <v>43997</v>
      </c>
      <c r="AP36" s="54">
        <f t="shared" si="346"/>
        <v>43998</v>
      </c>
      <c r="AQ36" s="54">
        <f t="shared" si="346"/>
        <v>43999</v>
      </c>
      <c r="AR36" s="54">
        <f t="shared" si="346"/>
        <v>44000</v>
      </c>
      <c r="AS36" s="54">
        <f t="shared" si="346"/>
        <v>44001</v>
      </c>
      <c r="AT36" s="54">
        <f t="shared" si="346"/>
        <v>44002</v>
      </c>
      <c r="AU36" s="53">
        <f t="shared" si="346"/>
        <v>44003</v>
      </c>
      <c r="AV36" s="54">
        <f t="shared" si="346"/>
        <v>44004</v>
      </c>
      <c r="AW36" s="54">
        <f t="shared" si="346"/>
        <v>44005</v>
      </c>
      <c r="AX36" s="54">
        <f t="shared" si="346"/>
        <v>44006</v>
      </c>
      <c r="AY36" s="54">
        <f t="shared" si="346"/>
        <v>44007</v>
      </c>
      <c r="AZ36" s="54">
        <f t="shared" si="346"/>
        <v>44008</v>
      </c>
      <c r="BA36" s="54">
        <f t="shared" si="346"/>
        <v>44009</v>
      </c>
      <c r="BB36" s="53">
        <f t="shared" si="346"/>
        <v>44010</v>
      </c>
      <c r="BC36" s="54">
        <f t="shared" si="346"/>
        <v>44011</v>
      </c>
      <c r="BD36" s="54">
        <f t="shared" si="346"/>
        <v>44012</v>
      </c>
      <c r="BE36" s="54">
        <f t="shared" si="346"/>
        <v>44013</v>
      </c>
      <c r="BF36" s="54">
        <f t="shared" si="346"/>
        <v>44014</v>
      </c>
      <c r="BG36" s="54">
        <f t="shared" si="346"/>
        <v>44015</v>
      </c>
      <c r="BH36" s="54">
        <f t="shared" si="346"/>
        <v>44016</v>
      </c>
      <c r="BI36" s="53">
        <f t="shared" si="346"/>
        <v>44017</v>
      </c>
      <c r="BJ36" s="54">
        <f t="shared" si="346"/>
        <v>44018</v>
      </c>
      <c r="BK36" s="54">
        <f t="shared" si="346"/>
        <v>44019</v>
      </c>
      <c r="BL36" s="54">
        <f t="shared" si="346"/>
        <v>44020</v>
      </c>
      <c r="BM36" s="54">
        <f t="shared" si="346"/>
        <v>44021</v>
      </c>
      <c r="BN36" s="54">
        <f t="shared" si="346"/>
        <v>44022</v>
      </c>
      <c r="BO36" s="54">
        <f t="shared" si="346"/>
        <v>44023</v>
      </c>
      <c r="BP36" s="53">
        <v>12</v>
      </c>
      <c r="BQ36" s="54">
        <f t="shared" si="346"/>
        <v>44025</v>
      </c>
      <c r="BR36" s="54">
        <f t="shared" si="346"/>
        <v>44026</v>
      </c>
      <c r="BS36" s="54">
        <f t="shared" si="346"/>
        <v>44027</v>
      </c>
      <c r="BT36" s="54">
        <f t="shared" si="346"/>
        <v>44028</v>
      </c>
      <c r="BU36" s="54">
        <f t="shared" si="346"/>
        <v>44029</v>
      </c>
      <c r="BV36" s="54">
        <f t="shared" si="346"/>
        <v>44030</v>
      </c>
      <c r="BW36" s="54">
        <v>19</v>
      </c>
      <c r="BX36" s="54"/>
      <c r="BY36" s="53"/>
      <c r="BZ36" s="54">
        <f t="shared" si="346"/>
        <v>44032</v>
      </c>
      <c r="CA36" s="54">
        <f t="shared" si="346"/>
        <v>44033</v>
      </c>
      <c r="CB36" s="54">
        <f t="shared" si="346"/>
        <v>44034</v>
      </c>
      <c r="CC36" s="54">
        <f t="shared" si="346"/>
        <v>44035</v>
      </c>
      <c r="CD36" s="54">
        <f t="shared" si="346"/>
        <v>44036</v>
      </c>
      <c r="CE36" s="54">
        <f t="shared" si="346"/>
        <v>44037</v>
      </c>
      <c r="CF36" s="54">
        <f t="shared" si="346"/>
        <v>44038</v>
      </c>
      <c r="CG36" s="54"/>
      <c r="CH36" s="53"/>
      <c r="CI36" s="54">
        <f t="shared" si="346"/>
        <v>44039</v>
      </c>
      <c r="CJ36" s="54">
        <f t="shared" ref="CJ36:EZ36" si="347">CJ35</f>
        <v>44040</v>
      </c>
      <c r="CK36" s="54">
        <f t="shared" si="347"/>
        <v>44041</v>
      </c>
      <c r="CL36" s="54">
        <f t="shared" si="347"/>
        <v>44042</v>
      </c>
      <c r="CM36" s="54">
        <f t="shared" si="347"/>
        <v>44043</v>
      </c>
      <c r="CN36" s="54">
        <f t="shared" si="347"/>
        <v>44044</v>
      </c>
      <c r="CO36" s="54">
        <f t="shared" ref="CO36" si="348">CO35</f>
        <v>44045</v>
      </c>
      <c r="CP36" s="54"/>
      <c r="CQ36" s="53"/>
      <c r="CR36" s="54">
        <f t="shared" si="347"/>
        <v>44046</v>
      </c>
      <c r="CS36" s="54">
        <f t="shared" si="347"/>
        <v>44047</v>
      </c>
      <c r="CT36" s="54">
        <f t="shared" si="347"/>
        <v>44048</v>
      </c>
      <c r="CU36" s="54">
        <f t="shared" si="347"/>
        <v>44049</v>
      </c>
      <c r="CV36" s="54">
        <f t="shared" si="347"/>
        <v>44050</v>
      </c>
      <c r="CW36" s="54">
        <f t="shared" si="347"/>
        <v>44051</v>
      </c>
      <c r="CX36" s="54">
        <f t="shared" si="347"/>
        <v>44052</v>
      </c>
      <c r="CY36" s="54"/>
      <c r="CZ36" s="53"/>
      <c r="DA36" s="54">
        <f t="shared" si="347"/>
        <v>44053</v>
      </c>
      <c r="DB36" s="54">
        <f t="shared" si="347"/>
        <v>44054</v>
      </c>
      <c r="DC36" s="54">
        <f t="shared" si="347"/>
        <v>44055</v>
      </c>
      <c r="DD36" s="54">
        <f t="shared" si="347"/>
        <v>44056</v>
      </c>
      <c r="DE36" s="54">
        <f t="shared" si="347"/>
        <v>44057</v>
      </c>
      <c r="DF36" s="54">
        <f t="shared" si="347"/>
        <v>44058</v>
      </c>
      <c r="DG36" s="54"/>
      <c r="DH36" s="54"/>
      <c r="DI36" s="53"/>
      <c r="DJ36" s="54">
        <f t="shared" si="347"/>
        <v>44060</v>
      </c>
      <c r="DK36" s="54">
        <f t="shared" si="347"/>
        <v>44061</v>
      </c>
      <c r="DL36" s="54">
        <f t="shared" si="347"/>
        <v>44062</v>
      </c>
      <c r="DM36" s="54">
        <f t="shared" si="347"/>
        <v>44063</v>
      </c>
      <c r="DN36" s="54">
        <f t="shared" si="347"/>
        <v>44064</v>
      </c>
      <c r="DO36" s="54">
        <f t="shared" si="347"/>
        <v>44065</v>
      </c>
      <c r="DP36" s="53">
        <f t="shared" si="347"/>
        <v>44066</v>
      </c>
      <c r="DQ36" s="54">
        <f t="shared" si="347"/>
        <v>44067</v>
      </c>
      <c r="DR36" s="54">
        <f t="shared" si="347"/>
        <v>44068</v>
      </c>
      <c r="DS36" s="54">
        <f t="shared" si="347"/>
        <v>44069</v>
      </c>
      <c r="DT36" s="54">
        <f t="shared" si="347"/>
        <v>44070</v>
      </c>
      <c r="DU36" s="54">
        <f t="shared" si="347"/>
        <v>44071</v>
      </c>
      <c r="DV36" s="54">
        <f t="shared" si="347"/>
        <v>44072</v>
      </c>
      <c r="DW36" s="53">
        <f t="shared" si="347"/>
        <v>44073</v>
      </c>
      <c r="DX36" s="54">
        <f t="shared" si="347"/>
        <v>44074</v>
      </c>
      <c r="DY36" s="54">
        <f t="shared" si="347"/>
        <v>44075</v>
      </c>
      <c r="DZ36" s="54">
        <f t="shared" si="347"/>
        <v>44076</v>
      </c>
      <c r="EA36" s="54">
        <f t="shared" si="347"/>
        <v>44077</v>
      </c>
      <c r="EB36" s="54">
        <f t="shared" si="347"/>
        <v>44078</v>
      </c>
      <c r="EC36" s="54">
        <f t="shared" si="347"/>
        <v>44079</v>
      </c>
      <c r="ED36" s="53">
        <f t="shared" si="347"/>
        <v>44080</v>
      </c>
      <c r="EE36" s="54">
        <f t="shared" si="347"/>
        <v>44081</v>
      </c>
      <c r="EF36" s="54">
        <f t="shared" si="347"/>
        <v>44082</v>
      </c>
      <c r="EG36" s="54">
        <f t="shared" si="347"/>
        <v>44083</v>
      </c>
      <c r="EH36" s="54">
        <f t="shared" si="347"/>
        <v>44084</v>
      </c>
      <c r="EI36" s="54">
        <f t="shared" si="347"/>
        <v>44085</v>
      </c>
      <c r="EJ36" s="54">
        <f t="shared" si="347"/>
        <v>44086</v>
      </c>
      <c r="EK36" s="53">
        <f t="shared" si="347"/>
        <v>44087</v>
      </c>
      <c r="EL36" s="54">
        <f t="shared" si="347"/>
        <v>44088</v>
      </c>
      <c r="EM36" s="54">
        <f t="shared" si="347"/>
        <v>44089</v>
      </c>
      <c r="EN36" s="54">
        <f t="shared" si="347"/>
        <v>44090</v>
      </c>
      <c r="EO36" s="54">
        <f t="shared" si="347"/>
        <v>44091</v>
      </c>
      <c r="EP36" s="54">
        <f t="shared" si="347"/>
        <v>44092</v>
      </c>
      <c r="EQ36" s="54">
        <f t="shared" si="347"/>
        <v>44093</v>
      </c>
      <c r="ER36" s="53">
        <f t="shared" si="347"/>
        <v>44094</v>
      </c>
      <c r="ES36" s="54">
        <f t="shared" si="347"/>
        <v>44095</v>
      </c>
      <c r="ET36" s="54">
        <f t="shared" si="347"/>
        <v>44096</v>
      </c>
      <c r="EU36" s="54">
        <f t="shared" si="347"/>
        <v>44097</v>
      </c>
      <c r="EV36" s="54">
        <f t="shared" si="347"/>
        <v>44098</v>
      </c>
      <c r="EW36" s="54">
        <f t="shared" si="347"/>
        <v>44099</v>
      </c>
      <c r="EX36" s="54">
        <f t="shared" si="347"/>
        <v>44100</v>
      </c>
      <c r="EY36" s="53">
        <f t="shared" si="347"/>
        <v>44101</v>
      </c>
      <c r="EZ36" s="54">
        <f t="shared" si="347"/>
        <v>44102</v>
      </c>
      <c r="FA36" s="54">
        <f t="shared" ref="FA36:HL36" si="349">FA35</f>
        <v>44103</v>
      </c>
      <c r="FB36" s="54">
        <f t="shared" si="349"/>
        <v>44104</v>
      </c>
      <c r="FC36" s="54">
        <f t="shared" si="349"/>
        <v>44105</v>
      </c>
      <c r="FD36" s="54">
        <f t="shared" si="349"/>
        <v>44106</v>
      </c>
      <c r="FE36" s="54">
        <f t="shared" si="349"/>
        <v>44107</v>
      </c>
      <c r="FF36" s="53">
        <f t="shared" si="349"/>
        <v>44108</v>
      </c>
      <c r="FG36" s="54">
        <f t="shared" si="349"/>
        <v>44109</v>
      </c>
      <c r="FH36" s="54">
        <f t="shared" si="349"/>
        <v>44110</v>
      </c>
      <c r="FI36" s="54">
        <f t="shared" si="349"/>
        <v>44111</v>
      </c>
      <c r="FJ36" s="54">
        <f t="shared" si="349"/>
        <v>44112</v>
      </c>
      <c r="FK36" s="54">
        <f t="shared" si="349"/>
        <v>44113</v>
      </c>
      <c r="FL36" s="54">
        <f t="shared" si="349"/>
        <v>44114</v>
      </c>
      <c r="FM36" s="53">
        <f t="shared" si="349"/>
        <v>44115</v>
      </c>
      <c r="FN36" s="54">
        <f t="shared" si="349"/>
        <v>44116</v>
      </c>
      <c r="FO36" s="54">
        <f t="shared" si="349"/>
        <v>44117</v>
      </c>
      <c r="FP36" s="54">
        <f t="shared" si="349"/>
        <v>44118</v>
      </c>
      <c r="FQ36" s="54">
        <f t="shared" si="349"/>
        <v>44119</v>
      </c>
      <c r="FR36" s="54">
        <f t="shared" si="349"/>
        <v>44120</v>
      </c>
      <c r="FS36" s="54">
        <f t="shared" si="349"/>
        <v>44121</v>
      </c>
      <c r="FT36" s="53">
        <f t="shared" si="349"/>
        <v>44122</v>
      </c>
      <c r="FU36" s="54">
        <f t="shared" si="349"/>
        <v>44123</v>
      </c>
      <c r="FV36" s="54">
        <f t="shared" si="349"/>
        <v>44124</v>
      </c>
      <c r="FW36" s="54">
        <f t="shared" si="349"/>
        <v>44125</v>
      </c>
      <c r="FX36" s="54">
        <f t="shared" si="349"/>
        <v>44126</v>
      </c>
      <c r="FY36" s="54">
        <f t="shared" si="349"/>
        <v>44127</v>
      </c>
      <c r="FZ36" s="54">
        <f t="shared" si="349"/>
        <v>44128</v>
      </c>
      <c r="GA36" s="53">
        <f t="shared" si="349"/>
        <v>44129</v>
      </c>
      <c r="GB36" s="54">
        <f t="shared" si="349"/>
        <v>44130</v>
      </c>
      <c r="GC36" s="54">
        <f t="shared" si="349"/>
        <v>44131</v>
      </c>
      <c r="GD36" s="54">
        <f t="shared" si="349"/>
        <v>44132</v>
      </c>
      <c r="GE36" s="54">
        <f t="shared" si="349"/>
        <v>44133</v>
      </c>
      <c r="GF36" s="54">
        <f t="shared" si="349"/>
        <v>44134</v>
      </c>
      <c r="GG36" s="54">
        <f t="shared" si="349"/>
        <v>44135</v>
      </c>
      <c r="GH36" s="53">
        <f t="shared" si="349"/>
        <v>44136</v>
      </c>
      <c r="GI36" s="54">
        <f t="shared" si="349"/>
        <v>44137</v>
      </c>
      <c r="GJ36" s="54">
        <f t="shared" si="349"/>
        <v>44138</v>
      </c>
      <c r="GK36" s="54">
        <f t="shared" si="349"/>
        <v>44139</v>
      </c>
      <c r="GL36" s="54">
        <f t="shared" si="349"/>
        <v>44140</v>
      </c>
      <c r="GM36" s="54">
        <f t="shared" si="349"/>
        <v>44141</v>
      </c>
      <c r="GN36" s="54">
        <f t="shared" si="349"/>
        <v>44142</v>
      </c>
      <c r="GO36" s="53">
        <f t="shared" si="349"/>
        <v>44143</v>
      </c>
      <c r="GP36" s="54">
        <f t="shared" si="349"/>
        <v>44144</v>
      </c>
      <c r="GQ36" s="54">
        <f t="shared" si="349"/>
        <v>44145</v>
      </c>
      <c r="GR36" s="54">
        <f t="shared" si="349"/>
        <v>44146</v>
      </c>
      <c r="GS36" s="54">
        <f t="shared" si="349"/>
        <v>44147</v>
      </c>
      <c r="GT36" s="54">
        <f t="shared" si="349"/>
        <v>44148</v>
      </c>
      <c r="GU36" s="54">
        <f t="shared" si="349"/>
        <v>44149</v>
      </c>
      <c r="GV36" s="53">
        <f t="shared" si="349"/>
        <v>44150</v>
      </c>
      <c r="GW36" s="54">
        <f t="shared" si="349"/>
        <v>44151</v>
      </c>
      <c r="GX36" s="54">
        <f t="shared" si="349"/>
        <v>44152</v>
      </c>
      <c r="GY36" s="54">
        <f t="shared" si="349"/>
        <v>44153</v>
      </c>
      <c r="GZ36" s="54">
        <f t="shared" si="349"/>
        <v>44154</v>
      </c>
      <c r="HA36" s="54">
        <f t="shared" si="349"/>
        <v>44155</v>
      </c>
      <c r="HB36" s="54">
        <f t="shared" si="349"/>
        <v>44156</v>
      </c>
      <c r="HC36" s="53">
        <f t="shared" si="349"/>
        <v>44157</v>
      </c>
      <c r="HD36" s="54">
        <f t="shared" si="349"/>
        <v>44158</v>
      </c>
      <c r="HE36" s="54">
        <f t="shared" si="349"/>
        <v>44159</v>
      </c>
      <c r="HF36" s="54">
        <f t="shared" si="349"/>
        <v>44160</v>
      </c>
      <c r="HG36" s="54">
        <f t="shared" si="349"/>
        <v>44161</v>
      </c>
      <c r="HH36" s="54">
        <f t="shared" si="349"/>
        <v>44162</v>
      </c>
      <c r="HI36" s="54">
        <f t="shared" si="349"/>
        <v>44163</v>
      </c>
      <c r="HJ36" s="53">
        <f t="shared" si="349"/>
        <v>44164</v>
      </c>
      <c r="HK36" s="54">
        <f t="shared" si="349"/>
        <v>44165</v>
      </c>
      <c r="HL36" s="54">
        <f t="shared" si="349"/>
        <v>44166</v>
      </c>
      <c r="HM36" s="54">
        <f t="shared" ref="HM36:JX36" si="350">HM35</f>
        <v>44167</v>
      </c>
      <c r="HN36" s="54">
        <f t="shared" si="350"/>
        <v>44168</v>
      </c>
      <c r="HO36" s="54">
        <f t="shared" si="350"/>
        <v>44169</v>
      </c>
      <c r="HP36" s="54">
        <f t="shared" si="350"/>
        <v>44170</v>
      </c>
      <c r="HQ36" s="53">
        <f t="shared" si="350"/>
        <v>44171</v>
      </c>
      <c r="HR36" s="54">
        <f t="shared" si="350"/>
        <v>44172</v>
      </c>
      <c r="HS36" s="54">
        <f t="shared" si="350"/>
        <v>44173</v>
      </c>
      <c r="HT36" s="54">
        <f t="shared" si="350"/>
        <v>44174</v>
      </c>
      <c r="HU36" s="54">
        <f t="shared" si="350"/>
        <v>44175</v>
      </c>
      <c r="HV36" s="54">
        <f t="shared" si="350"/>
        <v>44176</v>
      </c>
      <c r="HW36" s="54">
        <f t="shared" si="350"/>
        <v>44177</v>
      </c>
      <c r="HX36" s="53">
        <f t="shared" si="350"/>
        <v>44178</v>
      </c>
      <c r="HY36" s="54">
        <f t="shared" si="350"/>
        <v>44179</v>
      </c>
      <c r="HZ36" s="54">
        <f t="shared" si="350"/>
        <v>44180</v>
      </c>
      <c r="IA36" s="54">
        <f t="shared" si="350"/>
        <v>44181</v>
      </c>
      <c r="IB36" s="54">
        <f t="shared" si="350"/>
        <v>44182</v>
      </c>
      <c r="IC36" s="54">
        <f t="shared" si="350"/>
        <v>44183</v>
      </c>
      <c r="ID36" s="54">
        <f t="shared" si="350"/>
        <v>44184</v>
      </c>
      <c r="IE36" s="53">
        <f t="shared" si="350"/>
        <v>44185</v>
      </c>
      <c r="IF36" s="54">
        <f t="shared" si="350"/>
        <v>44186</v>
      </c>
      <c r="IG36" s="54">
        <f t="shared" si="350"/>
        <v>44187</v>
      </c>
      <c r="IH36" s="54">
        <f t="shared" si="350"/>
        <v>44188</v>
      </c>
      <c r="II36" s="54">
        <f t="shared" si="350"/>
        <v>44189</v>
      </c>
      <c r="IJ36" s="54">
        <f t="shared" si="350"/>
        <v>44190</v>
      </c>
      <c r="IK36" s="54">
        <f t="shared" si="350"/>
        <v>44191</v>
      </c>
      <c r="IL36" s="53">
        <f t="shared" si="350"/>
        <v>44192</v>
      </c>
      <c r="IM36" s="54">
        <f t="shared" si="350"/>
        <v>44193</v>
      </c>
      <c r="IN36" s="54">
        <f t="shared" si="350"/>
        <v>44194</v>
      </c>
      <c r="IO36" s="54">
        <f t="shared" si="350"/>
        <v>44195</v>
      </c>
      <c r="IP36" s="54">
        <f t="shared" si="350"/>
        <v>44196</v>
      </c>
      <c r="IQ36" s="54">
        <f t="shared" si="350"/>
        <v>44197</v>
      </c>
      <c r="IR36" s="54">
        <f t="shared" si="350"/>
        <v>44198</v>
      </c>
      <c r="IS36" s="53">
        <f t="shared" si="350"/>
        <v>44199</v>
      </c>
      <c r="IT36" s="54">
        <f t="shared" si="350"/>
        <v>44200</v>
      </c>
      <c r="IU36" s="54">
        <f t="shared" si="350"/>
        <v>44201</v>
      </c>
      <c r="IV36" s="54">
        <f t="shared" si="350"/>
        <v>44202</v>
      </c>
      <c r="IW36" s="54">
        <f t="shared" si="350"/>
        <v>44203</v>
      </c>
      <c r="IX36" s="54">
        <f t="shared" si="350"/>
        <v>44204</v>
      </c>
      <c r="IY36" s="54">
        <f t="shared" si="350"/>
        <v>44205</v>
      </c>
      <c r="IZ36" s="53">
        <f t="shared" si="350"/>
        <v>44206</v>
      </c>
      <c r="JA36" s="54">
        <f t="shared" si="350"/>
        <v>44207</v>
      </c>
      <c r="JB36" s="54">
        <f t="shared" si="350"/>
        <v>44208</v>
      </c>
      <c r="JC36" s="54">
        <f t="shared" si="350"/>
        <v>44209</v>
      </c>
      <c r="JD36" s="54">
        <f t="shared" si="350"/>
        <v>44210</v>
      </c>
      <c r="JE36" s="54">
        <f t="shared" si="350"/>
        <v>44211</v>
      </c>
      <c r="JF36" s="54">
        <f t="shared" si="350"/>
        <v>44212</v>
      </c>
      <c r="JG36" s="53">
        <f t="shared" si="350"/>
        <v>44213</v>
      </c>
      <c r="JH36" s="54">
        <f t="shared" si="350"/>
        <v>44214</v>
      </c>
      <c r="JI36" s="54">
        <f t="shared" si="350"/>
        <v>44215</v>
      </c>
      <c r="JJ36" s="54">
        <f t="shared" si="350"/>
        <v>44216</v>
      </c>
      <c r="JK36" s="54">
        <f t="shared" si="350"/>
        <v>44217</v>
      </c>
      <c r="JL36" s="54">
        <f t="shared" si="350"/>
        <v>44218</v>
      </c>
      <c r="JM36" s="54">
        <f t="shared" si="350"/>
        <v>44219</v>
      </c>
      <c r="JN36" s="53">
        <f t="shared" si="350"/>
        <v>44220</v>
      </c>
      <c r="JO36" s="54">
        <f t="shared" si="350"/>
        <v>44221</v>
      </c>
      <c r="JP36" s="54">
        <f t="shared" si="350"/>
        <v>44222</v>
      </c>
      <c r="JQ36" s="54">
        <f t="shared" si="350"/>
        <v>44223</v>
      </c>
      <c r="JR36" s="54">
        <f t="shared" si="350"/>
        <v>44224</v>
      </c>
      <c r="JS36" s="54">
        <f t="shared" si="350"/>
        <v>44225</v>
      </c>
      <c r="JT36" s="54">
        <f t="shared" si="350"/>
        <v>44226</v>
      </c>
      <c r="JU36" s="53">
        <f t="shared" si="350"/>
        <v>44227</v>
      </c>
      <c r="JV36" s="54">
        <f t="shared" si="350"/>
        <v>44228</v>
      </c>
      <c r="JW36" s="54">
        <f t="shared" si="350"/>
        <v>44229</v>
      </c>
      <c r="JX36" s="54">
        <f t="shared" si="350"/>
        <v>44230</v>
      </c>
      <c r="JY36" s="54">
        <f t="shared" ref="JY36:MF36" si="351">JY35</f>
        <v>44231</v>
      </c>
      <c r="JZ36" s="54">
        <f t="shared" si="351"/>
        <v>44232</v>
      </c>
      <c r="KA36" s="54">
        <f t="shared" si="351"/>
        <v>44233</v>
      </c>
      <c r="KB36" s="53">
        <f t="shared" si="351"/>
        <v>44234</v>
      </c>
      <c r="KC36" s="54">
        <f t="shared" si="351"/>
        <v>44235</v>
      </c>
      <c r="KD36" s="54">
        <f t="shared" si="351"/>
        <v>44236</v>
      </c>
      <c r="KE36" s="54">
        <f t="shared" si="351"/>
        <v>44237</v>
      </c>
      <c r="KF36" s="54">
        <f t="shared" si="351"/>
        <v>44238</v>
      </c>
      <c r="KG36" s="54">
        <f t="shared" si="351"/>
        <v>44239</v>
      </c>
      <c r="KH36" s="54">
        <f t="shared" si="351"/>
        <v>44240</v>
      </c>
      <c r="KI36" s="53">
        <f t="shared" si="351"/>
        <v>44241</v>
      </c>
      <c r="KJ36" s="54">
        <f t="shared" si="351"/>
        <v>44242</v>
      </c>
      <c r="KK36" s="54">
        <f t="shared" si="351"/>
        <v>44243</v>
      </c>
      <c r="KL36" s="54">
        <f t="shared" si="351"/>
        <v>44244</v>
      </c>
      <c r="KM36" s="54">
        <f t="shared" si="351"/>
        <v>44245</v>
      </c>
      <c r="KN36" s="54">
        <f t="shared" si="351"/>
        <v>44246</v>
      </c>
      <c r="KO36" s="54">
        <f t="shared" si="351"/>
        <v>44247</v>
      </c>
      <c r="KP36" s="53">
        <f t="shared" si="351"/>
        <v>44248</v>
      </c>
      <c r="KQ36" s="54">
        <f t="shared" si="351"/>
        <v>44249</v>
      </c>
      <c r="KR36" s="54">
        <f t="shared" si="351"/>
        <v>44250</v>
      </c>
      <c r="KS36" s="54">
        <f t="shared" si="351"/>
        <v>44251</v>
      </c>
      <c r="KT36" s="54">
        <f t="shared" si="351"/>
        <v>44252</v>
      </c>
      <c r="KU36" s="54">
        <f t="shared" si="351"/>
        <v>44253</v>
      </c>
      <c r="KV36" s="54">
        <f t="shared" si="351"/>
        <v>44254</v>
      </c>
      <c r="KW36" s="53">
        <f t="shared" si="351"/>
        <v>44255</v>
      </c>
      <c r="KX36" s="54">
        <f t="shared" si="351"/>
        <v>44256</v>
      </c>
      <c r="KY36" s="54">
        <f t="shared" si="351"/>
        <v>44257</v>
      </c>
      <c r="KZ36" s="54">
        <f t="shared" si="351"/>
        <v>44258</v>
      </c>
      <c r="LA36" s="54">
        <f t="shared" si="351"/>
        <v>44259</v>
      </c>
      <c r="LB36" s="54">
        <f t="shared" si="351"/>
        <v>44260</v>
      </c>
      <c r="LC36" s="54">
        <f t="shared" si="351"/>
        <v>44261</v>
      </c>
      <c r="LD36" s="53">
        <f t="shared" si="351"/>
        <v>44262</v>
      </c>
      <c r="LE36" s="54">
        <f t="shared" si="351"/>
        <v>44263</v>
      </c>
      <c r="LF36" s="54">
        <f t="shared" si="351"/>
        <v>44264</v>
      </c>
      <c r="LG36" s="54">
        <f t="shared" si="351"/>
        <v>44265</v>
      </c>
      <c r="LH36" s="54">
        <f t="shared" si="351"/>
        <v>44266</v>
      </c>
      <c r="LI36" s="54">
        <f t="shared" si="351"/>
        <v>44267</v>
      </c>
      <c r="LJ36" s="54">
        <f t="shared" si="351"/>
        <v>44268</v>
      </c>
      <c r="LK36" s="53">
        <f t="shared" si="351"/>
        <v>44269</v>
      </c>
      <c r="LL36" s="54">
        <f t="shared" si="351"/>
        <v>44270</v>
      </c>
      <c r="LM36" s="54">
        <f t="shared" si="351"/>
        <v>44271</v>
      </c>
      <c r="LN36" s="54">
        <f t="shared" si="351"/>
        <v>44272</v>
      </c>
      <c r="LO36" s="54">
        <f t="shared" si="351"/>
        <v>44273</v>
      </c>
      <c r="LP36" s="54">
        <f t="shared" si="351"/>
        <v>44274</v>
      </c>
      <c r="LQ36" s="54">
        <f t="shared" si="351"/>
        <v>44275</v>
      </c>
      <c r="LR36" s="53">
        <f t="shared" si="351"/>
        <v>44276</v>
      </c>
      <c r="LS36" s="54">
        <f t="shared" si="351"/>
        <v>44277</v>
      </c>
      <c r="LT36" s="54">
        <f t="shared" si="351"/>
        <v>44278</v>
      </c>
      <c r="LU36" s="54">
        <f t="shared" si="351"/>
        <v>44279</v>
      </c>
      <c r="LV36" s="54">
        <f t="shared" si="351"/>
        <v>44280</v>
      </c>
      <c r="LW36" s="54">
        <f t="shared" si="351"/>
        <v>44281</v>
      </c>
      <c r="LX36" s="54">
        <f t="shared" si="351"/>
        <v>44282</v>
      </c>
      <c r="LY36" s="53">
        <f t="shared" si="351"/>
        <v>44283</v>
      </c>
      <c r="LZ36" s="54">
        <f t="shared" si="351"/>
        <v>44284</v>
      </c>
      <c r="MA36" s="54">
        <f t="shared" si="351"/>
        <v>44285</v>
      </c>
      <c r="MB36" s="54">
        <f t="shared" si="351"/>
        <v>44286</v>
      </c>
      <c r="MC36" s="54">
        <f t="shared" si="351"/>
        <v>44287</v>
      </c>
      <c r="MD36" s="54">
        <f t="shared" si="351"/>
        <v>44288</v>
      </c>
      <c r="ME36" s="54">
        <f t="shared" si="351"/>
        <v>44289</v>
      </c>
      <c r="MF36" s="53">
        <f t="shared" si="351"/>
        <v>44290</v>
      </c>
    </row>
    <row r="37" spans="1:344" ht="15" customHeight="1" x14ac:dyDescent="0.25">
      <c r="A37" s="138"/>
      <c r="B37" s="138"/>
      <c r="C37" s="138"/>
      <c r="D37" s="138"/>
      <c r="E37" s="139"/>
      <c r="F37" s="19"/>
      <c r="G37" s="19"/>
      <c r="H37" s="19"/>
      <c r="I37" s="19"/>
      <c r="J37" s="19"/>
      <c r="K37" s="19"/>
      <c r="L37" s="19"/>
      <c r="M37" s="19"/>
      <c r="N37" s="19"/>
      <c r="O37" s="9"/>
      <c r="P37" s="141"/>
      <c r="Q37" s="141"/>
      <c r="R37" s="143"/>
      <c r="S37" s="24"/>
      <c r="T37" s="25"/>
      <c r="U37" s="25"/>
      <c r="V37" s="25"/>
      <c r="W37" s="25"/>
      <c r="X37" s="25"/>
      <c r="Y37" s="25"/>
      <c r="Z37" s="24"/>
      <c r="AA37" s="25"/>
      <c r="AB37" s="25"/>
      <c r="AC37" s="25"/>
      <c r="AD37" s="25"/>
      <c r="AE37" s="25"/>
      <c r="AF37" s="25"/>
      <c r="AG37" s="24"/>
      <c r="AH37" s="25"/>
      <c r="AI37" s="25" t="s">
        <v>38</v>
      </c>
      <c r="AJ37" s="25"/>
      <c r="AK37" s="25" t="s">
        <v>38</v>
      </c>
      <c r="AL37" s="25"/>
      <c r="AM37" s="25"/>
      <c r="AN37" s="24"/>
      <c r="AO37" s="25"/>
      <c r="AP37" s="25" t="s">
        <v>38</v>
      </c>
      <c r="AQ37" s="25"/>
      <c r="AR37" s="25" t="s">
        <v>38</v>
      </c>
      <c r="AS37" s="25"/>
      <c r="AT37" s="25"/>
      <c r="AU37" s="24"/>
      <c r="AV37" s="25"/>
      <c r="AW37" s="25" t="s">
        <v>38</v>
      </c>
      <c r="AX37" s="25" t="s">
        <v>263</v>
      </c>
      <c r="AY37" s="25" t="s">
        <v>38</v>
      </c>
      <c r="AZ37" s="25"/>
      <c r="BA37" s="25"/>
      <c r="BB37" s="24"/>
      <c r="BC37" s="25"/>
      <c r="BD37" s="25" t="s">
        <v>38</v>
      </c>
      <c r="BE37" s="25"/>
      <c r="BF37" s="25" t="s">
        <v>38</v>
      </c>
      <c r="BG37" s="25"/>
      <c r="BH37" s="25"/>
      <c r="BI37" s="24"/>
      <c r="BJ37" s="25"/>
      <c r="BK37" s="25" t="s">
        <v>38</v>
      </c>
      <c r="BL37" s="25"/>
      <c r="BM37" s="25" t="s">
        <v>38</v>
      </c>
      <c r="BN37" s="25" t="s">
        <v>54</v>
      </c>
      <c r="BO37" s="25"/>
      <c r="BP37" s="24" t="s">
        <v>148</v>
      </c>
      <c r="BQ37" s="25"/>
      <c r="BR37" s="25"/>
      <c r="BS37" s="25"/>
      <c r="BT37" s="25"/>
      <c r="BU37" s="25"/>
      <c r="BV37" s="25"/>
      <c r="BW37" s="25" t="s">
        <v>148</v>
      </c>
      <c r="BX37" s="25"/>
      <c r="BY37" s="24"/>
      <c r="BZ37" s="25"/>
      <c r="CA37" s="25"/>
      <c r="CB37" s="25"/>
      <c r="CC37" s="25"/>
      <c r="CD37" s="25"/>
      <c r="CE37" s="25"/>
      <c r="CF37" s="25"/>
      <c r="CG37" s="25"/>
      <c r="CH37" s="24"/>
      <c r="CI37" s="25"/>
      <c r="CJ37" s="25"/>
      <c r="CK37" s="25"/>
      <c r="CL37" s="25"/>
      <c r="CM37" s="25"/>
      <c r="CN37" s="25"/>
      <c r="CO37" s="25"/>
      <c r="CP37" s="25"/>
      <c r="CQ37" s="24"/>
      <c r="CR37" s="25"/>
      <c r="CS37" s="25"/>
      <c r="CT37" s="25"/>
      <c r="CU37" s="25"/>
      <c r="CV37" s="25"/>
      <c r="CW37" s="25"/>
      <c r="CX37" s="25"/>
      <c r="CY37" s="25"/>
      <c r="CZ37" s="24"/>
      <c r="DA37" s="25"/>
      <c r="DB37" s="25"/>
      <c r="DC37" s="25"/>
      <c r="DD37" s="25"/>
      <c r="DE37" s="25"/>
      <c r="DF37" s="25"/>
      <c r="DG37" s="25"/>
      <c r="DH37" s="25"/>
      <c r="DI37" s="24"/>
      <c r="DJ37" s="25"/>
      <c r="DK37" s="25"/>
      <c r="DL37" s="25"/>
      <c r="DM37" s="25"/>
      <c r="DN37" s="25"/>
      <c r="DO37" s="25"/>
      <c r="DP37" s="24"/>
      <c r="DQ37" s="25"/>
      <c r="DR37" s="25"/>
      <c r="DS37" s="25"/>
      <c r="DT37" s="25"/>
      <c r="DU37" s="25"/>
      <c r="DV37" s="25"/>
      <c r="DW37" s="24"/>
      <c r="DX37" s="25"/>
      <c r="DY37" s="25"/>
      <c r="DZ37" s="25"/>
      <c r="EA37" s="25"/>
      <c r="EB37" s="25"/>
      <c r="EC37" s="25"/>
      <c r="ED37" s="24"/>
      <c r="EE37" s="25"/>
      <c r="EF37" s="25"/>
      <c r="EG37" s="25"/>
      <c r="EH37" s="25"/>
      <c r="EI37" s="25"/>
      <c r="EJ37" s="25"/>
      <c r="EK37" s="24"/>
      <c r="EL37" s="25"/>
      <c r="EM37" s="25" t="s">
        <v>38</v>
      </c>
      <c r="EN37" s="25"/>
      <c r="EO37" s="25" t="s">
        <v>38</v>
      </c>
      <c r="EP37" s="25" t="s">
        <v>38</v>
      </c>
      <c r="EQ37" s="25"/>
      <c r="ER37" s="24"/>
      <c r="ES37" s="25"/>
      <c r="ET37" s="25" t="s">
        <v>38</v>
      </c>
      <c r="EU37" s="25"/>
      <c r="EV37" s="25" t="s">
        <v>38</v>
      </c>
      <c r="EW37" s="25" t="s">
        <v>38</v>
      </c>
      <c r="EX37" s="25"/>
      <c r="EY37" s="24"/>
      <c r="EZ37" s="25"/>
      <c r="FA37" s="25" t="s">
        <v>38</v>
      </c>
      <c r="FB37" s="25"/>
      <c r="FC37" s="25" t="s">
        <v>38</v>
      </c>
      <c r="FD37" s="25" t="s">
        <v>38</v>
      </c>
      <c r="FE37" s="25"/>
      <c r="FF37" s="24"/>
      <c r="FG37" s="25"/>
      <c r="FH37" s="25" t="s">
        <v>38</v>
      </c>
      <c r="FI37" s="25"/>
      <c r="FJ37" s="25" t="s">
        <v>38</v>
      </c>
      <c r="FK37" s="25" t="s">
        <v>38</v>
      </c>
      <c r="FL37" s="25"/>
      <c r="FM37" s="24"/>
      <c r="FN37" s="25"/>
      <c r="FO37" s="25" t="s">
        <v>38</v>
      </c>
      <c r="FP37" s="25"/>
      <c r="FQ37" s="25" t="s">
        <v>38</v>
      </c>
      <c r="FR37" s="25" t="s">
        <v>38</v>
      </c>
      <c r="FS37" s="25"/>
      <c r="FT37" s="24"/>
      <c r="FU37" s="25"/>
      <c r="FV37" s="25" t="s">
        <v>38</v>
      </c>
      <c r="FW37" s="25"/>
      <c r="FX37" s="25" t="s">
        <v>38</v>
      </c>
      <c r="FY37" s="25" t="s">
        <v>38</v>
      </c>
      <c r="FZ37" s="25"/>
      <c r="GA37" s="24"/>
      <c r="GB37" s="25"/>
      <c r="GC37" s="25" t="s">
        <v>38</v>
      </c>
      <c r="GD37" s="25"/>
      <c r="GE37" s="25" t="s">
        <v>38</v>
      </c>
      <c r="GF37" s="25" t="s">
        <v>38</v>
      </c>
      <c r="GG37" s="25"/>
      <c r="GH37" s="24"/>
      <c r="GI37" s="25"/>
      <c r="GJ37" s="25" t="s">
        <v>38</v>
      </c>
      <c r="GK37" s="25"/>
      <c r="GL37" s="25" t="s">
        <v>38</v>
      </c>
      <c r="GM37" s="25" t="s">
        <v>38</v>
      </c>
      <c r="GN37" s="25"/>
      <c r="GO37" s="24"/>
      <c r="GP37" s="25"/>
      <c r="GQ37" s="25" t="s">
        <v>38</v>
      </c>
      <c r="GR37" s="25"/>
      <c r="GS37" s="25" t="s">
        <v>38</v>
      </c>
      <c r="GT37" s="25" t="s">
        <v>38</v>
      </c>
      <c r="GU37" s="25"/>
      <c r="GV37" s="24"/>
      <c r="GW37" s="25"/>
      <c r="GX37" s="25" t="s">
        <v>38</v>
      </c>
      <c r="GY37" s="25"/>
      <c r="GZ37" s="25" t="s">
        <v>38</v>
      </c>
      <c r="HA37" s="25" t="s">
        <v>38</v>
      </c>
      <c r="HB37" s="25"/>
      <c r="HC37" s="24"/>
      <c r="HD37" s="25"/>
      <c r="HE37" s="25" t="s">
        <v>38</v>
      </c>
      <c r="HF37" s="25"/>
      <c r="HG37" s="25" t="s">
        <v>38</v>
      </c>
      <c r="HH37" s="25" t="s">
        <v>38</v>
      </c>
      <c r="HI37" s="25"/>
      <c r="HJ37" s="24"/>
      <c r="HK37" s="25"/>
      <c r="HL37" s="25" t="s">
        <v>38</v>
      </c>
      <c r="HM37" s="25" t="s">
        <v>38</v>
      </c>
      <c r="HN37" s="25"/>
      <c r="HO37" s="25" t="s">
        <v>38</v>
      </c>
      <c r="HP37" s="25"/>
      <c r="HQ37" s="24"/>
      <c r="HR37" s="25"/>
      <c r="HS37" s="25" t="s">
        <v>38</v>
      </c>
      <c r="HT37" s="25"/>
      <c r="HU37" s="25" t="s">
        <v>38</v>
      </c>
      <c r="HV37" s="25" t="s">
        <v>38</v>
      </c>
      <c r="HW37" s="25"/>
      <c r="HX37" s="24"/>
      <c r="HY37" s="25"/>
      <c r="HZ37" s="25" t="s">
        <v>38</v>
      </c>
      <c r="IA37" s="25"/>
      <c r="IB37" s="25" t="s">
        <v>38</v>
      </c>
      <c r="IC37" s="25" t="s">
        <v>38</v>
      </c>
      <c r="ID37" s="25"/>
      <c r="IE37" s="24"/>
      <c r="IF37" s="25"/>
      <c r="IG37" s="25" t="s">
        <v>38</v>
      </c>
      <c r="IH37" s="25"/>
      <c r="II37" s="25" t="s">
        <v>38</v>
      </c>
      <c r="IJ37" s="25" t="s">
        <v>38</v>
      </c>
      <c r="IK37" s="25"/>
      <c r="IL37" s="24"/>
      <c r="IM37" s="25"/>
      <c r="IN37" s="25" t="s">
        <v>38</v>
      </c>
      <c r="IO37" s="25"/>
      <c r="IP37" s="25" t="s">
        <v>38</v>
      </c>
      <c r="IQ37" s="25" t="s">
        <v>38</v>
      </c>
      <c r="IR37" s="25"/>
      <c r="IS37" s="24"/>
      <c r="IT37" s="25"/>
      <c r="IU37" s="25" t="s">
        <v>38</v>
      </c>
      <c r="IV37" s="25"/>
      <c r="IW37" s="25" t="s">
        <v>38</v>
      </c>
      <c r="IX37" s="25" t="s">
        <v>38</v>
      </c>
      <c r="IY37" s="25"/>
      <c r="IZ37" s="24"/>
      <c r="JA37" s="25"/>
      <c r="JB37" s="25" t="s">
        <v>38</v>
      </c>
      <c r="JC37" s="25"/>
      <c r="JD37" s="25" t="s">
        <v>38</v>
      </c>
      <c r="JE37" s="25" t="s">
        <v>38</v>
      </c>
      <c r="JF37" s="25"/>
      <c r="JG37" s="24"/>
      <c r="JH37" s="25"/>
      <c r="JI37" s="25" t="s">
        <v>38</v>
      </c>
      <c r="JJ37" s="25"/>
      <c r="JK37" s="25" t="s">
        <v>38</v>
      </c>
      <c r="JL37" s="25" t="s">
        <v>38</v>
      </c>
      <c r="JM37" s="25"/>
      <c r="JN37" s="24"/>
      <c r="JO37" s="25"/>
      <c r="JP37" s="25" t="s">
        <v>38</v>
      </c>
      <c r="JQ37" s="25"/>
      <c r="JR37" s="25" t="s">
        <v>38</v>
      </c>
      <c r="JS37" s="25" t="s">
        <v>38</v>
      </c>
      <c r="JT37" s="25"/>
      <c r="JU37" s="24"/>
      <c r="JV37" s="25"/>
      <c r="JW37" s="25" t="s">
        <v>38</v>
      </c>
      <c r="JX37" s="25"/>
      <c r="JY37" s="25" t="s">
        <v>38</v>
      </c>
      <c r="JZ37" s="25" t="s">
        <v>38</v>
      </c>
      <c r="KA37" s="25"/>
      <c r="KB37" s="24"/>
      <c r="KC37" s="25"/>
      <c r="KD37" s="25" t="s">
        <v>38</v>
      </c>
      <c r="KE37" s="25"/>
      <c r="KF37" s="25" t="s">
        <v>38</v>
      </c>
      <c r="KG37" s="25" t="s">
        <v>38</v>
      </c>
      <c r="KH37" s="25"/>
      <c r="KI37" s="24"/>
      <c r="KJ37" s="25"/>
      <c r="KK37" s="25" t="s">
        <v>38</v>
      </c>
      <c r="KL37" s="25"/>
      <c r="KM37" s="25" t="s">
        <v>38</v>
      </c>
      <c r="KN37" s="25" t="s">
        <v>38</v>
      </c>
      <c r="KO37" s="25"/>
      <c r="KP37" s="24"/>
      <c r="KQ37" s="25"/>
      <c r="KR37" s="25" t="s">
        <v>38</v>
      </c>
      <c r="KS37" s="25"/>
      <c r="KT37" s="25" t="s">
        <v>38</v>
      </c>
      <c r="KU37" s="25" t="s">
        <v>38</v>
      </c>
      <c r="KV37" s="25"/>
      <c r="KW37" s="24"/>
      <c r="KX37" s="25"/>
      <c r="KY37" s="25" t="s">
        <v>38</v>
      </c>
      <c r="KZ37" s="25"/>
      <c r="LA37" s="25" t="s">
        <v>38</v>
      </c>
      <c r="LB37" s="25"/>
      <c r="LC37" s="25"/>
      <c r="LD37" s="26"/>
      <c r="LE37" s="25"/>
      <c r="LF37" s="25" t="s">
        <v>38</v>
      </c>
      <c r="LG37" s="25"/>
      <c r="LH37" s="25" t="s">
        <v>38</v>
      </c>
      <c r="LI37" s="25"/>
      <c r="LJ37" s="25"/>
      <c r="LK37" s="24"/>
      <c r="LL37" s="25"/>
      <c r="LM37" s="25"/>
      <c r="LN37" s="25"/>
      <c r="LO37" s="25"/>
      <c r="LP37" s="25"/>
      <c r="LQ37" s="25"/>
      <c r="LR37" s="24"/>
      <c r="LS37" s="25"/>
      <c r="LT37" s="25"/>
      <c r="LU37" s="25"/>
      <c r="LV37" s="25"/>
      <c r="LW37" s="25"/>
      <c r="LX37" s="25"/>
      <c r="LY37" s="24"/>
      <c r="LZ37" s="25"/>
      <c r="MA37" s="25"/>
      <c r="MB37" s="25"/>
      <c r="MC37" s="25"/>
      <c r="MD37" s="25"/>
      <c r="ME37" s="25"/>
      <c r="MF37" s="24"/>
    </row>
    <row r="38" spans="1:344" x14ac:dyDescent="0.25">
      <c r="A38" s="11" t="s">
        <v>148</v>
      </c>
      <c r="B38" s="11"/>
      <c r="C38" s="11"/>
      <c r="D38" s="11"/>
      <c r="E38" s="11"/>
      <c r="F38" s="13" t="s">
        <v>147</v>
      </c>
      <c r="G38" s="40" t="s">
        <v>146</v>
      </c>
      <c r="H38" s="40" t="s">
        <v>119</v>
      </c>
      <c r="I38" s="11" t="s">
        <v>41</v>
      </c>
      <c r="J38" s="11" t="s">
        <v>118</v>
      </c>
      <c r="K38" s="11" t="s">
        <v>42</v>
      </c>
      <c r="L38" s="11" t="s">
        <v>117</v>
      </c>
      <c r="M38" s="11" t="s">
        <v>47</v>
      </c>
      <c r="N38" s="11" t="s">
        <v>100</v>
      </c>
      <c r="O38" s="12" t="s">
        <v>46</v>
      </c>
      <c r="P38" s="11"/>
      <c r="Q38" s="11"/>
      <c r="R38" s="12"/>
      <c r="S38" s="12"/>
      <c r="T38" s="11"/>
      <c r="U38" s="11"/>
      <c r="V38" s="11"/>
      <c r="W38" s="11"/>
      <c r="X38" s="11"/>
      <c r="Y38" s="11"/>
      <c r="Z38" s="12"/>
      <c r="AA38" s="11"/>
      <c r="AB38" s="11"/>
      <c r="AC38" s="11"/>
      <c r="AD38" s="11"/>
      <c r="AE38" s="11"/>
      <c r="AF38" s="11"/>
      <c r="AG38" s="12"/>
      <c r="AH38" s="11"/>
      <c r="AI38" s="11"/>
      <c r="AJ38" s="11"/>
      <c r="AK38" s="11"/>
      <c r="AL38" s="11"/>
      <c r="AM38" s="11"/>
      <c r="AN38" s="12"/>
      <c r="AO38" s="11"/>
      <c r="AP38" s="11"/>
      <c r="AQ38" s="11"/>
      <c r="AR38" s="11"/>
      <c r="AS38" s="11"/>
      <c r="AT38" s="11"/>
      <c r="AU38" s="12"/>
      <c r="AV38" s="11"/>
      <c r="AW38" s="11"/>
      <c r="AX38" s="11"/>
      <c r="AY38" s="11"/>
      <c r="AZ38" s="11"/>
      <c r="BA38" s="11"/>
      <c r="BB38" s="12"/>
      <c r="BC38" s="11"/>
      <c r="BD38" s="11"/>
      <c r="BE38" s="11"/>
      <c r="BF38" s="11"/>
      <c r="BG38" s="11"/>
      <c r="BH38" s="11"/>
      <c r="BI38" s="12"/>
      <c r="BJ38" s="11"/>
      <c r="BK38" s="11"/>
      <c r="BL38" s="11"/>
      <c r="BM38" s="11"/>
      <c r="BN38" s="11"/>
      <c r="BO38" s="11"/>
      <c r="BP38" s="12"/>
      <c r="BQ38" s="11"/>
      <c r="BR38" s="11"/>
      <c r="BS38" s="11"/>
      <c r="BT38" s="11"/>
      <c r="BU38" s="11"/>
      <c r="BV38" s="11"/>
      <c r="BW38" s="11"/>
      <c r="BX38" s="11"/>
      <c r="BY38" s="12"/>
      <c r="BZ38" s="11"/>
      <c r="CA38" s="11"/>
      <c r="CB38" s="11"/>
      <c r="CC38" s="11"/>
      <c r="CD38" s="11"/>
      <c r="CE38" s="11"/>
      <c r="CF38" s="11"/>
      <c r="CG38" s="11"/>
      <c r="CH38" s="12"/>
      <c r="CI38" s="11"/>
      <c r="CJ38" s="11"/>
      <c r="CK38" s="11"/>
      <c r="CL38" s="11"/>
      <c r="CM38" s="11"/>
      <c r="CN38" s="11"/>
      <c r="CO38" s="11"/>
      <c r="CP38" s="11"/>
      <c r="CQ38" s="12"/>
      <c r="CR38" s="11"/>
      <c r="CS38" s="11"/>
      <c r="CT38" s="11"/>
      <c r="CU38" s="11"/>
      <c r="CV38" s="11"/>
      <c r="CW38" s="11"/>
      <c r="CX38" s="11"/>
      <c r="CY38" s="11"/>
      <c r="CZ38" s="12"/>
      <c r="DA38" s="11"/>
      <c r="DB38" s="11"/>
      <c r="DC38" s="11"/>
      <c r="DD38" s="11"/>
      <c r="DE38" s="11"/>
      <c r="DF38" s="11"/>
      <c r="DG38" s="11"/>
      <c r="DH38" s="11"/>
      <c r="DI38" s="12"/>
      <c r="DJ38" s="11"/>
      <c r="DK38" s="11"/>
      <c r="DL38" s="11"/>
      <c r="DM38" s="11"/>
      <c r="DN38" s="11"/>
      <c r="DO38" s="11"/>
      <c r="DP38" s="12"/>
      <c r="DQ38" s="11"/>
      <c r="DR38" s="11"/>
      <c r="DS38" s="11"/>
      <c r="DT38" s="11"/>
      <c r="DU38" s="11"/>
      <c r="DV38" s="11"/>
      <c r="DW38" s="12"/>
      <c r="DX38" s="11"/>
      <c r="DY38" s="11"/>
      <c r="DZ38" s="11"/>
      <c r="EA38" s="11"/>
      <c r="EB38" s="11"/>
      <c r="EC38" s="11"/>
      <c r="ED38" s="12"/>
      <c r="EE38" s="11"/>
      <c r="EF38" s="11"/>
      <c r="EG38" s="11"/>
      <c r="EH38" s="11"/>
      <c r="EI38" s="11"/>
      <c r="EJ38" s="11"/>
      <c r="EK38" s="12"/>
      <c r="EL38" s="11"/>
      <c r="EM38" s="11"/>
      <c r="EN38" s="11"/>
      <c r="EO38" s="11"/>
      <c r="EP38" s="11"/>
      <c r="EQ38" s="11"/>
      <c r="ER38" s="12"/>
      <c r="ES38" s="11"/>
      <c r="ET38" s="11"/>
      <c r="EU38" s="11"/>
      <c r="EV38" s="11"/>
      <c r="EW38" s="11"/>
      <c r="EX38" s="11"/>
      <c r="EY38" s="12"/>
      <c r="EZ38" s="11"/>
      <c r="FA38" s="11"/>
      <c r="FB38" s="11"/>
      <c r="FC38" s="11"/>
      <c r="FD38" s="11"/>
      <c r="FE38" s="11"/>
      <c r="FF38" s="12"/>
      <c r="FG38" s="11"/>
      <c r="FH38" s="11"/>
      <c r="FI38" s="11"/>
      <c r="FJ38" s="11"/>
      <c r="FK38" s="11"/>
      <c r="FL38" s="11"/>
      <c r="FM38" s="12"/>
      <c r="FN38" s="11"/>
      <c r="FO38" s="11"/>
      <c r="FP38" s="11"/>
      <c r="FQ38" s="11"/>
      <c r="FR38" s="11"/>
      <c r="FS38" s="11"/>
      <c r="FT38" s="12"/>
      <c r="FU38" s="11"/>
      <c r="FV38" s="11"/>
      <c r="FW38" s="11"/>
      <c r="FX38" s="11"/>
      <c r="FY38" s="11"/>
      <c r="FZ38" s="11"/>
      <c r="GA38" s="12"/>
      <c r="GB38" s="11"/>
      <c r="GC38" s="11"/>
      <c r="GD38" s="11"/>
      <c r="GE38" s="11"/>
      <c r="GF38" s="11"/>
      <c r="GG38" s="11"/>
      <c r="GH38" s="12"/>
      <c r="GI38" s="11"/>
      <c r="GJ38" s="11"/>
      <c r="GK38" s="11"/>
      <c r="GL38" s="11"/>
      <c r="GM38" s="11"/>
      <c r="GN38" s="11"/>
      <c r="GO38" s="12"/>
      <c r="GP38" s="11"/>
      <c r="GQ38" s="11"/>
      <c r="GR38" s="11"/>
      <c r="GS38" s="11"/>
      <c r="GT38" s="11"/>
      <c r="GU38" s="11"/>
      <c r="GV38" s="12"/>
      <c r="GW38" s="11"/>
      <c r="GX38" s="11"/>
      <c r="GY38" s="11"/>
      <c r="GZ38" s="11"/>
      <c r="HA38" s="11"/>
      <c r="HB38" s="11"/>
      <c r="HC38" s="12"/>
      <c r="HD38" s="11"/>
      <c r="HE38" s="11"/>
      <c r="HF38" s="11"/>
      <c r="HG38" s="11"/>
      <c r="HH38" s="11"/>
      <c r="HI38" s="11"/>
      <c r="HJ38" s="12"/>
      <c r="HK38" s="11"/>
      <c r="HL38" s="11"/>
      <c r="HM38" s="11"/>
      <c r="HN38" s="11"/>
      <c r="HO38" s="11"/>
      <c r="HP38" s="11"/>
      <c r="HQ38" s="12"/>
      <c r="HR38" s="11"/>
      <c r="HS38" s="11"/>
      <c r="HT38" s="11"/>
      <c r="HU38" s="11"/>
      <c r="HV38" s="11"/>
      <c r="HW38" s="11"/>
      <c r="HX38" s="12"/>
      <c r="HY38" s="11"/>
      <c r="HZ38" s="11"/>
      <c r="IA38" s="11"/>
      <c r="IB38" s="11"/>
      <c r="IC38" s="11"/>
      <c r="ID38" s="11"/>
      <c r="IE38" s="12"/>
      <c r="IF38" s="11"/>
      <c r="IG38" s="11"/>
      <c r="IH38" s="11"/>
      <c r="II38" s="11"/>
      <c r="IJ38" s="11"/>
      <c r="IK38" s="11"/>
      <c r="IL38" s="12"/>
      <c r="IM38" s="11"/>
      <c r="IN38" s="11"/>
      <c r="IO38" s="11"/>
      <c r="IP38" s="11"/>
      <c r="IQ38" s="11"/>
      <c r="IR38" s="11"/>
      <c r="IS38" s="12"/>
      <c r="IT38" s="11"/>
      <c r="IU38" s="11"/>
      <c r="IV38" s="11"/>
      <c r="IW38" s="11"/>
      <c r="IX38" s="11"/>
      <c r="IY38" s="11"/>
      <c r="IZ38" s="12"/>
      <c r="JA38" s="11"/>
      <c r="JB38" s="11"/>
      <c r="JC38" s="11"/>
      <c r="JD38" s="11"/>
      <c r="JE38" s="11"/>
      <c r="JF38" s="11"/>
      <c r="JG38" s="12"/>
      <c r="JH38" s="11"/>
      <c r="JI38" s="11"/>
      <c r="JJ38" s="11"/>
      <c r="JK38" s="11"/>
      <c r="JL38" s="11"/>
      <c r="JM38" s="11"/>
      <c r="JN38" s="12"/>
      <c r="JO38" s="11"/>
      <c r="JP38" s="11"/>
      <c r="JQ38" s="11"/>
      <c r="JR38" s="11"/>
      <c r="JS38" s="11"/>
      <c r="JT38" s="11"/>
      <c r="JU38" s="12"/>
      <c r="JV38" s="11"/>
      <c r="JW38" s="11"/>
      <c r="JX38" s="11"/>
      <c r="JY38" s="11"/>
      <c r="JZ38" s="11"/>
      <c r="KA38" s="11"/>
      <c r="KB38" s="12"/>
      <c r="KC38" s="11"/>
      <c r="KD38" s="11"/>
      <c r="KE38" s="11"/>
      <c r="KF38" s="11"/>
      <c r="KG38" s="11"/>
      <c r="KH38" s="11"/>
      <c r="KI38" s="12"/>
      <c r="KJ38" s="11"/>
      <c r="KK38" s="11"/>
      <c r="KL38" s="11"/>
      <c r="KM38" s="11"/>
      <c r="KN38" s="11"/>
      <c r="KO38" s="11"/>
      <c r="KP38" s="12"/>
      <c r="KQ38" s="11"/>
      <c r="KR38" s="11"/>
      <c r="KS38" s="11"/>
      <c r="KT38" s="11"/>
      <c r="KU38" s="11"/>
      <c r="KV38" s="11"/>
      <c r="KW38" s="12"/>
      <c r="KX38" s="11"/>
      <c r="KY38" s="11"/>
      <c r="KZ38" s="11"/>
      <c r="LA38" s="11"/>
      <c r="LB38" s="11"/>
      <c r="LC38" s="11"/>
      <c r="LD38" s="12"/>
      <c r="LE38" s="11"/>
      <c r="LF38" s="11"/>
      <c r="LG38" s="11"/>
      <c r="LH38" s="11"/>
      <c r="LI38" s="11"/>
      <c r="LJ38" s="11"/>
      <c r="LK38" s="12"/>
      <c r="LL38" s="11"/>
      <c r="LM38" s="11"/>
      <c r="LN38" s="11"/>
      <c r="LO38" s="11"/>
      <c r="LP38" s="11"/>
      <c r="LQ38" s="11"/>
      <c r="LR38" s="12"/>
      <c r="LS38" s="11"/>
      <c r="LT38" s="11"/>
      <c r="LU38" s="11"/>
      <c r="LV38" s="11"/>
      <c r="LW38" s="11"/>
      <c r="LX38" s="11"/>
      <c r="LY38" s="12"/>
      <c r="LZ38" s="11"/>
      <c r="MA38" s="11"/>
      <c r="MB38" s="11"/>
      <c r="MC38" s="11"/>
      <c r="MD38" s="11"/>
      <c r="ME38" s="11"/>
      <c r="MF38" s="12"/>
    </row>
    <row r="39" spans="1:344" hidden="1" x14ac:dyDescent="0.25">
      <c r="A39" s="11"/>
      <c r="B39" s="11"/>
      <c r="C39" s="11"/>
      <c r="D39" s="11"/>
      <c r="E39" s="11"/>
      <c r="F39" s="33">
        <v>37257</v>
      </c>
      <c r="G39" s="32">
        <v>37987</v>
      </c>
      <c r="H39" s="32">
        <v>38718</v>
      </c>
      <c r="I39" s="32">
        <v>39083</v>
      </c>
      <c r="J39" s="32">
        <v>39448</v>
      </c>
      <c r="K39" s="32">
        <v>39814</v>
      </c>
      <c r="L39" s="32">
        <v>40179</v>
      </c>
      <c r="M39" s="11"/>
      <c r="N39" s="11"/>
      <c r="O39" s="12"/>
      <c r="P39" s="11"/>
      <c r="Q39" s="11"/>
      <c r="R39" s="12"/>
      <c r="S39" s="12"/>
      <c r="T39" s="11"/>
      <c r="U39" s="11"/>
      <c r="V39" s="11"/>
      <c r="W39" s="11"/>
      <c r="X39" s="11"/>
      <c r="Y39" s="11"/>
      <c r="Z39" s="12"/>
      <c r="AA39" s="11"/>
      <c r="AB39" s="11"/>
      <c r="AC39" s="11"/>
      <c r="AD39" s="11"/>
      <c r="AE39" s="11"/>
      <c r="AF39" s="11"/>
      <c r="AG39" s="12"/>
      <c r="AH39" s="11"/>
      <c r="AI39" s="11"/>
      <c r="AJ39" s="11"/>
      <c r="AK39" s="11"/>
      <c r="AL39" s="11"/>
      <c r="AM39" s="11"/>
      <c r="AN39" s="12"/>
      <c r="AO39" s="11"/>
      <c r="AP39" s="11"/>
      <c r="AQ39" s="11"/>
      <c r="AR39" s="11"/>
      <c r="AS39" s="11"/>
      <c r="AT39" s="11"/>
      <c r="AU39" s="12"/>
      <c r="AV39" s="11"/>
      <c r="AW39" s="11"/>
      <c r="AX39" s="11"/>
      <c r="AY39" s="11"/>
      <c r="AZ39" s="11"/>
      <c r="BA39" s="11"/>
      <c r="BB39" s="12"/>
      <c r="BC39" s="11"/>
      <c r="BD39" s="11"/>
      <c r="BE39" s="11"/>
      <c r="BF39" s="11"/>
      <c r="BG39" s="11"/>
      <c r="BH39" s="11"/>
      <c r="BI39" s="12"/>
      <c r="BJ39" s="11"/>
      <c r="BK39" s="11"/>
      <c r="BL39" s="11"/>
      <c r="BM39" s="11"/>
      <c r="BN39" s="11"/>
      <c r="BO39" s="11"/>
      <c r="BP39" s="12"/>
      <c r="BQ39" s="11"/>
      <c r="BR39" s="11"/>
      <c r="BS39" s="11"/>
      <c r="BT39" s="11"/>
      <c r="BU39" s="11"/>
      <c r="BV39" s="11"/>
      <c r="BW39" s="11"/>
      <c r="BX39" s="11"/>
      <c r="BY39" s="12"/>
      <c r="BZ39" s="11"/>
      <c r="CA39" s="11"/>
      <c r="CB39" s="11"/>
      <c r="CC39" s="11"/>
      <c r="CD39" s="11"/>
      <c r="CE39" s="11"/>
      <c r="CF39" s="11"/>
      <c r="CG39" s="11"/>
      <c r="CH39" s="12"/>
      <c r="CI39" s="11"/>
      <c r="CJ39" s="11"/>
      <c r="CK39" s="11"/>
      <c r="CL39" s="11"/>
      <c r="CM39" s="11"/>
      <c r="CN39" s="11"/>
      <c r="CO39" s="11"/>
      <c r="CP39" s="11"/>
      <c r="CQ39" s="12"/>
      <c r="CR39" s="11"/>
      <c r="CS39" s="11"/>
      <c r="CT39" s="11"/>
      <c r="CU39" s="11"/>
      <c r="CV39" s="11"/>
      <c r="CW39" s="11"/>
      <c r="CX39" s="11"/>
      <c r="CY39" s="11"/>
      <c r="CZ39" s="12"/>
      <c r="DA39" s="11"/>
      <c r="DB39" s="11"/>
      <c r="DC39" s="11"/>
      <c r="DD39" s="11"/>
      <c r="DE39" s="11"/>
      <c r="DF39" s="11"/>
      <c r="DG39" s="11"/>
      <c r="DH39" s="11"/>
      <c r="DI39" s="12"/>
      <c r="DJ39" s="11"/>
      <c r="DK39" s="11"/>
      <c r="DL39" s="11"/>
      <c r="DM39" s="11"/>
      <c r="DN39" s="11"/>
      <c r="DO39" s="11"/>
      <c r="DP39" s="12"/>
      <c r="DQ39" s="11"/>
      <c r="DR39" s="11"/>
      <c r="DS39" s="11"/>
      <c r="DT39" s="11"/>
      <c r="DU39" s="11"/>
      <c r="DV39" s="11"/>
      <c r="DW39" s="12"/>
      <c r="DX39" s="11"/>
      <c r="DY39" s="11"/>
      <c r="DZ39" s="11"/>
      <c r="EA39" s="11"/>
      <c r="EB39" s="11"/>
      <c r="EC39" s="11"/>
      <c r="ED39" s="12"/>
      <c r="EE39" s="11"/>
      <c r="EF39" s="11"/>
      <c r="EG39" s="11"/>
      <c r="EH39" s="11"/>
      <c r="EI39" s="11"/>
      <c r="EJ39" s="11"/>
      <c r="EK39" s="12"/>
      <c r="EL39" s="11"/>
      <c r="EM39" s="11"/>
      <c r="EN39" s="11"/>
      <c r="EO39" s="11"/>
      <c r="EP39" s="11"/>
      <c r="EQ39" s="11"/>
      <c r="ER39" s="12"/>
      <c r="ES39" s="11"/>
      <c r="ET39" s="11"/>
      <c r="EU39" s="11"/>
      <c r="EV39" s="11"/>
      <c r="EW39" s="11"/>
      <c r="EX39" s="11"/>
      <c r="EY39" s="12"/>
      <c r="EZ39" s="11"/>
      <c r="FA39" s="11"/>
      <c r="FB39" s="11"/>
      <c r="FC39" s="11"/>
      <c r="FD39" s="11"/>
      <c r="FE39" s="11"/>
      <c r="FF39" s="12"/>
      <c r="FG39" s="11"/>
      <c r="FH39" s="11"/>
      <c r="FI39" s="11"/>
      <c r="FJ39" s="11"/>
      <c r="FK39" s="11"/>
      <c r="FL39" s="11"/>
      <c r="FM39" s="12"/>
      <c r="FN39" s="11"/>
      <c r="FO39" s="11"/>
      <c r="FP39" s="11"/>
      <c r="FQ39" s="11"/>
      <c r="FR39" s="11"/>
      <c r="FS39" s="11"/>
      <c r="FT39" s="12"/>
      <c r="FU39" s="11"/>
      <c r="FV39" s="11"/>
      <c r="FW39" s="11"/>
      <c r="FX39" s="11"/>
      <c r="FY39" s="11"/>
      <c r="FZ39" s="11"/>
      <c r="GA39" s="12"/>
      <c r="GB39" s="11"/>
      <c r="GC39" s="11"/>
      <c r="GD39" s="11"/>
      <c r="GE39" s="11"/>
      <c r="GF39" s="11"/>
      <c r="GG39" s="11"/>
      <c r="GH39" s="12"/>
      <c r="GI39" s="11"/>
      <c r="GJ39" s="11"/>
      <c r="GK39" s="11"/>
      <c r="GL39" s="11"/>
      <c r="GM39" s="11"/>
      <c r="GN39" s="11"/>
      <c r="GO39" s="12"/>
      <c r="GP39" s="11"/>
      <c r="GQ39" s="11"/>
      <c r="GR39" s="11"/>
      <c r="GS39" s="11"/>
      <c r="GT39" s="11"/>
      <c r="GU39" s="11"/>
      <c r="GV39" s="12"/>
      <c r="GW39" s="11"/>
      <c r="GX39" s="11"/>
      <c r="GY39" s="11"/>
      <c r="GZ39" s="11"/>
      <c r="HA39" s="11"/>
      <c r="HB39" s="11"/>
      <c r="HC39" s="12"/>
      <c r="HD39" s="11"/>
      <c r="HE39" s="11"/>
      <c r="HF39" s="11"/>
      <c r="HG39" s="11"/>
      <c r="HH39" s="11"/>
      <c r="HI39" s="11"/>
      <c r="HJ39" s="12"/>
      <c r="HK39" s="11"/>
      <c r="HL39" s="11"/>
      <c r="HM39" s="11"/>
      <c r="HN39" s="11"/>
      <c r="HO39" s="11"/>
      <c r="HP39" s="11"/>
      <c r="HQ39" s="12"/>
      <c r="HR39" s="11"/>
      <c r="HS39" s="11"/>
      <c r="HT39" s="11"/>
      <c r="HU39" s="11"/>
      <c r="HV39" s="11"/>
      <c r="HW39" s="11"/>
      <c r="HX39" s="12"/>
      <c r="HY39" s="11"/>
      <c r="HZ39" s="11"/>
      <c r="IA39" s="11"/>
      <c r="IB39" s="11"/>
      <c r="IC39" s="11"/>
      <c r="ID39" s="11"/>
      <c r="IE39" s="12"/>
      <c r="IF39" s="11"/>
      <c r="IG39" s="11"/>
      <c r="IH39" s="11"/>
      <c r="II39" s="11"/>
      <c r="IJ39" s="11"/>
      <c r="IK39" s="11"/>
      <c r="IL39" s="12"/>
      <c r="IM39" s="11"/>
      <c r="IN39" s="11"/>
      <c r="IO39" s="11"/>
      <c r="IP39" s="11"/>
      <c r="IQ39" s="11"/>
      <c r="IR39" s="11"/>
      <c r="IS39" s="12"/>
      <c r="IT39" s="11"/>
      <c r="IU39" s="11"/>
      <c r="IV39" s="11"/>
      <c r="IW39" s="11"/>
      <c r="IX39" s="11"/>
      <c r="IY39" s="11"/>
      <c r="IZ39" s="12"/>
      <c r="JA39" s="11"/>
      <c r="JB39" s="11"/>
      <c r="JC39" s="11"/>
      <c r="JD39" s="11"/>
      <c r="JE39" s="11"/>
      <c r="JF39" s="11"/>
      <c r="JG39" s="12"/>
      <c r="JH39" s="11"/>
      <c r="JI39" s="11"/>
      <c r="JJ39" s="11"/>
      <c r="JK39" s="11"/>
      <c r="JL39" s="11"/>
      <c r="JM39" s="11"/>
      <c r="JN39" s="12"/>
      <c r="JO39" s="11"/>
      <c r="JP39" s="11"/>
      <c r="JQ39" s="11"/>
      <c r="JR39" s="11"/>
      <c r="JS39" s="11"/>
      <c r="JT39" s="11"/>
      <c r="JU39" s="12"/>
      <c r="JV39" s="11"/>
      <c r="JW39" s="11"/>
      <c r="JX39" s="11"/>
      <c r="JY39" s="11"/>
      <c r="JZ39" s="11"/>
      <c r="KA39" s="11"/>
      <c r="KB39" s="12"/>
      <c r="KC39" s="11"/>
      <c r="KD39" s="11"/>
      <c r="KE39" s="11"/>
      <c r="KF39" s="11"/>
      <c r="KG39" s="11"/>
      <c r="KH39" s="11"/>
      <c r="KI39" s="12"/>
      <c r="KJ39" s="11"/>
      <c r="KK39" s="11"/>
      <c r="KL39" s="11"/>
      <c r="KM39" s="11"/>
      <c r="KN39" s="11"/>
      <c r="KO39" s="11"/>
      <c r="KP39" s="12"/>
      <c r="KQ39" s="11"/>
      <c r="KR39" s="11"/>
      <c r="KS39" s="11"/>
      <c r="KT39" s="11"/>
      <c r="KU39" s="11"/>
      <c r="KV39" s="11"/>
      <c r="KW39" s="12"/>
      <c r="KX39" s="11"/>
      <c r="KY39" s="11"/>
      <c r="KZ39" s="11"/>
      <c r="LA39" s="11"/>
      <c r="LB39" s="11"/>
      <c r="LC39" s="11"/>
      <c r="LD39" s="12"/>
      <c r="LE39" s="11"/>
      <c r="LF39" s="11"/>
      <c r="LG39" s="11"/>
      <c r="LH39" s="11"/>
      <c r="LI39" s="11"/>
      <c r="LJ39" s="11"/>
      <c r="LK39" s="12"/>
      <c r="LL39" s="11"/>
      <c r="LM39" s="11"/>
      <c r="LN39" s="11"/>
      <c r="LO39" s="11"/>
      <c r="LP39" s="11"/>
      <c r="LQ39" s="11"/>
      <c r="LR39" s="12"/>
      <c r="LS39" s="11"/>
      <c r="LT39" s="11"/>
      <c r="LU39" s="11"/>
      <c r="LV39" s="11"/>
      <c r="LW39" s="11"/>
      <c r="LX39" s="11"/>
      <c r="LY39" s="12"/>
      <c r="LZ39" s="11"/>
      <c r="MA39" s="11"/>
      <c r="MB39" s="11"/>
      <c r="MC39" s="11"/>
      <c r="MD39" s="11"/>
      <c r="ME39" s="11"/>
      <c r="MF39" s="12"/>
    </row>
    <row r="40" spans="1:344" ht="7.5" customHeight="1" x14ac:dyDescent="0.25">
      <c r="A40" s="8"/>
      <c r="B40" s="8"/>
      <c r="C40" s="8"/>
      <c r="D40" s="8"/>
      <c r="E40" s="8"/>
      <c r="F40" s="10"/>
      <c r="G40" s="19"/>
      <c r="H40" s="19"/>
      <c r="I40" s="8"/>
      <c r="J40" s="8"/>
      <c r="K40" s="8"/>
      <c r="L40" s="8"/>
      <c r="M40" s="8"/>
      <c r="N40" s="8"/>
      <c r="O40" s="9"/>
      <c r="P40" s="8" t="str">
        <f>IF(SUM(R40:MF40) &gt; 0, SUM(R40:MF40), "")</f>
        <v/>
      </c>
      <c r="Q40" s="8"/>
      <c r="R40" s="84"/>
      <c r="S40" s="7"/>
      <c r="Z40" s="7"/>
      <c r="AG40" s="7"/>
      <c r="AN40" s="7"/>
      <c r="AU40" s="7"/>
      <c r="BB40" s="7"/>
      <c r="BI40" s="7"/>
      <c r="BP40" s="7"/>
      <c r="BY40" s="7"/>
      <c r="CH40" s="7"/>
      <c r="CQ40" s="7"/>
      <c r="CZ40" s="7"/>
      <c r="DI40" s="7"/>
      <c r="DP40" s="7"/>
      <c r="DW40" s="7"/>
      <c r="ED40" s="7"/>
      <c r="EK40" s="7"/>
      <c r="ER40" s="7"/>
      <c r="EY40" s="7"/>
      <c r="FF40" s="7"/>
      <c r="FM40" s="7"/>
      <c r="FT40" s="7"/>
      <c r="GA40" s="7"/>
      <c r="GH40" s="7"/>
      <c r="GO40" s="7"/>
      <c r="GV40" s="7"/>
      <c r="HC40" s="7"/>
      <c r="HJ40" s="7"/>
      <c r="HQ40" s="7"/>
      <c r="HX40" s="7"/>
      <c r="IE40" s="7"/>
      <c r="IL40" s="7"/>
      <c r="IS40" s="7"/>
      <c r="IZ40" s="7"/>
      <c r="JG40" s="7"/>
      <c r="JN40" s="7"/>
      <c r="JU40" s="7"/>
      <c r="KB40" s="7"/>
      <c r="KI40" s="7"/>
      <c r="KP40" s="7"/>
      <c r="KW40" s="7"/>
      <c r="LD40" s="7"/>
      <c r="LK40" s="7"/>
      <c r="LR40" s="7"/>
      <c r="LY40" s="7"/>
      <c r="MF40" s="7"/>
    </row>
    <row r="41" spans="1:344" ht="15" customHeight="1" x14ac:dyDescent="0.25">
      <c r="A41" s="8" t="s">
        <v>116</v>
      </c>
      <c r="B41" s="8" t="s">
        <v>115</v>
      </c>
      <c r="C41" s="8" t="s">
        <v>114</v>
      </c>
      <c r="D41" s="8" t="s">
        <v>113</v>
      </c>
      <c r="E41" s="56">
        <v>40073</v>
      </c>
      <c r="F41" s="19">
        <f t="shared" ref="F41:L52" si="352">IF($E41 &gt;= F$39, 1, "")</f>
        <v>1</v>
      </c>
      <c r="G41" s="19">
        <f t="shared" si="352"/>
        <v>1</v>
      </c>
      <c r="H41" s="19">
        <f t="shared" si="352"/>
        <v>1</v>
      </c>
      <c r="I41" s="19">
        <f t="shared" si="352"/>
        <v>1</v>
      </c>
      <c r="J41" s="19">
        <f t="shared" si="352"/>
        <v>1</v>
      </c>
      <c r="K41" s="19">
        <f t="shared" si="352"/>
        <v>1</v>
      </c>
      <c r="L41" s="19" t="str">
        <f t="shared" si="352"/>
        <v/>
      </c>
      <c r="M41" s="8">
        <v>1</v>
      </c>
      <c r="N41" s="8"/>
      <c r="O41" s="9"/>
      <c r="P41" s="8">
        <f t="shared" ref="P41:P59" si="353">IF(SUM(S41:MF41) &gt; 0, SUM(S41:MF41), "")</f>
        <v>9</v>
      </c>
      <c r="Q41" s="109">
        <f t="shared" ref="Q41:Q59" si="354">IF(SUM(S41:XFD41) &gt; 0, SUM(S41:XFD41) / $P$60 * 100, "")</f>
        <v>64.285714285714292</v>
      </c>
      <c r="R41" s="84"/>
      <c r="S41" s="7"/>
      <c r="Z41" s="7"/>
      <c r="AG41" s="7"/>
      <c r="AK41">
        <v>1</v>
      </c>
      <c r="AN41" s="7"/>
      <c r="AR41">
        <v>1</v>
      </c>
      <c r="AU41" s="7"/>
      <c r="AX41">
        <v>1</v>
      </c>
      <c r="AY41">
        <v>1</v>
      </c>
      <c r="BB41" s="7"/>
      <c r="BF41">
        <v>1</v>
      </c>
      <c r="BI41" s="7"/>
      <c r="BM41">
        <v>1</v>
      </c>
      <c r="BN41">
        <v>1</v>
      </c>
      <c r="BP41" s="7">
        <v>1</v>
      </c>
      <c r="BW41">
        <v>1</v>
      </c>
      <c r="BY41" s="7"/>
      <c r="CH41" s="7"/>
      <c r="CQ41" s="7"/>
      <c r="CZ41" s="7"/>
      <c r="DI41" s="7"/>
      <c r="DP41" s="7"/>
      <c r="DW41" s="7"/>
      <c r="ED41" s="7"/>
      <c r="EK41" s="7"/>
      <c r="ER41" s="7"/>
      <c r="EY41" s="7"/>
      <c r="FF41" s="7"/>
      <c r="FM41" s="7"/>
      <c r="FT41" s="7"/>
      <c r="GA41" s="7"/>
      <c r="GH41" s="7"/>
      <c r="GO41" s="7"/>
      <c r="GV41" s="7"/>
      <c r="HC41" s="7"/>
      <c r="HJ41" s="7"/>
      <c r="HQ41" s="7"/>
      <c r="HX41" s="7"/>
      <c r="IE41" s="7"/>
      <c r="IL41" s="7"/>
      <c r="IS41" s="7"/>
      <c r="IZ41" s="7"/>
      <c r="JG41" s="7"/>
      <c r="JN41" s="7"/>
      <c r="JU41" s="7"/>
      <c r="KB41" s="7"/>
      <c r="KI41" s="7"/>
      <c r="KP41" s="7"/>
      <c r="KW41" s="7"/>
      <c r="LD41" s="7"/>
      <c r="LK41" s="7"/>
      <c r="LR41" s="7"/>
      <c r="LY41" s="7"/>
      <c r="MF41" s="7"/>
    </row>
    <row r="42" spans="1:344" ht="15" customHeight="1" x14ac:dyDescent="0.25">
      <c r="A42" s="8" t="s">
        <v>73</v>
      </c>
      <c r="B42" s="8" t="s">
        <v>108</v>
      </c>
      <c r="C42" s="8" t="s">
        <v>107</v>
      </c>
      <c r="D42" s="8" t="s">
        <v>106</v>
      </c>
      <c r="E42" s="18">
        <v>39474</v>
      </c>
      <c r="F42" s="10">
        <f t="shared" si="352"/>
        <v>1</v>
      </c>
      <c r="G42" s="19">
        <f t="shared" si="352"/>
        <v>1</v>
      </c>
      <c r="H42" s="19">
        <f t="shared" si="352"/>
        <v>1</v>
      </c>
      <c r="I42" s="19">
        <f t="shared" si="352"/>
        <v>1</v>
      </c>
      <c r="J42" s="19">
        <f t="shared" si="352"/>
        <v>1</v>
      </c>
      <c r="K42" s="19" t="str">
        <f t="shared" si="352"/>
        <v/>
      </c>
      <c r="L42" s="19" t="str">
        <f t="shared" si="352"/>
        <v/>
      </c>
      <c r="M42" s="8">
        <v>1</v>
      </c>
      <c r="N42" s="8"/>
      <c r="O42" s="9"/>
      <c r="P42" s="8">
        <f t="shared" si="353"/>
        <v>14</v>
      </c>
      <c r="Q42" s="109">
        <f t="shared" si="354"/>
        <v>100</v>
      </c>
      <c r="R42" s="84"/>
      <c r="S42" s="7"/>
      <c r="Z42" s="7"/>
      <c r="AG42" s="7"/>
      <c r="AI42">
        <v>1</v>
      </c>
      <c r="AK42">
        <v>1</v>
      </c>
      <c r="AN42" s="7"/>
      <c r="AP42">
        <v>1</v>
      </c>
      <c r="AR42">
        <v>1</v>
      </c>
      <c r="AU42" s="7"/>
      <c r="AW42">
        <v>1</v>
      </c>
      <c r="AX42">
        <v>1</v>
      </c>
      <c r="AY42">
        <v>1</v>
      </c>
      <c r="BB42" s="7"/>
      <c r="BD42">
        <v>1</v>
      </c>
      <c r="BF42">
        <v>1</v>
      </c>
      <c r="BI42" s="7"/>
      <c r="BK42">
        <v>1</v>
      </c>
      <c r="BM42">
        <v>1</v>
      </c>
      <c r="BN42">
        <v>1</v>
      </c>
      <c r="BP42" s="7">
        <v>1</v>
      </c>
      <c r="BW42">
        <v>1</v>
      </c>
      <c r="BY42" s="7"/>
      <c r="CH42" s="7"/>
      <c r="CQ42" s="7"/>
      <c r="CZ42" s="7"/>
      <c r="DI42" s="7"/>
      <c r="DP42" s="7"/>
      <c r="DW42" s="7"/>
      <c r="ED42" s="7"/>
      <c r="EK42" s="7"/>
      <c r="ER42" s="7"/>
      <c r="EY42" s="7"/>
      <c r="FF42" s="7"/>
      <c r="FM42" s="7"/>
      <c r="FT42" s="7"/>
      <c r="GA42" s="7"/>
      <c r="GH42" s="7"/>
      <c r="GO42" s="7"/>
      <c r="GV42" s="7"/>
      <c r="HC42" s="7"/>
      <c r="HJ42" s="7"/>
      <c r="HQ42" s="7"/>
      <c r="HX42" s="7"/>
      <c r="IE42" s="7"/>
      <c r="IL42" s="7"/>
      <c r="IS42" s="7"/>
      <c r="IZ42" s="7"/>
      <c r="JG42" s="7"/>
      <c r="JN42" s="7"/>
      <c r="JU42" s="7"/>
      <c r="KB42" s="7"/>
      <c r="KI42" s="7"/>
      <c r="KP42" s="7"/>
      <c r="KW42" s="7"/>
      <c r="LD42" s="7"/>
      <c r="LK42" s="7"/>
      <c r="LR42" s="7"/>
      <c r="LY42" s="7"/>
      <c r="MF42" s="7"/>
    </row>
    <row r="43" spans="1:344" ht="15" customHeight="1" x14ac:dyDescent="0.25">
      <c r="A43" s="8" t="s">
        <v>237</v>
      </c>
      <c r="B43" s="8" t="s">
        <v>238</v>
      </c>
      <c r="C43" s="8" t="s">
        <v>239</v>
      </c>
      <c r="D43" s="8" t="s">
        <v>240</v>
      </c>
      <c r="E43" s="18">
        <v>39425</v>
      </c>
      <c r="F43" s="10">
        <f t="shared" si="352"/>
        <v>1</v>
      </c>
      <c r="G43" s="19">
        <f t="shared" si="352"/>
        <v>1</v>
      </c>
      <c r="H43" s="19">
        <f t="shared" si="352"/>
        <v>1</v>
      </c>
      <c r="I43" s="19">
        <f t="shared" si="352"/>
        <v>1</v>
      </c>
      <c r="J43" s="19" t="str">
        <f t="shared" si="352"/>
        <v/>
      </c>
      <c r="K43" s="19" t="str">
        <f t="shared" si="352"/>
        <v/>
      </c>
      <c r="L43" s="19" t="str">
        <f t="shared" si="352"/>
        <v/>
      </c>
      <c r="M43" s="8">
        <v>1</v>
      </c>
      <c r="N43" s="8"/>
      <c r="O43" s="9"/>
      <c r="P43" s="8">
        <f t="shared" si="353"/>
        <v>12</v>
      </c>
      <c r="Q43" s="109">
        <f t="shared" si="354"/>
        <v>85.714285714285708</v>
      </c>
      <c r="R43" s="84"/>
      <c r="S43" s="7"/>
      <c r="Z43" s="7"/>
      <c r="AG43" s="7"/>
      <c r="AI43">
        <v>1</v>
      </c>
      <c r="AK43">
        <v>1</v>
      </c>
      <c r="AN43" s="7"/>
      <c r="AP43">
        <v>1</v>
      </c>
      <c r="AR43">
        <v>1</v>
      </c>
      <c r="AU43" s="7"/>
      <c r="AW43">
        <v>1</v>
      </c>
      <c r="AX43">
        <v>1</v>
      </c>
      <c r="AY43">
        <v>1</v>
      </c>
      <c r="BB43" s="7"/>
      <c r="BD43">
        <v>1</v>
      </c>
      <c r="BF43">
        <v>1</v>
      </c>
      <c r="BI43" s="7"/>
      <c r="BK43">
        <v>1</v>
      </c>
      <c r="BM43">
        <v>1</v>
      </c>
      <c r="BN43">
        <v>1</v>
      </c>
      <c r="BP43" s="7"/>
      <c r="BY43" s="7"/>
      <c r="CH43" s="7"/>
      <c r="CQ43" s="7"/>
      <c r="CZ43" s="7"/>
      <c r="DI43" s="7"/>
      <c r="DP43" s="7"/>
      <c r="DW43" s="7"/>
      <c r="ED43" s="7"/>
      <c r="EK43" s="7"/>
      <c r="ER43" s="7"/>
      <c r="EY43" s="7"/>
      <c r="FF43" s="7"/>
      <c r="FM43" s="7"/>
      <c r="FT43" s="7"/>
      <c r="GA43" s="7"/>
      <c r="GH43" s="7"/>
      <c r="GO43" s="7"/>
      <c r="GV43" s="7"/>
      <c r="HC43" s="7"/>
      <c r="HJ43" s="7"/>
      <c r="HQ43" s="7"/>
      <c r="HX43" s="7"/>
      <c r="IE43" s="7"/>
      <c r="IL43" s="7"/>
      <c r="IS43" s="7"/>
      <c r="IZ43" s="7"/>
      <c r="JG43" s="7"/>
      <c r="JN43" s="7"/>
      <c r="JU43" s="7"/>
      <c r="KB43" s="7"/>
      <c r="KI43" s="7"/>
      <c r="KP43" s="7"/>
      <c r="KW43" s="7"/>
      <c r="LD43" s="7"/>
      <c r="LK43" s="7"/>
      <c r="LR43" s="7"/>
      <c r="LY43" s="7"/>
      <c r="MF43" s="7"/>
    </row>
    <row r="44" spans="1:344" ht="15" customHeight="1" x14ac:dyDescent="0.25">
      <c r="A44" s="8" t="s">
        <v>234</v>
      </c>
      <c r="B44" s="8"/>
      <c r="C44" s="8" t="s">
        <v>36</v>
      </c>
      <c r="D44" s="8" t="s">
        <v>235</v>
      </c>
      <c r="E44" s="18">
        <v>38536</v>
      </c>
      <c r="F44" s="10">
        <f t="shared" si="352"/>
        <v>1</v>
      </c>
      <c r="G44" s="19">
        <f t="shared" si="352"/>
        <v>1</v>
      </c>
      <c r="H44" s="19" t="str">
        <f t="shared" si="352"/>
        <v/>
      </c>
      <c r="I44" s="19" t="str">
        <f t="shared" si="352"/>
        <v/>
      </c>
      <c r="J44" s="19" t="str">
        <f t="shared" si="352"/>
        <v/>
      </c>
      <c r="K44" s="19" t="str">
        <f t="shared" si="352"/>
        <v/>
      </c>
      <c r="L44" s="19" t="str">
        <f t="shared" si="352"/>
        <v/>
      </c>
      <c r="M44" s="8">
        <v>1</v>
      </c>
      <c r="N44" s="8"/>
      <c r="O44" s="9"/>
      <c r="P44" s="8">
        <f t="shared" si="353"/>
        <v>5</v>
      </c>
      <c r="Q44" s="109">
        <f t="shared" si="354"/>
        <v>35.714285714285715</v>
      </c>
      <c r="R44" s="84"/>
      <c r="S44" s="7"/>
      <c r="Z44" s="7"/>
      <c r="AG44" s="7"/>
      <c r="AI44">
        <v>1</v>
      </c>
      <c r="AN44" s="7"/>
      <c r="AR44">
        <v>1</v>
      </c>
      <c r="AU44" s="7"/>
      <c r="BB44" s="7"/>
      <c r="BD44">
        <v>1</v>
      </c>
      <c r="BI44" s="7"/>
      <c r="BM44">
        <v>1</v>
      </c>
      <c r="BN44">
        <v>1</v>
      </c>
      <c r="BP44" s="7"/>
      <c r="BY44" s="7"/>
      <c r="CH44" s="7"/>
      <c r="CQ44" s="7"/>
      <c r="CZ44" s="7"/>
      <c r="DI44" s="7"/>
      <c r="DP44" s="7"/>
      <c r="DW44" s="7"/>
      <c r="ED44" s="7"/>
      <c r="EK44" s="7"/>
      <c r="ER44" s="7"/>
      <c r="EY44" s="7"/>
      <c r="FF44" s="7"/>
      <c r="FM44" s="7"/>
      <c r="FT44" s="7"/>
      <c r="GA44" s="7"/>
      <c r="GH44" s="7"/>
      <c r="GO44" s="7"/>
      <c r="GV44" s="7"/>
      <c r="HC44" s="7"/>
      <c r="HJ44" s="7"/>
      <c r="HQ44" s="7"/>
      <c r="HX44" s="7"/>
      <c r="IE44" s="7"/>
      <c r="IL44" s="7"/>
      <c r="IS44" s="7"/>
      <c r="IZ44" s="7"/>
      <c r="JG44" s="7"/>
      <c r="JN44" s="7"/>
      <c r="JU44" s="7"/>
      <c r="KB44" s="7"/>
      <c r="KI44" s="7"/>
      <c r="KP44" s="7"/>
      <c r="KW44" s="7"/>
      <c r="LD44" s="7"/>
      <c r="LK44" s="7"/>
      <c r="LR44" s="7"/>
      <c r="LY44" s="7"/>
      <c r="MF44" s="7"/>
    </row>
    <row r="45" spans="1:344" x14ac:dyDescent="0.25">
      <c r="A45" s="8" t="s">
        <v>230</v>
      </c>
      <c r="B45" s="8" t="s">
        <v>231</v>
      </c>
      <c r="C45" s="8" t="s">
        <v>233</v>
      </c>
      <c r="D45" s="8" t="s">
        <v>232</v>
      </c>
      <c r="E45" s="18">
        <v>38679</v>
      </c>
      <c r="F45" s="10">
        <f t="shared" si="352"/>
        <v>1</v>
      </c>
      <c r="G45" s="19">
        <f t="shared" si="352"/>
        <v>1</v>
      </c>
      <c r="H45" s="19" t="str">
        <f t="shared" si="352"/>
        <v/>
      </c>
      <c r="I45" s="19" t="str">
        <f t="shared" si="352"/>
        <v/>
      </c>
      <c r="J45" s="19" t="str">
        <f t="shared" si="352"/>
        <v/>
      </c>
      <c r="K45" s="19" t="str">
        <f t="shared" si="352"/>
        <v/>
      </c>
      <c r="L45" s="19" t="str">
        <f t="shared" si="352"/>
        <v/>
      </c>
      <c r="M45" s="8">
        <v>1</v>
      </c>
      <c r="N45" s="8"/>
      <c r="O45" s="9"/>
      <c r="P45" s="8">
        <f t="shared" si="353"/>
        <v>5</v>
      </c>
      <c r="Q45" s="109">
        <f t="shared" si="354"/>
        <v>35.714285714285715</v>
      </c>
      <c r="R45" s="84"/>
      <c r="S45" s="7"/>
      <c r="Z45" s="7"/>
      <c r="AG45" s="7"/>
      <c r="AI45">
        <v>1</v>
      </c>
      <c r="AN45" s="7"/>
      <c r="AR45">
        <v>1</v>
      </c>
      <c r="AU45" s="7"/>
      <c r="BB45" s="7"/>
      <c r="BD45">
        <v>1</v>
      </c>
      <c r="BI45" s="7"/>
      <c r="BM45">
        <v>1</v>
      </c>
      <c r="BN45">
        <v>1</v>
      </c>
      <c r="BP45" s="7"/>
      <c r="BY45" s="7"/>
      <c r="CH45" s="7"/>
      <c r="CQ45" s="7"/>
      <c r="CZ45" s="7"/>
      <c r="DI45" s="7"/>
      <c r="DP45" s="7"/>
      <c r="DW45" s="7"/>
      <c r="ED45" s="7"/>
      <c r="EK45" s="7"/>
      <c r="ER45" s="7"/>
      <c r="EY45" s="7"/>
      <c r="FF45" s="7"/>
      <c r="FM45" s="7"/>
      <c r="FT45" s="7"/>
      <c r="GA45" s="7"/>
      <c r="GH45" s="7"/>
      <c r="GO45" s="7"/>
      <c r="GV45" s="7"/>
      <c r="HC45" s="7"/>
      <c r="HJ45" s="7"/>
      <c r="HQ45" s="7"/>
      <c r="HX45" s="7"/>
      <c r="IE45" s="7"/>
      <c r="IL45" s="7"/>
      <c r="IS45" s="7"/>
      <c r="IZ45" s="7"/>
      <c r="JG45" s="7"/>
      <c r="JN45" s="7"/>
      <c r="JU45" s="7"/>
      <c r="KB45" s="7"/>
      <c r="KI45" s="7"/>
      <c r="KP45" s="7"/>
      <c r="KW45" s="7"/>
      <c r="LD45" s="7"/>
      <c r="LK45" s="7"/>
      <c r="LR45" s="7"/>
      <c r="LY45" s="7"/>
      <c r="MF45" s="7"/>
    </row>
    <row r="46" spans="1:344" x14ac:dyDescent="0.25">
      <c r="A46" s="8" t="s">
        <v>62</v>
      </c>
      <c r="B46" s="8"/>
      <c r="C46" s="8" t="s">
        <v>293</v>
      </c>
      <c r="D46" s="8" t="s">
        <v>294</v>
      </c>
      <c r="E46" s="18">
        <v>39814</v>
      </c>
      <c r="F46" s="10">
        <f t="shared" si="352"/>
        <v>1</v>
      </c>
      <c r="G46" s="19">
        <f t="shared" si="352"/>
        <v>1</v>
      </c>
      <c r="H46" s="19">
        <f t="shared" si="352"/>
        <v>1</v>
      </c>
      <c r="I46" s="8">
        <f t="shared" si="352"/>
        <v>1</v>
      </c>
      <c r="J46" s="8">
        <f t="shared" si="352"/>
        <v>1</v>
      </c>
      <c r="K46" s="8">
        <f t="shared" si="352"/>
        <v>1</v>
      </c>
      <c r="L46" s="8" t="str">
        <f t="shared" si="352"/>
        <v/>
      </c>
      <c r="M46" s="8">
        <v>1</v>
      </c>
      <c r="N46" s="8"/>
      <c r="O46" s="9"/>
      <c r="P46" s="8">
        <f t="shared" si="353"/>
        <v>3</v>
      </c>
      <c r="Q46" s="109">
        <f t="shared" si="354"/>
        <v>21.428571428571427</v>
      </c>
      <c r="R46" s="84"/>
      <c r="S46" s="7"/>
      <c r="Z46" s="7"/>
      <c r="AG46" s="7"/>
      <c r="AN46" s="7"/>
      <c r="AP46">
        <v>1</v>
      </c>
      <c r="AU46" s="7"/>
      <c r="AY46">
        <v>1</v>
      </c>
      <c r="BB46" s="7"/>
      <c r="BF46">
        <v>1</v>
      </c>
      <c r="BI46" s="7"/>
      <c r="BP46" s="7"/>
      <c r="BY46" s="7"/>
      <c r="CH46" s="7"/>
      <c r="CQ46" s="7"/>
      <c r="CZ46" s="7"/>
      <c r="DI46" s="7"/>
      <c r="DP46" s="7"/>
      <c r="DW46" s="7"/>
      <c r="ED46" s="7"/>
      <c r="EK46" s="7"/>
      <c r="ER46" s="7"/>
      <c r="EY46" s="7"/>
      <c r="FF46" s="7"/>
      <c r="FM46" s="7"/>
      <c r="FT46" s="7"/>
      <c r="GA46" s="7"/>
      <c r="GH46" s="7"/>
      <c r="GO46" s="7"/>
      <c r="GV46" s="7"/>
      <c r="HC46" s="7"/>
      <c r="HJ46" s="7"/>
      <c r="HQ46" s="7"/>
      <c r="HX46" s="7"/>
      <c r="IE46" s="7"/>
      <c r="IL46" s="7"/>
      <c r="IS46" s="7"/>
      <c r="IZ46" s="7"/>
      <c r="JG46" s="7"/>
      <c r="JN46" s="7"/>
      <c r="JU46" s="7"/>
      <c r="KB46" s="7"/>
      <c r="KI46" s="7"/>
      <c r="KP46" s="7"/>
      <c r="KW46" s="7"/>
      <c r="LD46" s="7"/>
      <c r="LK46" s="7"/>
      <c r="LR46" s="7"/>
      <c r="LY46" s="7"/>
      <c r="MF46" s="7"/>
    </row>
    <row r="47" spans="1:344" x14ac:dyDescent="0.25">
      <c r="A47" s="8" t="s">
        <v>92</v>
      </c>
      <c r="B47" s="8"/>
      <c r="C47" s="8" t="s">
        <v>91</v>
      </c>
      <c r="D47" s="8" t="s">
        <v>90</v>
      </c>
      <c r="E47" s="18">
        <v>39507</v>
      </c>
      <c r="F47" s="10">
        <f t="shared" si="352"/>
        <v>1</v>
      </c>
      <c r="G47" s="19">
        <f t="shared" si="352"/>
        <v>1</v>
      </c>
      <c r="H47" s="19">
        <f t="shared" si="352"/>
        <v>1</v>
      </c>
      <c r="I47" s="19">
        <f t="shared" si="352"/>
        <v>1</v>
      </c>
      <c r="J47" s="19">
        <f t="shared" si="352"/>
        <v>1</v>
      </c>
      <c r="K47" s="19" t="str">
        <f t="shared" si="352"/>
        <v/>
      </c>
      <c r="L47" s="19" t="str">
        <f t="shared" si="352"/>
        <v/>
      </c>
      <c r="M47" s="8">
        <v>1</v>
      </c>
      <c r="N47" s="8"/>
      <c r="O47" s="9"/>
      <c r="P47" s="8">
        <f t="shared" si="353"/>
        <v>12</v>
      </c>
      <c r="Q47" s="109">
        <f t="shared" si="354"/>
        <v>85.714285714285708</v>
      </c>
      <c r="R47" s="84"/>
      <c r="S47" s="7"/>
      <c r="Z47" s="7"/>
      <c r="AG47" s="7"/>
      <c r="AI47">
        <v>1</v>
      </c>
      <c r="AN47" s="7"/>
      <c r="AP47">
        <v>1</v>
      </c>
      <c r="AR47">
        <v>1</v>
      </c>
      <c r="AU47" s="7"/>
      <c r="AW47">
        <v>1</v>
      </c>
      <c r="AX47">
        <v>1</v>
      </c>
      <c r="AY47">
        <v>1</v>
      </c>
      <c r="BB47" s="7"/>
      <c r="BD47">
        <v>1</v>
      </c>
      <c r="BF47">
        <v>1</v>
      </c>
      <c r="BI47" s="7"/>
      <c r="BK47">
        <v>1</v>
      </c>
      <c r="BM47">
        <v>1</v>
      </c>
      <c r="BN47">
        <v>1</v>
      </c>
      <c r="BP47" s="7">
        <v>1</v>
      </c>
      <c r="BY47" s="7"/>
      <c r="CH47" s="7"/>
      <c r="CQ47" s="7"/>
      <c r="CZ47" s="7"/>
      <c r="DI47" s="7"/>
      <c r="DP47" s="7"/>
      <c r="DW47" s="7"/>
      <c r="ED47" s="7"/>
      <c r="EK47" s="7"/>
      <c r="ER47" s="7"/>
      <c r="EY47" s="7"/>
      <c r="FF47" s="7"/>
      <c r="FM47" s="7"/>
      <c r="FT47" s="7"/>
      <c r="GA47" s="7"/>
      <c r="GH47" s="7"/>
      <c r="GO47" s="7"/>
      <c r="GV47" s="7"/>
      <c r="HC47" s="7"/>
      <c r="HJ47" s="7"/>
      <c r="HQ47" s="7"/>
      <c r="HX47" s="7"/>
      <c r="IE47" s="7"/>
      <c r="IL47" s="7"/>
      <c r="IS47" s="7"/>
      <c r="IZ47" s="7"/>
      <c r="JG47" s="7"/>
      <c r="JN47" s="7"/>
      <c r="JU47" s="7"/>
      <c r="KB47" s="7"/>
      <c r="KI47" s="7"/>
      <c r="KP47" s="7"/>
      <c r="KW47" s="7"/>
      <c r="LD47" s="7"/>
      <c r="LK47" s="7"/>
      <c r="LR47" s="7"/>
      <c r="LY47" s="7"/>
      <c r="MF47" s="7"/>
    </row>
    <row r="48" spans="1:344" x14ac:dyDescent="0.25">
      <c r="A48" s="8" t="s">
        <v>89</v>
      </c>
      <c r="B48" s="8"/>
      <c r="C48" s="8" t="s">
        <v>88</v>
      </c>
      <c r="D48" s="8" t="s">
        <v>87</v>
      </c>
      <c r="E48" s="18">
        <v>39651</v>
      </c>
      <c r="F48" s="10">
        <f t="shared" si="352"/>
        <v>1</v>
      </c>
      <c r="G48" s="19">
        <f t="shared" si="352"/>
        <v>1</v>
      </c>
      <c r="H48" s="19">
        <f t="shared" si="352"/>
        <v>1</v>
      </c>
      <c r="I48" s="8">
        <f t="shared" si="352"/>
        <v>1</v>
      </c>
      <c r="J48" s="8">
        <f t="shared" si="352"/>
        <v>1</v>
      </c>
      <c r="K48" s="8" t="str">
        <f t="shared" si="352"/>
        <v/>
      </c>
      <c r="L48" s="8" t="str">
        <f t="shared" si="352"/>
        <v/>
      </c>
      <c r="M48" s="8">
        <v>1</v>
      </c>
      <c r="N48" s="8"/>
      <c r="O48" s="9"/>
      <c r="P48" s="8">
        <f t="shared" si="353"/>
        <v>3</v>
      </c>
      <c r="Q48" s="109">
        <f t="shared" si="354"/>
        <v>21.428571428571427</v>
      </c>
      <c r="R48" s="84"/>
      <c r="S48" s="7"/>
      <c r="Z48" s="7"/>
      <c r="AG48" s="7"/>
      <c r="AI48">
        <v>1</v>
      </c>
      <c r="AK48">
        <v>1</v>
      </c>
      <c r="AN48" s="7"/>
      <c r="AU48" s="7"/>
      <c r="AW48">
        <v>1</v>
      </c>
      <c r="BB48" s="7"/>
      <c r="BI48" s="7"/>
      <c r="BP48" s="7"/>
      <c r="BY48" s="7"/>
      <c r="CH48" s="7"/>
      <c r="CQ48" s="7"/>
      <c r="CZ48" s="7"/>
      <c r="DI48" s="7"/>
      <c r="DP48" s="7"/>
      <c r="DW48" s="7"/>
      <c r="ED48" s="7"/>
      <c r="EK48" s="7"/>
      <c r="ER48" s="7"/>
      <c r="EY48" s="7"/>
      <c r="FF48" s="7"/>
      <c r="FM48" s="7"/>
      <c r="FT48" s="7"/>
      <c r="GA48" s="7"/>
      <c r="GH48" s="7"/>
      <c r="GO48" s="7"/>
      <c r="GV48" s="7"/>
      <c r="HC48" s="7"/>
      <c r="HJ48" s="7"/>
      <c r="HQ48" s="7"/>
      <c r="HX48" s="7"/>
      <c r="IE48" s="7"/>
      <c r="IL48" s="7"/>
      <c r="IS48" s="7"/>
      <c r="IZ48" s="7"/>
      <c r="JG48" s="7"/>
      <c r="JN48" s="7"/>
      <c r="JU48" s="7"/>
      <c r="KB48" s="7"/>
      <c r="KI48" s="7"/>
      <c r="KP48" s="7"/>
      <c r="KW48" s="7"/>
      <c r="LD48" s="7"/>
      <c r="LK48" s="7"/>
      <c r="LR48" s="7"/>
      <c r="LY48" s="7"/>
      <c r="MF48" s="7"/>
    </row>
    <row r="49" spans="1:344" x14ac:dyDescent="0.25">
      <c r="A49" s="8" t="s">
        <v>134</v>
      </c>
      <c r="B49" s="8" t="s">
        <v>133</v>
      </c>
      <c r="C49" s="8" t="s">
        <v>236</v>
      </c>
      <c r="D49" s="8" t="s">
        <v>87</v>
      </c>
      <c r="E49" s="18">
        <v>38979</v>
      </c>
      <c r="F49" s="10">
        <f t="shared" si="352"/>
        <v>1</v>
      </c>
      <c r="G49" s="19">
        <f t="shared" si="352"/>
        <v>1</v>
      </c>
      <c r="H49" s="19">
        <f t="shared" si="352"/>
        <v>1</v>
      </c>
      <c r="I49" s="8" t="str">
        <f t="shared" si="352"/>
        <v/>
      </c>
      <c r="J49" s="8" t="str">
        <f t="shared" si="352"/>
        <v/>
      </c>
      <c r="K49" s="8" t="str">
        <f t="shared" si="352"/>
        <v/>
      </c>
      <c r="L49" s="8" t="str">
        <f t="shared" si="352"/>
        <v/>
      </c>
      <c r="M49" s="8">
        <v>1</v>
      </c>
      <c r="N49" s="8"/>
      <c r="O49" s="9"/>
      <c r="P49" s="8">
        <f t="shared" si="353"/>
        <v>8</v>
      </c>
      <c r="Q49" s="109">
        <f t="shared" si="354"/>
        <v>57.142857142857139</v>
      </c>
      <c r="R49" s="84"/>
      <c r="S49" s="7"/>
      <c r="Z49" s="7"/>
      <c r="AG49" s="7"/>
      <c r="AI49">
        <v>1</v>
      </c>
      <c r="AK49">
        <v>1</v>
      </c>
      <c r="AN49" s="7"/>
      <c r="AU49" s="7"/>
      <c r="AW49">
        <v>1</v>
      </c>
      <c r="AX49">
        <v>1</v>
      </c>
      <c r="BB49" s="7"/>
      <c r="BI49" s="7"/>
      <c r="BK49">
        <v>1</v>
      </c>
      <c r="BM49">
        <v>1</v>
      </c>
      <c r="BN49">
        <v>1</v>
      </c>
      <c r="BP49" s="7">
        <v>1</v>
      </c>
      <c r="BY49" s="7"/>
      <c r="CH49" s="7"/>
      <c r="CQ49" s="7"/>
      <c r="CZ49" s="7"/>
      <c r="DI49" s="7"/>
      <c r="DP49" s="7"/>
      <c r="DW49" s="7"/>
      <c r="ED49" s="7"/>
      <c r="EK49" s="7"/>
      <c r="ER49" s="7"/>
      <c r="EY49" s="7"/>
      <c r="FF49" s="7"/>
      <c r="FM49" s="7"/>
      <c r="FT49" s="7"/>
      <c r="GA49" s="7"/>
      <c r="GH49" s="7"/>
      <c r="GO49" s="7"/>
      <c r="GV49" s="7"/>
      <c r="HC49" s="7"/>
      <c r="HJ49" s="7"/>
      <c r="HQ49" s="7"/>
      <c r="HX49" s="7"/>
      <c r="IE49" s="7"/>
      <c r="IL49" s="7"/>
      <c r="IS49" s="7"/>
      <c r="IZ49" s="7"/>
      <c r="JG49" s="7"/>
      <c r="JN49" s="7"/>
      <c r="JU49" s="7"/>
      <c r="KB49" s="7"/>
      <c r="KI49" s="7"/>
      <c r="KP49" s="7"/>
      <c r="KW49" s="7"/>
      <c r="LD49" s="7"/>
      <c r="LK49" s="7"/>
      <c r="LR49" s="7"/>
      <c r="LY49" s="7"/>
      <c r="MF49" s="7"/>
    </row>
    <row r="50" spans="1:344" x14ac:dyDescent="0.25">
      <c r="A50" s="8" t="s">
        <v>86</v>
      </c>
      <c r="B50" s="8"/>
      <c r="C50" s="8" t="s">
        <v>85</v>
      </c>
      <c r="D50" s="8" t="s">
        <v>84</v>
      </c>
      <c r="E50" s="18">
        <v>39562</v>
      </c>
      <c r="F50" s="10">
        <f t="shared" si="352"/>
        <v>1</v>
      </c>
      <c r="G50" s="19">
        <f t="shared" si="352"/>
        <v>1</v>
      </c>
      <c r="H50" s="19">
        <f t="shared" si="352"/>
        <v>1</v>
      </c>
      <c r="I50" s="8">
        <f t="shared" si="352"/>
        <v>1</v>
      </c>
      <c r="J50" s="8">
        <f t="shared" si="352"/>
        <v>1</v>
      </c>
      <c r="K50" s="8" t="str">
        <f t="shared" si="352"/>
        <v/>
      </c>
      <c r="L50" s="8" t="str">
        <f t="shared" si="352"/>
        <v/>
      </c>
      <c r="M50" s="8">
        <v>1</v>
      </c>
      <c r="N50" s="8"/>
      <c r="O50" s="9"/>
      <c r="P50" s="8">
        <f t="shared" si="353"/>
        <v>5</v>
      </c>
      <c r="Q50" s="109">
        <f t="shared" si="354"/>
        <v>35.714285714285715</v>
      </c>
      <c r="R50" s="84"/>
      <c r="S50" s="7"/>
      <c r="Z50" s="7"/>
      <c r="AG50" s="7"/>
      <c r="AN50" s="7"/>
      <c r="AP50">
        <v>1</v>
      </c>
      <c r="AR50">
        <v>1</v>
      </c>
      <c r="AU50" s="7"/>
      <c r="AW50">
        <v>1</v>
      </c>
      <c r="BB50" s="7"/>
      <c r="BI50" s="7"/>
      <c r="BM50">
        <v>1</v>
      </c>
      <c r="BN50">
        <v>1</v>
      </c>
      <c r="BP50" s="7"/>
      <c r="BY50" s="7"/>
      <c r="CH50" s="7"/>
      <c r="CQ50" s="7"/>
      <c r="CZ50" s="7"/>
      <c r="DI50" s="7"/>
      <c r="DP50" s="7"/>
      <c r="DW50" s="7"/>
      <c r="ED50" s="7"/>
      <c r="EK50" s="7"/>
      <c r="ER50" s="7"/>
      <c r="EY50" s="7"/>
      <c r="FF50" s="7"/>
      <c r="FM50" s="7"/>
      <c r="FT50" s="7"/>
      <c r="GA50" s="7"/>
      <c r="GH50" s="7"/>
      <c r="GO50" s="7"/>
      <c r="GV50" s="7"/>
      <c r="HC50" s="7"/>
      <c r="HJ50" s="7"/>
      <c r="HQ50" s="7"/>
      <c r="HX50" s="7"/>
      <c r="IE50" s="7"/>
      <c r="IL50" s="7"/>
      <c r="IS50" s="7"/>
      <c r="IZ50" s="7"/>
      <c r="JG50" s="7"/>
      <c r="JN50" s="7"/>
      <c r="JU50" s="7"/>
      <c r="KB50" s="7"/>
      <c r="KI50" s="7"/>
      <c r="KP50" s="7"/>
      <c r="KW50" s="7"/>
      <c r="LD50" s="7"/>
      <c r="LK50" s="7"/>
      <c r="LR50" s="7"/>
      <c r="LY50" s="7"/>
      <c r="MF50" s="7"/>
    </row>
    <row r="51" spans="1:344" x14ac:dyDescent="0.25">
      <c r="A51" s="8" t="s">
        <v>83</v>
      </c>
      <c r="B51" s="8"/>
      <c r="C51" s="8" t="s">
        <v>82</v>
      </c>
      <c r="D51" s="8" t="s">
        <v>81</v>
      </c>
      <c r="E51" s="18">
        <v>39475</v>
      </c>
      <c r="F51" s="10">
        <f t="shared" si="352"/>
        <v>1</v>
      </c>
      <c r="G51" s="19">
        <f t="shared" si="352"/>
        <v>1</v>
      </c>
      <c r="H51" s="19">
        <f t="shared" si="352"/>
        <v>1</v>
      </c>
      <c r="I51" s="8">
        <f t="shared" si="352"/>
        <v>1</v>
      </c>
      <c r="J51" s="8">
        <f t="shared" si="352"/>
        <v>1</v>
      </c>
      <c r="K51" s="8" t="str">
        <f t="shared" si="352"/>
        <v/>
      </c>
      <c r="L51" s="8" t="str">
        <f t="shared" si="352"/>
        <v/>
      </c>
      <c r="M51" s="8">
        <v>1</v>
      </c>
      <c r="N51" s="8"/>
      <c r="O51" s="9"/>
      <c r="P51" s="8">
        <f t="shared" si="353"/>
        <v>10</v>
      </c>
      <c r="Q51" s="109">
        <f t="shared" si="354"/>
        <v>71.428571428571431</v>
      </c>
      <c r="R51" s="84"/>
      <c r="S51" s="7"/>
      <c r="Z51" s="7"/>
      <c r="AG51" s="7"/>
      <c r="AI51">
        <v>1</v>
      </c>
      <c r="AK51">
        <v>1</v>
      </c>
      <c r="AN51" s="7"/>
      <c r="AP51">
        <v>1</v>
      </c>
      <c r="AR51">
        <v>1</v>
      </c>
      <c r="AU51" s="7"/>
      <c r="AY51">
        <v>1</v>
      </c>
      <c r="BB51" s="7"/>
      <c r="BD51">
        <v>1</v>
      </c>
      <c r="BF51">
        <v>1</v>
      </c>
      <c r="BI51" s="7"/>
      <c r="BK51">
        <v>1</v>
      </c>
      <c r="BM51">
        <v>1</v>
      </c>
      <c r="BN51">
        <v>1</v>
      </c>
      <c r="BP51" s="7"/>
      <c r="BY51" s="7"/>
      <c r="CH51" s="7"/>
      <c r="CQ51" s="7"/>
      <c r="CZ51" s="7"/>
      <c r="DI51" s="7"/>
      <c r="DP51" s="7"/>
      <c r="DW51" s="7"/>
      <c r="ED51" s="7"/>
      <c r="EK51" s="7"/>
      <c r="ER51" s="7"/>
      <c r="EY51" s="7"/>
      <c r="FF51" s="7"/>
      <c r="FM51" s="7"/>
      <c r="FT51" s="7"/>
      <c r="GA51" s="7"/>
      <c r="GH51" s="7"/>
      <c r="GO51" s="7"/>
      <c r="GV51" s="7"/>
      <c r="HC51" s="7"/>
      <c r="HJ51" s="7"/>
      <c r="HQ51" s="7"/>
      <c r="HX51" s="7"/>
      <c r="IE51" s="7"/>
      <c r="IL51" s="7"/>
      <c r="IS51" s="7"/>
      <c r="IZ51" s="7"/>
      <c r="JG51" s="7"/>
      <c r="JN51" s="7"/>
      <c r="JU51" s="7"/>
      <c r="KB51" s="7"/>
      <c r="KI51" s="7"/>
      <c r="KP51" s="7"/>
      <c r="KW51" s="7"/>
      <c r="LD51" s="7"/>
      <c r="LK51" s="7"/>
      <c r="LR51" s="7"/>
      <c r="LY51" s="7"/>
      <c r="MF51" s="7"/>
    </row>
    <row r="52" spans="1:344" x14ac:dyDescent="0.25">
      <c r="A52" s="8" t="s">
        <v>80</v>
      </c>
      <c r="B52" s="8"/>
      <c r="C52" s="8" t="s">
        <v>79</v>
      </c>
      <c r="D52" s="8" t="s">
        <v>78</v>
      </c>
      <c r="E52" s="18">
        <v>39927</v>
      </c>
      <c r="F52" s="10">
        <f t="shared" si="352"/>
        <v>1</v>
      </c>
      <c r="G52" s="19">
        <f t="shared" si="352"/>
        <v>1</v>
      </c>
      <c r="H52" s="19">
        <f t="shared" si="352"/>
        <v>1</v>
      </c>
      <c r="I52" s="8">
        <f t="shared" si="352"/>
        <v>1</v>
      </c>
      <c r="J52" s="8">
        <f t="shared" si="352"/>
        <v>1</v>
      </c>
      <c r="K52" s="8">
        <f t="shared" si="352"/>
        <v>1</v>
      </c>
      <c r="L52" s="8" t="str">
        <f t="shared" si="352"/>
        <v/>
      </c>
      <c r="M52" s="8">
        <v>1</v>
      </c>
      <c r="N52" s="8"/>
      <c r="O52" s="9"/>
      <c r="P52" s="8">
        <f t="shared" si="353"/>
        <v>4</v>
      </c>
      <c r="Q52" s="109">
        <f t="shared" si="354"/>
        <v>28.571428571428569</v>
      </c>
      <c r="R52" s="84"/>
      <c r="S52" s="7"/>
      <c r="Z52" s="7"/>
      <c r="AG52" s="7"/>
      <c r="AI52">
        <v>1</v>
      </c>
      <c r="AK52">
        <v>1</v>
      </c>
      <c r="AN52" s="7"/>
      <c r="AP52">
        <v>1</v>
      </c>
      <c r="AU52" s="7"/>
      <c r="AW52">
        <v>1</v>
      </c>
      <c r="BB52" s="7"/>
      <c r="BI52" s="7"/>
      <c r="BP52" s="7"/>
      <c r="BY52" s="7"/>
      <c r="CH52" s="7"/>
      <c r="CQ52" s="7"/>
      <c r="CZ52" s="7"/>
      <c r="DI52" s="7"/>
      <c r="DP52" s="7"/>
      <c r="DW52" s="7"/>
      <c r="ED52" s="7"/>
      <c r="EK52" s="7"/>
      <c r="ER52" s="7"/>
      <c r="EY52" s="7"/>
      <c r="FF52" s="7"/>
      <c r="FM52" s="7"/>
      <c r="FT52" s="7"/>
      <c r="GA52" s="7"/>
      <c r="GH52" s="7"/>
      <c r="GO52" s="7"/>
      <c r="GV52" s="7"/>
      <c r="HC52" s="7"/>
      <c r="HJ52" s="7"/>
      <c r="HQ52" s="7"/>
      <c r="HX52" s="7"/>
      <c r="IE52" s="7"/>
      <c r="IL52" s="7"/>
      <c r="IS52" s="7"/>
      <c r="IZ52" s="7"/>
      <c r="JG52" s="7"/>
      <c r="JN52" s="7"/>
      <c r="JU52" s="7"/>
      <c r="KB52" s="7"/>
      <c r="KI52" s="7"/>
      <c r="KP52" s="7"/>
      <c r="KW52" s="7"/>
      <c r="LD52" s="7"/>
      <c r="LK52" s="7"/>
      <c r="LR52" s="7"/>
      <c r="LY52" s="7"/>
      <c r="MF52" s="7"/>
    </row>
    <row r="53" spans="1:344" x14ac:dyDescent="0.25">
      <c r="A53" s="8" t="s">
        <v>77</v>
      </c>
      <c r="B53" s="8" t="s">
        <v>76</v>
      </c>
      <c r="C53" s="8" t="s">
        <v>75</v>
      </c>
      <c r="D53" s="8" t="s">
        <v>74</v>
      </c>
      <c r="E53" s="18">
        <v>40051</v>
      </c>
      <c r="F53" s="10">
        <f t="shared" ref="F53:L59" si="355">IF($E53 &gt;= F$39, 1, "")</f>
        <v>1</v>
      </c>
      <c r="G53" s="19">
        <f t="shared" si="355"/>
        <v>1</v>
      </c>
      <c r="H53" s="19">
        <f t="shared" si="355"/>
        <v>1</v>
      </c>
      <c r="I53" s="8">
        <f t="shared" si="355"/>
        <v>1</v>
      </c>
      <c r="J53" s="8">
        <f t="shared" si="355"/>
        <v>1</v>
      </c>
      <c r="K53" s="8">
        <f t="shared" si="355"/>
        <v>1</v>
      </c>
      <c r="L53" s="8" t="str">
        <f t="shared" si="355"/>
        <v/>
      </c>
      <c r="M53" s="8">
        <v>1</v>
      </c>
      <c r="N53" s="8"/>
      <c r="O53" s="9"/>
      <c r="P53" s="8">
        <f t="shared" si="353"/>
        <v>7</v>
      </c>
      <c r="Q53" s="109">
        <f t="shared" si="354"/>
        <v>50</v>
      </c>
      <c r="R53" s="84"/>
      <c r="S53" s="7"/>
      <c r="Z53" s="7"/>
      <c r="AG53" s="7"/>
      <c r="AI53">
        <v>1</v>
      </c>
      <c r="AN53" s="7"/>
      <c r="AP53">
        <v>1</v>
      </c>
      <c r="AU53" s="7"/>
      <c r="AW53">
        <v>1</v>
      </c>
      <c r="AX53">
        <v>1</v>
      </c>
      <c r="BB53" s="7"/>
      <c r="BD53">
        <v>1</v>
      </c>
      <c r="BI53" s="7"/>
      <c r="BK53">
        <v>1</v>
      </c>
      <c r="BN53">
        <v>1</v>
      </c>
      <c r="BP53" s="7"/>
      <c r="BY53" s="7"/>
      <c r="CH53" s="7"/>
      <c r="CQ53" s="7"/>
      <c r="CZ53" s="7"/>
      <c r="DI53" s="7"/>
      <c r="DP53" s="7"/>
      <c r="DW53" s="7"/>
      <c r="ED53" s="7"/>
      <c r="EK53" s="7"/>
      <c r="ER53" s="7"/>
      <c r="EY53" s="7"/>
      <c r="FF53" s="7"/>
      <c r="FM53" s="7"/>
      <c r="FT53" s="7"/>
      <c r="GA53" s="7"/>
      <c r="GH53" s="7"/>
      <c r="GO53" s="7"/>
      <c r="GV53" s="7"/>
      <c r="HC53" s="7"/>
      <c r="HJ53" s="7"/>
      <c r="HQ53" s="7"/>
      <c r="HX53" s="7"/>
      <c r="IE53" s="7"/>
      <c r="IL53" s="7"/>
      <c r="IS53" s="7"/>
      <c r="IZ53" s="7"/>
      <c r="JG53" s="7"/>
      <c r="JN53" s="7"/>
      <c r="JU53" s="7"/>
      <c r="KB53" s="7"/>
      <c r="KI53" s="7"/>
      <c r="KP53" s="7"/>
      <c r="KW53" s="7"/>
      <c r="LD53" s="7"/>
      <c r="LK53" s="7"/>
      <c r="LR53" s="7"/>
      <c r="LY53" s="7"/>
      <c r="MF53" s="7"/>
    </row>
    <row r="54" spans="1:344" x14ac:dyDescent="0.25">
      <c r="A54" s="8" t="s">
        <v>73</v>
      </c>
      <c r="B54" s="8"/>
      <c r="C54" s="8" t="s">
        <v>27</v>
      </c>
      <c r="D54" s="8" t="s">
        <v>70</v>
      </c>
      <c r="E54" s="18">
        <v>40004</v>
      </c>
      <c r="F54" s="10">
        <f t="shared" si="355"/>
        <v>1</v>
      </c>
      <c r="G54" s="19">
        <f t="shared" si="355"/>
        <v>1</v>
      </c>
      <c r="H54" s="19">
        <f t="shared" si="355"/>
        <v>1</v>
      </c>
      <c r="I54" s="8">
        <f t="shared" si="355"/>
        <v>1</v>
      </c>
      <c r="J54" s="8">
        <f t="shared" si="355"/>
        <v>1</v>
      </c>
      <c r="K54" s="8">
        <f t="shared" si="355"/>
        <v>1</v>
      </c>
      <c r="L54" s="8" t="str">
        <f t="shared" si="355"/>
        <v/>
      </c>
      <c r="M54" s="8">
        <v>1</v>
      </c>
      <c r="N54" s="8"/>
      <c r="O54" s="9"/>
      <c r="P54" s="8">
        <f t="shared" si="353"/>
        <v>8</v>
      </c>
      <c r="Q54" s="109">
        <f t="shared" si="354"/>
        <v>57.142857142857139</v>
      </c>
      <c r="R54" s="84"/>
      <c r="S54" s="7"/>
      <c r="Z54" s="7"/>
      <c r="AG54" s="7"/>
      <c r="AI54">
        <v>1</v>
      </c>
      <c r="AN54" s="7"/>
      <c r="AP54">
        <v>1</v>
      </c>
      <c r="AR54">
        <v>1</v>
      </c>
      <c r="AU54" s="7"/>
      <c r="AW54">
        <v>1</v>
      </c>
      <c r="AY54">
        <v>1</v>
      </c>
      <c r="BB54" s="7"/>
      <c r="BD54">
        <v>1</v>
      </c>
      <c r="BI54" s="7"/>
      <c r="BK54">
        <v>1</v>
      </c>
      <c r="BM54">
        <v>1</v>
      </c>
      <c r="BP54" s="7"/>
      <c r="BY54" s="7"/>
      <c r="CH54" s="7"/>
      <c r="CQ54" s="7"/>
      <c r="CZ54" s="7"/>
      <c r="DI54" s="7"/>
      <c r="DP54" s="7"/>
      <c r="DW54" s="7"/>
      <c r="ED54" s="7"/>
      <c r="EK54" s="7"/>
      <c r="ER54" s="7"/>
      <c r="EY54" s="7"/>
      <c r="FF54" s="7"/>
      <c r="FM54" s="7"/>
      <c r="FT54" s="7"/>
      <c r="GA54" s="7"/>
      <c r="GH54" s="7"/>
      <c r="GO54" s="7"/>
      <c r="GV54" s="7"/>
      <c r="HC54" s="7"/>
      <c r="HJ54" s="7"/>
      <c r="HQ54" s="7"/>
      <c r="HX54" s="7"/>
      <c r="IE54" s="7"/>
      <c r="IL54" s="7"/>
      <c r="IS54" s="7"/>
      <c r="IZ54" s="7"/>
      <c r="JG54" s="7"/>
      <c r="JN54" s="7"/>
      <c r="JU54" s="7"/>
      <c r="KB54" s="7"/>
      <c r="KI54" s="7"/>
      <c r="KP54" s="7"/>
      <c r="KW54" s="7"/>
      <c r="LD54" s="7"/>
      <c r="LK54" s="7"/>
      <c r="LR54" s="7"/>
      <c r="LY54" s="7"/>
      <c r="MF54" s="7"/>
    </row>
    <row r="55" spans="1:344" hidden="1" x14ac:dyDescent="0.25">
      <c r="A55" s="8"/>
      <c r="B55" s="8"/>
      <c r="C55" s="8"/>
      <c r="D55" s="8"/>
      <c r="E55" s="18"/>
      <c r="F55" s="10" t="str">
        <f t="shared" si="355"/>
        <v/>
      </c>
      <c r="G55" s="19" t="str">
        <f t="shared" si="355"/>
        <v/>
      </c>
      <c r="H55" s="19" t="str">
        <f t="shared" si="355"/>
        <v/>
      </c>
      <c r="I55" s="8" t="str">
        <f t="shared" si="355"/>
        <v/>
      </c>
      <c r="J55" s="8" t="str">
        <f t="shared" si="355"/>
        <v/>
      </c>
      <c r="K55" s="8" t="str">
        <f t="shared" si="355"/>
        <v/>
      </c>
      <c r="L55" s="8" t="str">
        <f t="shared" si="355"/>
        <v/>
      </c>
      <c r="M55" s="8"/>
      <c r="N55" s="8"/>
      <c r="O55" s="9"/>
      <c r="P55" s="8" t="str">
        <f t="shared" si="353"/>
        <v/>
      </c>
      <c r="Q55" s="109" t="str">
        <f t="shared" si="354"/>
        <v/>
      </c>
      <c r="R55" s="84" t="str">
        <f>IF(SUM(S55:XFD55) &gt; 0, SUM(S55:XFD55) / $P$60 * 100, "")</f>
        <v/>
      </c>
      <c r="S55" s="7"/>
      <c r="Z55" s="7"/>
      <c r="AG55" s="7"/>
      <c r="AN55" s="7"/>
      <c r="AU55" s="7"/>
      <c r="BB55" s="7"/>
      <c r="BI55" s="7"/>
      <c r="BP55" s="7"/>
      <c r="BY55" s="7"/>
      <c r="CH55" s="7"/>
      <c r="CQ55" s="7"/>
      <c r="CZ55" s="7"/>
      <c r="DI55" s="7"/>
      <c r="DP55" s="7"/>
      <c r="DW55" s="7"/>
      <c r="ED55" s="7"/>
      <c r="EK55" s="7"/>
      <c r="ER55" s="7"/>
      <c r="EY55" s="7"/>
      <c r="FF55" s="7"/>
      <c r="FM55" s="7"/>
      <c r="FT55" s="7"/>
      <c r="GA55" s="7"/>
      <c r="GH55" s="7"/>
      <c r="GO55" s="7"/>
      <c r="GV55" s="7"/>
      <c r="HC55" s="7"/>
      <c r="HJ55" s="7"/>
      <c r="HQ55" s="7"/>
      <c r="HX55" s="7"/>
      <c r="IE55" s="7"/>
      <c r="IL55" s="7"/>
      <c r="IS55" s="7"/>
      <c r="IZ55" s="7"/>
      <c r="JG55" s="7"/>
      <c r="JN55" s="7"/>
      <c r="JU55" s="7"/>
      <c r="KB55" s="7"/>
      <c r="KI55" s="7"/>
      <c r="KP55" s="7"/>
      <c r="KW55" s="7"/>
      <c r="LD55" s="7"/>
      <c r="LK55" s="7"/>
      <c r="LR55" s="7"/>
      <c r="LY55" s="7"/>
      <c r="MF55" s="7"/>
    </row>
    <row r="56" spans="1:344" hidden="1" x14ac:dyDescent="0.25">
      <c r="A56" s="8"/>
      <c r="B56" s="8"/>
      <c r="C56" s="8"/>
      <c r="D56" s="8"/>
      <c r="E56" s="18"/>
      <c r="F56" s="10" t="str">
        <f t="shared" si="355"/>
        <v/>
      </c>
      <c r="G56" s="19" t="str">
        <f t="shared" si="355"/>
        <v/>
      </c>
      <c r="H56" s="19" t="str">
        <f t="shared" si="355"/>
        <v/>
      </c>
      <c r="I56" s="8" t="str">
        <f t="shared" si="355"/>
        <v/>
      </c>
      <c r="J56" s="8" t="str">
        <f t="shared" si="355"/>
        <v/>
      </c>
      <c r="K56" s="8" t="str">
        <f t="shared" si="355"/>
        <v/>
      </c>
      <c r="L56" s="8" t="str">
        <f t="shared" si="355"/>
        <v/>
      </c>
      <c r="M56" s="8"/>
      <c r="N56" s="8"/>
      <c r="O56" s="9"/>
      <c r="P56" s="8" t="str">
        <f t="shared" si="353"/>
        <v/>
      </c>
      <c r="Q56" s="109" t="str">
        <f t="shared" si="354"/>
        <v/>
      </c>
      <c r="R56" s="84" t="str">
        <f>IF(SUM(S56:XFD56) &gt; 0, SUM(S56:XFD56) / $P$60 * 100, "")</f>
        <v/>
      </c>
      <c r="S56" s="7"/>
      <c r="Z56" s="7"/>
      <c r="AG56" s="7"/>
      <c r="AN56" s="7"/>
      <c r="AU56" s="7"/>
      <c r="BB56" s="7"/>
      <c r="BI56" s="7"/>
      <c r="BP56" s="7"/>
      <c r="BY56" s="7"/>
      <c r="CH56" s="7"/>
      <c r="CQ56" s="7"/>
      <c r="CZ56" s="7"/>
      <c r="DI56" s="7"/>
      <c r="DP56" s="7"/>
      <c r="DW56" s="7"/>
      <c r="ED56" s="7"/>
      <c r="EK56" s="7"/>
      <c r="ER56" s="7"/>
      <c r="EY56" s="7"/>
      <c r="FF56" s="7"/>
      <c r="FM56" s="7"/>
      <c r="FT56" s="7"/>
      <c r="GA56" s="7"/>
      <c r="GH56" s="7"/>
      <c r="GO56" s="7"/>
      <c r="GV56" s="7"/>
      <c r="HC56" s="7"/>
      <c r="HJ56" s="7"/>
      <c r="HQ56" s="7"/>
      <c r="HX56" s="7"/>
      <c r="IE56" s="7"/>
      <c r="IL56" s="7"/>
      <c r="IS56" s="7"/>
      <c r="IZ56" s="7"/>
      <c r="JG56" s="7"/>
      <c r="JN56" s="7"/>
      <c r="JU56" s="7"/>
      <c r="KB56" s="7"/>
      <c r="KI56" s="7"/>
      <c r="KP56" s="7"/>
      <c r="KW56" s="7"/>
      <c r="LD56" s="7"/>
      <c r="LK56" s="7"/>
      <c r="LR56" s="7"/>
      <c r="LY56" s="7"/>
      <c r="MF56" s="7"/>
    </row>
    <row r="57" spans="1:344" hidden="1" x14ac:dyDescent="0.25">
      <c r="A57" s="8"/>
      <c r="B57" s="8"/>
      <c r="C57" s="8"/>
      <c r="D57" s="8"/>
      <c r="E57" s="18"/>
      <c r="F57" s="10" t="str">
        <f t="shared" si="355"/>
        <v/>
      </c>
      <c r="G57" s="19" t="str">
        <f t="shared" si="355"/>
        <v/>
      </c>
      <c r="H57" s="19" t="str">
        <f t="shared" si="355"/>
        <v/>
      </c>
      <c r="I57" s="8" t="str">
        <f t="shared" si="355"/>
        <v/>
      </c>
      <c r="J57" s="8" t="str">
        <f t="shared" si="355"/>
        <v/>
      </c>
      <c r="K57" s="8" t="str">
        <f t="shared" si="355"/>
        <v/>
      </c>
      <c r="L57" s="8" t="str">
        <f t="shared" si="355"/>
        <v/>
      </c>
      <c r="M57" s="8"/>
      <c r="N57" s="8"/>
      <c r="O57" s="9"/>
      <c r="P57" s="8" t="str">
        <f t="shared" si="353"/>
        <v/>
      </c>
      <c r="Q57" s="109" t="str">
        <f t="shared" si="354"/>
        <v/>
      </c>
      <c r="R57" s="84" t="str">
        <f>IF(SUM(S57:XFD57) &gt; 0, SUM(S57:XFD57) / $P$60 * 100, "")</f>
        <v/>
      </c>
      <c r="S57" s="7"/>
      <c r="Z57" s="7"/>
      <c r="AG57" s="7"/>
      <c r="AN57" s="7"/>
      <c r="AU57" s="7"/>
      <c r="BB57" s="7"/>
      <c r="BI57" s="7"/>
      <c r="BP57" s="7"/>
      <c r="BY57" s="7"/>
      <c r="CH57" s="7"/>
      <c r="CQ57" s="7"/>
      <c r="CZ57" s="7"/>
      <c r="DI57" s="7"/>
      <c r="DP57" s="7"/>
      <c r="DW57" s="7"/>
      <c r="ED57" s="7"/>
      <c r="EK57" s="7"/>
      <c r="ER57" s="7"/>
      <c r="EY57" s="7"/>
      <c r="FF57" s="7"/>
      <c r="FM57" s="7"/>
      <c r="FT57" s="7"/>
      <c r="GA57" s="7"/>
      <c r="GH57" s="7"/>
      <c r="GO57" s="7"/>
      <c r="GV57" s="7"/>
      <c r="HC57" s="7"/>
      <c r="HJ57" s="7"/>
      <c r="HQ57" s="7"/>
      <c r="HX57" s="7"/>
      <c r="IE57" s="7"/>
      <c r="IL57" s="7"/>
      <c r="IS57" s="7"/>
      <c r="IZ57" s="7"/>
      <c r="JG57" s="7"/>
      <c r="JN57" s="7"/>
      <c r="JU57" s="7"/>
      <c r="KB57" s="7"/>
      <c r="KI57" s="7"/>
      <c r="KP57" s="7"/>
      <c r="KW57" s="7"/>
      <c r="LD57" s="7"/>
      <c r="LK57" s="7"/>
      <c r="LR57" s="7"/>
      <c r="LY57" s="7"/>
      <c r="MF57" s="7"/>
    </row>
    <row r="58" spans="1:344" hidden="1" x14ac:dyDescent="0.25">
      <c r="A58" s="8"/>
      <c r="B58" s="8"/>
      <c r="C58" s="8"/>
      <c r="D58" s="8"/>
      <c r="E58" s="18"/>
      <c r="F58" s="10" t="str">
        <f t="shared" si="355"/>
        <v/>
      </c>
      <c r="G58" s="19" t="str">
        <f t="shared" si="355"/>
        <v/>
      </c>
      <c r="H58" s="19" t="str">
        <f t="shared" si="355"/>
        <v/>
      </c>
      <c r="I58" s="8" t="str">
        <f t="shared" si="355"/>
        <v/>
      </c>
      <c r="J58" s="8" t="str">
        <f t="shared" si="355"/>
        <v/>
      </c>
      <c r="K58" s="8" t="str">
        <f t="shared" si="355"/>
        <v/>
      </c>
      <c r="L58" s="8" t="str">
        <f t="shared" si="355"/>
        <v/>
      </c>
      <c r="M58" s="8"/>
      <c r="N58" s="8"/>
      <c r="O58" s="9"/>
      <c r="P58" s="8" t="str">
        <f t="shared" si="353"/>
        <v/>
      </c>
      <c r="Q58" s="109" t="str">
        <f t="shared" si="354"/>
        <v/>
      </c>
      <c r="R58" s="84" t="str">
        <f>IF(SUM(S58:XFD58) &gt; 0, SUM(S58:XFD58) / $P$60 * 100, "")</f>
        <v/>
      </c>
      <c r="S58" s="7"/>
      <c r="Z58" s="7"/>
      <c r="AG58" s="7"/>
      <c r="AN58" s="7"/>
      <c r="AU58" s="7"/>
      <c r="BB58" s="7"/>
      <c r="BI58" s="7"/>
      <c r="BP58" s="7"/>
      <c r="BY58" s="7"/>
      <c r="CH58" s="7"/>
      <c r="CQ58" s="7"/>
      <c r="CZ58" s="7"/>
      <c r="DI58" s="7"/>
      <c r="DP58" s="7"/>
      <c r="DW58" s="7"/>
      <c r="ED58" s="7"/>
      <c r="EK58" s="7"/>
      <c r="ER58" s="7"/>
      <c r="EY58" s="7"/>
      <c r="FF58" s="7"/>
      <c r="FM58" s="7"/>
      <c r="FT58" s="7"/>
      <c r="GA58" s="7"/>
      <c r="GH58" s="7"/>
      <c r="GO58" s="7"/>
      <c r="GV58" s="7"/>
      <c r="HC58" s="7"/>
      <c r="HJ58" s="7"/>
      <c r="HQ58" s="7"/>
      <c r="HX58" s="7"/>
      <c r="IE58" s="7"/>
      <c r="IL58" s="7"/>
      <c r="IS58" s="7"/>
      <c r="IZ58" s="7"/>
      <c r="JG58" s="7"/>
      <c r="JN58" s="7"/>
      <c r="JU58" s="7"/>
      <c r="KB58" s="7"/>
      <c r="KI58" s="7"/>
      <c r="KP58" s="7"/>
      <c r="KW58" s="7"/>
      <c r="LD58" s="7"/>
      <c r="LK58" s="7"/>
      <c r="LR58" s="7"/>
      <c r="LY58" s="7"/>
      <c r="MF58" s="7"/>
    </row>
    <row r="59" spans="1:344" ht="7.5" customHeight="1" x14ac:dyDescent="0.25">
      <c r="A59" s="8"/>
      <c r="B59" s="8"/>
      <c r="C59" s="8"/>
      <c r="D59" s="8"/>
      <c r="E59" s="18"/>
      <c r="F59" s="10" t="str">
        <f t="shared" si="355"/>
        <v/>
      </c>
      <c r="G59" s="19" t="str">
        <f t="shared" si="355"/>
        <v/>
      </c>
      <c r="H59" s="19" t="str">
        <f t="shared" si="355"/>
        <v/>
      </c>
      <c r="I59" s="19" t="str">
        <f t="shared" si="355"/>
        <v/>
      </c>
      <c r="J59" s="19" t="str">
        <f t="shared" si="355"/>
        <v/>
      </c>
      <c r="K59" s="19" t="str">
        <f t="shared" si="355"/>
        <v/>
      </c>
      <c r="L59" s="19" t="str">
        <f t="shared" si="355"/>
        <v/>
      </c>
      <c r="M59" s="8"/>
      <c r="N59" s="8"/>
      <c r="O59" s="9"/>
      <c r="P59" s="8" t="str">
        <f t="shared" si="353"/>
        <v/>
      </c>
      <c r="Q59" s="109" t="str">
        <f t="shared" si="354"/>
        <v/>
      </c>
      <c r="R59" s="84"/>
      <c r="S59" s="7"/>
      <c r="Z59" s="7"/>
      <c r="AG59" s="7"/>
      <c r="AN59" s="7"/>
      <c r="AU59" s="7"/>
      <c r="BB59" s="7"/>
      <c r="BI59" s="7"/>
      <c r="BP59" s="7"/>
      <c r="BY59" s="7"/>
      <c r="CH59" s="7"/>
      <c r="CQ59" s="7"/>
      <c r="CZ59" s="7"/>
      <c r="DI59" s="7"/>
      <c r="DP59" s="7"/>
      <c r="DW59" s="7"/>
      <c r="ED59" s="7"/>
      <c r="EK59" s="7"/>
      <c r="ER59" s="7"/>
      <c r="EY59" s="7"/>
      <c r="FF59" s="7"/>
      <c r="FM59" s="7"/>
      <c r="FT59" s="7"/>
      <c r="GA59" s="7"/>
      <c r="GH59" s="7"/>
      <c r="GO59" s="7"/>
      <c r="GV59" s="7"/>
      <c r="HC59" s="7"/>
      <c r="HJ59" s="7"/>
      <c r="HQ59" s="7"/>
      <c r="HX59" s="7"/>
      <c r="IE59" s="7"/>
      <c r="IL59" s="7"/>
      <c r="IS59" s="7"/>
      <c r="IZ59" s="7"/>
      <c r="JG59" s="7"/>
      <c r="JN59" s="7"/>
      <c r="JU59" s="7"/>
      <c r="KB59" s="7"/>
      <c r="KI59" s="7"/>
      <c r="KP59" s="7"/>
      <c r="KW59" s="7"/>
      <c r="LD59" s="7"/>
      <c r="LK59" s="7"/>
      <c r="LR59" s="7"/>
      <c r="LY59" s="7"/>
      <c r="MF59" s="7"/>
    </row>
    <row r="60" spans="1:344" ht="15" customHeight="1" x14ac:dyDescent="0.25">
      <c r="A60" s="23" t="s">
        <v>18</v>
      </c>
      <c r="B60" s="20"/>
      <c r="C60" s="20"/>
      <c r="D60" s="20"/>
      <c r="E60" s="59"/>
      <c r="F60" s="20"/>
      <c r="G60" s="20"/>
      <c r="H60" s="20"/>
      <c r="I60" s="20"/>
      <c r="J60" s="20"/>
      <c r="K60" s="20"/>
      <c r="L60" s="20"/>
      <c r="M60" s="20"/>
      <c r="N60" s="20"/>
      <c r="O60" s="21"/>
      <c r="P60" s="3">
        <f>SUM(S60:MF60)</f>
        <v>14</v>
      </c>
      <c r="Q60" s="60"/>
      <c r="R60" s="82"/>
      <c r="S60" s="21"/>
      <c r="T60" s="20"/>
      <c r="U60" s="20"/>
      <c r="V60" s="20"/>
      <c r="W60" s="20"/>
      <c r="X60" s="20"/>
      <c r="Y60" s="20"/>
      <c r="Z60" s="21"/>
      <c r="AA60" s="20"/>
      <c r="AB60" s="20"/>
      <c r="AC60" s="20"/>
      <c r="AD60" s="20"/>
      <c r="AE60" s="20"/>
      <c r="AF60" s="20"/>
      <c r="AG60" s="21"/>
      <c r="AH60" s="20"/>
      <c r="AI60" s="20">
        <v>1</v>
      </c>
      <c r="AJ60" s="20"/>
      <c r="AK60" s="20">
        <v>1</v>
      </c>
      <c r="AL60" s="20"/>
      <c r="AM60" s="20"/>
      <c r="AN60" s="21"/>
      <c r="AO60" s="20"/>
      <c r="AP60" s="20">
        <v>1</v>
      </c>
      <c r="AQ60" s="20"/>
      <c r="AR60" s="20">
        <v>1</v>
      </c>
      <c r="AS60" s="20"/>
      <c r="AT60" s="20"/>
      <c r="AU60" s="21"/>
      <c r="AV60" s="20"/>
      <c r="AW60" s="20">
        <v>1</v>
      </c>
      <c r="AX60" s="20">
        <v>1</v>
      </c>
      <c r="AY60" s="20">
        <v>1</v>
      </c>
      <c r="AZ60" s="20"/>
      <c r="BA60" s="20"/>
      <c r="BB60" s="21"/>
      <c r="BC60" s="20"/>
      <c r="BD60" s="20">
        <v>1</v>
      </c>
      <c r="BE60" s="20"/>
      <c r="BF60" s="20">
        <v>1</v>
      </c>
      <c r="BG60" s="20"/>
      <c r="BH60" s="20"/>
      <c r="BI60" s="21"/>
      <c r="BJ60" s="20"/>
      <c r="BK60" s="20">
        <v>1</v>
      </c>
      <c r="BL60" s="20"/>
      <c r="BM60" s="20">
        <v>1</v>
      </c>
      <c r="BN60" s="20">
        <v>1</v>
      </c>
      <c r="BO60" s="20"/>
      <c r="BP60" s="21">
        <v>1</v>
      </c>
      <c r="BQ60" s="20"/>
      <c r="BR60" s="20"/>
      <c r="BS60" s="20"/>
      <c r="BT60" s="20"/>
      <c r="BU60" s="20"/>
      <c r="BV60" s="20"/>
      <c r="BW60" s="20">
        <v>1</v>
      </c>
      <c r="BX60" s="20"/>
      <c r="BY60" s="21"/>
      <c r="BZ60" s="20"/>
      <c r="CA60" s="20"/>
      <c r="CB60" s="20"/>
      <c r="CC60" s="20"/>
      <c r="CD60" s="20"/>
      <c r="CE60" s="20"/>
      <c r="CF60" s="20"/>
      <c r="CG60" s="20"/>
      <c r="CH60" s="21"/>
      <c r="CI60" s="20"/>
      <c r="CJ60" s="20"/>
      <c r="CK60" s="20"/>
      <c r="CL60" s="20"/>
      <c r="CM60" s="20"/>
      <c r="CN60" s="20"/>
      <c r="CO60" s="20"/>
      <c r="CP60" s="20"/>
      <c r="CQ60" s="21"/>
      <c r="CR60" s="20"/>
      <c r="CS60" s="20"/>
      <c r="CT60" s="20"/>
      <c r="CU60" s="20"/>
      <c r="CV60" s="20"/>
      <c r="CW60" s="20"/>
      <c r="CX60" s="20"/>
      <c r="CY60" s="20"/>
      <c r="CZ60" s="21"/>
      <c r="DA60" s="20"/>
      <c r="DB60" s="20"/>
      <c r="DC60" s="20"/>
      <c r="DD60" s="20"/>
      <c r="DE60" s="20"/>
      <c r="DF60" s="20"/>
      <c r="DG60" s="20"/>
      <c r="DH60" s="20"/>
      <c r="DI60" s="21"/>
      <c r="DJ60" s="20"/>
      <c r="DK60" s="20"/>
      <c r="DL60" s="20"/>
      <c r="DM60" s="20"/>
      <c r="DN60" s="20"/>
      <c r="DO60" s="20"/>
      <c r="DP60" s="21"/>
      <c r="DQ60" s="20"/>
      <c r="DR60" s="20"/>
      <c r="DS60" s="20"/>
      <c r="DT60" s="20"/>
      <c r="DU60" s="20"/>
      <c r="DV60" s="20"/>
      <c r="DW60" s="21"/>
      <c r="DX60" s="20"/>
      <c r="DY60" s="20"/>
      <c r="DZ60" s="20"/>
      <c r="EA60" s="20"/>
      <c r="EB60" s="20"/>
      <c r="EC60" s="20"/>
      <c r="ED60" s="21"/>
      <c r="EE60" s="20"/>
      <c r="EF60" s="20"/>
      <c r="EG60" s="20"/>
      <c r="EH60" s="20"/>
      <c r="EI60" s="20"/>
      <c r="EJ60" s="20"/>
      <c r="EK60" s="21"/>
      <c r="EL60" s="20"/>
      <c r="EM60" s="20"/>
      <c r="EN60" s="20"/>
      <c r="EO60" s="20"/>
      <c r="EP60" s="20"/>
      <c r="EQ60" s="20"/>
      <c r="ER60" s="21"/>
      <c r="ES60" s="20"/>
      <c r="ET60" s="20"/>
      <c r="EU60" s="20"/>
      <c r="EV60" s="20"/>
      <c r="EW60" s="20"/>
      <c r="EX60" s="20"/>
      <c r="EY60" s="21"/>
      <c r="EZ60" s="20"/>
      <c r="FA60" s="20"/>
      <c r="FB60" s="20"/>
      <c r="FC60" s="20"/>
      <c r="FD60" s="20"/>
      <c r="FE60" s="20"/>
      <c r="FF60" s="21"/>
      <c r="FG60" s="20"/>
      <c r="FH60" s="20"/>
      <c r="FI60" s="20"/>
      <c r="FJ60" s="20"/>
      <c r="FK60" s="20"/>
      <c r="FL60" s="20"/>
      <c r="FM60" s="21"/>
      <c r="FN60" s="20"/>
      <c r="FO60" s="20"/>
      <c r="FP60" s="20"/>
      <c r="FQ60" s="20"/>
      <c r="FR60" s="20"/>
      <c r="FS60" s="20"/>
      <c r="FT60" s="21"/>
      <c r="FU60" s="20"/>
      <c r="FV60" s="20"/>
      <c r="FW60" s="20"/>
      <c r="FX60" s="20"/>
      <c r="FY60" s="20"/>
      <c r="FZ60" s="20"/>
      <c r="GA60" s="21"/>
      <c r="GB60" s="20"/>
      <c r="GC60" s="20"/>
      <c r="GD60" s="20"/>
      <c r="GE60" s="20"/>
      <c r="GF60" s="20"/>
      <c r="GG60" s="20"/>
      <c r="GH60" s="21"/>
      <c r="GI60" s="20"/>
      <c r="GJ60" s="20"/>
      <c r="GK60" s="20"/>
      <c r="GL60" s="20"/>
      <c r="GM60" s="20"/>
      <c r="GN60" s="20"/>
      <c r="GO60" s="21"/>
      <c r="GP60" s="20"/>
      <c r="GQ60" s="20"/>
      <c r="GR60" s="20"/>
      <c r="GS60" s="20"/>
      <c r="GT60" s="20"/>
      <c r="GU60" s="20"/>
      <c r="GV60" s="21"/>
      <c r="GW60" s="20"/>
      <c r="GX60" s="20"/>
      <c r="GY60" s="20"/>
      <c r="GZ60" s="20"/>
      <c r="HA60" s="20"/>
      <c r="HB60" s="20"/>
      <c r="HC60" s="21"/>
      <c r="HD60" s="20"/>
      <c r="HE60" s="20"/>
      <c r="HF60" s="20"/>
      <c r="HG60" s="20"/>
      <c r="HH60" s="20"/>
      <c r="HI60" s="20"/>
      <c r="HJ60" s="21"/>
      <c r="HK60" s="20"/>
      <c r="HL60" s="20"/>
      <c r="HM60" s="20"/>
      <c r="HN60" s="20"/>
      <c r="HO60" s="20"/>
      <c r="HP60" s="20"/>
      <c r="HQ60" s="21"/>
      <c r="HR60" s="20"/>
      <c r="HS60" s="20"/>
      <c r="HT60" s="20"/>
      <c r="HU60" s="20"/>
      <c r="HV60" s="20"/>
      <c r="HW60" s="20"/>
      <c r="HX60" s="21"/>
      <c r="HY60" s="20"/>
      <c r="HZ60" s="20"/>
      <c r="IA60" s="20"/>
      <c r="IB60" s="20"/>
      <c r="IC60" s="20"/>
      <c r="ID60" s="20"/>
      <c r="IE60" s="21"/>
      <c r="IF60" s="20"/>
      <c r="IG60" s="20"/>
      <c r="IH60" s="20"/>
      <c r="II60" s="20"/>
      <c r="IJ60" s="20"/>
      <c r="IK60" s="20"/>
      <c r="IL60" s="21"/>
      <c r="IM60" s="20"/>
      <c r="IN60" s="20"/>
      <c r="IO60" s="20"/>
      <c r="IP60" s="20"/>
      <c r="IQ60" s="20"/>
      <c r="IR60" s="20"/>
      <c r="IS60" s="21"/>
      <c r="IT60" s="20"/>
      <c r="IU60" s="20"/>
      <c r="IV60" s="20"/>
      <c r="IW60" s="20"/>
      <c r="IX60" s="20"/>
      <c r="IY60" s="20"/>
      <c r="IZ60" s="21"/>
      <c r="JA60" s="20"/>
      <c r="JB60" s="20"/>
      <c r="JC60" s="20"/>
      <c r="JD60" s="20"/>
      <c r="JE60" s="20"/>
      <c r="JF60" s="20"/>
      <c r="JG60" s="21"/>
      <c r="JH60" s="20"/>
      <c r="JI60" s="20"/>
      <c r="JJ60" s="20"/>
      <c r="JK60" s="20"/>
      <c r="JL60" s="20"/>
      <c r="JM60" s="20"/>
      <c r="JN60" s="21"/>
      <c r="JO60" s="20"/>
      <c r="JP60" s="20"/>
      <c r="JQ60" s="20"/>
      <c r="JR60" s="20"/>
      <c r="JS60" s="20"/>
      <c r="JT60" s="20"/>
      <c r="JU60" s="21"/>
      <c r="JV60" s="20"/>
      <c r="JW60" s="20"/>
      <c r="JX60" s="20"/>
      <c r="JY60" s="20"/>
      <c r="JZ60" s="20"/>
      <c r="KA60" s="20"/>
      <c r="KB60" s="21"/>
      <c r="KC60" s="20"/>
      <c r="KD60" s="20"/>
      <c r="KE60" s="20"/>
      <c r="KF60" s="20"/>
      <c r="KG60" s="20"/>
      <c r="KH60" s="20"/>
      <c r="KI60" s="21"/>
      <c r="KJ60" s="20"/>
      <c r="KK60" s="20"/>
      <c r="KL60" s="20"/>
      <c r="KM60" s="20"/>
      <c r="KN60" s="20"/>
      <c r="KO60" s="20"/>
      <c r="KP60" s="21"/>
      <c r="KQ60" s="20"/>
      <c r="KR60" s="20"/>
      <c r="KS60" s="20"/>
      <c r="KT60" s="20"/>
      <c r="KU60" s="20"/>
      <c r="KV60" s="20"/>
      <c r="KW60" s="21"/>
      <c r="KX60" s="20"/>
      <c r="KY60" s="20"/>
      <c r="KZ60" s="20"/>
      <c r="LA60" s="20"/>
      <c r="LB60" s="20"/>
      <c r="LC60" s="20"/>
      <c r="LD60" s="21"/>
      <c r="LE60" s="20"/>
      <c r="LF60" s="20"/>
      <c r="LG60" s="20"/>
      <c r="LH60" s="20"/>
      <c r="LI60" s="20"/>
      <c r="LJ60" s="20"/>
      <c r="LK60" s="21"/>
      <c r="LL60" s="20"/>
      <c r="LM60" s="20"/>
      <c r="LN60" s="20"/>
      <c r="LO60" s="20"/>
      <c r="LP60" s="20"/>
      <c r="LQ60" s="20"/>
      <c r="LR60" s="21"/>
      <c r="LS60" s="20"/>
      <c r="LT60" s="20"/>
      <c r="LU60" s="20"/>
      <c r="LV60" s="20"/>
      <c r="LW60" s="20"/>
      <c r="LX60" s="20"/>
      <c r="LY60" s="21"/>
      <c r="LZ60" s="20"/>
      <c r="MA60" s="20"/>
      <c r="MB60" s="20"/>
      <c r="MC60" s="20"/>
      <c r="MD60" s="20"/>
      <c r="ME60" s="20"/>
      <c r="MF60" s="21"/>
    </row>
    <row r="61" spans="1:344" ht="15" customHeight="1" x14ac:dyDescent="0.25">
      <c r="A61" s="127" t="s">
        <v>241</v>
      </c>
      <c r="B61" s="128"/>
      <c r="C61" s="128"/>
      <c r="D61" s="128"/>
      <c r="E61" s="59"/>
      <c r="F61" s="128"/>
      <c r="G61" s="128"/>
      <c r="H61" s="128"/>
      <c r="I61" s="128"/>
      <c r="J61" s="128"/>
      <c r="K61" s="128"/>
      <c r="L61" s="128"/>
      <c r="M61" s="128"/>
      <c r="N61" s="128"/>
      <c r="O61" s="61"/>
      <c r="P61" s="81">
        <f>VisibleSum(P40:P59)</f>
        <v>7.5</v>
      </c>
      <c r="Q61" s="117">
        <f>P61 / P60 * 100</f>
        <v>53.571428571428569</v>
      </c>
      <c r="R61" s="83"/>
      <c r="S61" s="61" t="str">
        <f t="shared" ref="S61:CH61" si="356">IF(SUM(S39:S59) &gt; 0, SUM(S39:S59), "")</f>
        <v/>
      </c>
      <c r="T61" s="128" t="str">
        <f t="shared" si="356"/>
        <v/>
      </c>
      <c r="U61" s="128" t="str">
        <f t="shared" si="356"/>
        <v/>
      </c>
      <c r="V61" s="128" t="str">
        <f t="shared" si="356"/>
        <v/>
      </c>
      <c r="W61" s="128" t="str">
        <f t="shared" si="356"/>
        <v/>
      </c>
      <c r="X61" s="128" t="str">
        <f t="shared" si="356"/>
        <v/>
      </c>
      <c r="Y61" s="128" t="str">
        <f t="shared" si="356"/>
        <v/>
      </c>
      <c r="Z61" s="61" t="str">
        <f t="shared" si="356"/>
        <v/>
      </c>
      <c r="AA61" s="128" t="str">
        <f t="shared" si="356"/>
        <v/>
      </c>
      <c r="AB61" s="128" t="str">
        <f t="shared" si="356"/>
        <v/>
      </c>
      <c r="AC61" s="128" t="str">
        <f t="shared" si="356"/>
        <v/>
      </c>
      <c r="AD61" s="128" t="str">
        <f t="shared" si="356"/>
        <v/>
      </c>
      <c r="AE61" s="128" t="str">
        <f t="shared" si="356"/>
        <v/>
      </c>
      <c r="AF61" s="128" t="str">
        <f t="shared" si="356"/>
        <v/>
      </c>
      <c r="AG61" s="61" t="str">
        <f t="shared" si="356"/>
        <v/>
      </c>
      <c r="AH61" s="128" t="str">
        <f t="shared" si="356"/>
        <v/>
      </c>
      <c r="AI61" s="128">
        <f t="shared" si="356"/>
        <v>11</v>
      </c>
      <c r="AJ61" s="128" t="str">
        <f t="shared" si="356"/>
        <v/>
      </c>
      <c r="AK61" s="128">
        <f t="shared" si="356"/>
        <v>7</v>
      </c>
      <c r="AL61" s="128" t="str">
        <f t="shared" si="356"/>
        <v/>
      </c>
      <c r="AM61" s="128" t="str">
        <f t="shared" si="356"/>
        <v/>
      </c>
      <c r="AN61" s="61" t="str">
        <f t="shared" si="356"/>
        <v/>
      </c>
      <c r="AO61" s="128" t="str">
        <f t="shared" si="356"/>
        <v/>
      </c>
      <c r="AP61" s="128">
        <f t="shared" si="356"/>
        <v>9</v>
      </c>
      <c r="AQ61" s="128" t="str">
        <f t="shared" si="356"/>
        <v/>
      </c>
      <c r="AR61" s="128">
        <f t="shared" si="356"/>
        <v>9</v>
      </c>
      <c r="AS61" s="128" t="str">
        <f t="shared" si="356"/>
        <v/>
      </c>
      <c r="AT61" s="128" t="str">
        <f t="shared" si="356"/>
        <v/>
      </c>
      <c r="AU61" s="61" t="str">
        <f t="shared" si="356"/>
        <v/>
      </c>
      <c r="AV61" s="128" t="str">
        <f t="shared" si="356"/>
        <v/>
      </c>
      <c r="AW61" s="128">
        <f t="shared" si="356"/>
        <v>9</v>
      </c>
      <c r="AX61" s="128">
        <f t="shared" si="356"/>
        <v>6</v>
      </c>
      <c r="AY61" s="128">
        <f t="shared" si="356"/>
        <v>7</v>
      </c>
      <c r="AZ61" s="128" t="str">
        <f t="shared" si="356"/>
        <v/>
      </c>
      <c r="BA61" s="128" t="str">
        <f t="shared" si="356"/>
        <v/>
      </c>
      <c r="BB61" s="61" t="str">
        <f t="shared" si="356"/>
        <v/>
      </c>
      <c r="BC61" s="128" t="str">
        <f t="shared" si="356"/>
        <v/>
      </c>
      <c r="BD61" s="128">
        <f t="shared" si="356"/>
        <v>8</v>
      </c>
      <c r="BE61" s="128" t="str">
        <f t="shared" si="356"/>
        <v/>
      </c>
      <c r="BF61" s="128">
        <f t="shared" si="356"/>
        <v>6</v>
      </c>
      <c r="BG61" s="128" t="str">
        <f t="shared" si="356"/>
        <v/>
      </c>
      <c r="BH61" s="128" t="str">
        <f t="shared" si="356"/>
        <v/>
      </c>
      <c r="BI61" s="61" t="str">
        <f t="shared" si="356"/>
        <v/>
      </c>
      <c r="BJ61" s="128" t="str">
        <f t="shared" si="356"/>
        <v/>
      </c>
      <c r="BK61" s="128">
        <f t="shared" si="356"/>
        <v>7</v>
      </c>
      <c r="BL61" s="128" t="str">
        <f t="shared" si="356"/>
        <v/>
      </c>
      <c r="BM61" s="128">
        <f t="shared" si="356"/>
        <v>10</v>
      </c>
      <c r="BN61" s="128">
        <f t="shared" si="356"/>
        <v>10</v>
      </c>
      <c r="BO61" s="128" t="str">
        <f t="shared" si="356"/>
        <v/>
      </c>
      <c r="BP61" s="61">
        <f t="shared" si="356"/>
        <v>4</v>
      </c>
      <c r="BQ61" s="128" t="str">
        <f t="shared" si="356"/>
        <v/>
      </c>
      <c r="BR61" s="128" t="str">
        <f t="shared" si="356"/>
        <v/>
      </c>
      <c r="BS61" s="128" t="str">
        <f t="shared" si="356"/>
        <v/>
      </c>
      <c r="BT61" s="128" t="str">
        <f t="shared" si="356"/>
        <v/>
      </c>
      <c r="BU61" s="128" t="str">
        <f t="shared" si="356"/>
        <v/>
      </c>
      <c r="BV61" s="128" t="str">
        <f t="shared" si="356"/>
        <v/>
      </c>
      <c r="BW61" s="128"/>
      <c r="BX61" s="128"/>
      <c r="BY61" s="61" t="str">
        <f t="shared" si="356"/>
        <v/>
      </c>
      <c r="BZ61" s="128" t="str">
        <f t="shared" si="356"/>
        <v/>
      </c>
      <c r="CA61" s="128" t="str">
        <f t="shared" si="356"/>
        <v/>
      </c>
      <c r="CB61" s="128" t="str">
        <f t="shared" si="356"/>
        <v/>
      </c>
      <c r="CC61" s="128" t="str">
        <f t="shared" si="356"/>
        <v/>
      </c>
      <c r="CD61" s="128" t="str">
        <f t="shared" si="356"/>
        <v/>
      </c>
      <c r="CE61" s="128" t="str">
        <f t="shared" si="356"/>
        <v/>
      </c>
      <c r="CF61" s="128"/>
      <c r="CG61" s="128"/>
      <c r="CH61" s="61" t="str">
        <f t="shared" si="356"/>
        <v/>
      </c>
      <c r="CI61" s="128" t="str">
        <f t="shared" ref="CI61:EZ61" si="357">IF(SUM(CI39:CI59) &gt; 0, SUM(CI39:CI59), "")</f>
        <v/>
      </c>
      <c r="CJ61" s="128" t="str">
        <f t="shared" si="357"/>
        <v/>
      </c>
      <c r="CK61" s="128" t="str">
        <f t="shared" si="357"/>
        <v/>
      </c>
      <c r="CL61" s="128" t="str">
        <f t="shared" si="357"/>
        <v/>
      </c>
      <c r="CM61" s="128" t="str">
        <f t="shared" si="357"/>
        <v/>
      </c>
      <c r="CN61" s="128" t="str">
        <f t="shared" si="357"/>
        <v/>
      </c>
      <c r="CO61" s="128" t="str">
        <f t="shared" ref="CO61" si="358">IF(SUM(CO39:CO59) &gt; 0, SUM(CO39:CO59), "")</f>
        <v/>
      </c>
      <c r="CP61" s="128"/>
      <c r="CQ61" s="61" t="str">
        <f t="shared" si="357"/>
        <v/>
      </c>
      <c r="CR61" s="128" t="str">
        <f t="shared" si="357"/>
        <v/>
      </c>
      <c r="CS61" s="128" t="str">
        <f t="shared" si="357"/>
        <v/>
      </c>
      <c r="CT61" s="128" t="str">
        <f t="shared" si="357"/>
        <v/>
      </c>
      <c r="CU61" s="128" t="str">
        <f t="shared" si="357"/>
        <v/>
      </c>
      <c r="CV61" s="128" t="str">
        <f t="shared" si="357"/>
        <v/>
      </c>
      <c r="CW61" s="128"/>
      <c r="CX61" s="128"/>
      <c r="CY61" s="128" t="str">
        <f t="shared" si="357"/>
        <v/>
      </c>
      <c r="CZ61" s="61" t="str">
        <f t="shared" si="357"/>
        <v/>
      </c>
      <c r="DA61" s="128" t="str">
        <f t="shared" si="357"/>
        <v/>
      </c>
      <c r="DB61" s="128" t="str">
        <f t="shared" si="357"/>
        <v/>
      </c>
      <c r="DC61" s="128" t="str">
        <f t="shared" si="357"/>
        <v/>
      </c>
      <c r="DD61" s="128" t="str">
        <f t="shared" si="357"/>
        <v/>
      </c>
      <c r="DE61" s="128" t="str">
        <f t="shared" si="357"/>
        <v/>
      </c>
      <c r="DF61" s="128" t="str">
        <f t="shared" si="357"/>
        <v/>
      </c>
      <c r="DG61" s="128"/>
      <c r="DH61" s="128"/>
      <c r="DI61" s="61" t="str">
        <f t="shared" si="357"/>
        <v/>
      </c>
      <c r="DJ61" s="128" t="str">
        <f t="shared" si="357"/>
        <v/>
      </c>
      <c r="DK61" s="128" t="str">
        <f t="shared" si="357"/>
        <v/>
      </c>
      <c r="DL61" s="128" t="str">
        <f t="shared" si="357"/>
        <v/>
      </c>
      <c r="DM61" s="128" t="str">
        <f t="shared" si="357"/>
        <v/>
      </c>
      <c r="DN61" s="128" t="str">
        <f t="shared" si="357"/>
        <v/>
      </c>
      <c r="DO61" s="128" t="str">
        <f t="shared" si="357"/>
        <v/>
      </c>
      <c r="DP61" s="61" t="str">
        <f t="shared" si="357"/>
        <v/>
      </c>
      <c r="DQ61" s="128" t="str">
        <f t="shared" si="357"/>
        <v/>
      </c>
      <c r="DR61" s="128" t="str">
        <f t="shared" si="357"/>
        <v/>
      </c>
      <c r="DS61" s="128" t="str">
        <f t="shared" si="357"/>
        <v/>
      </c>
      <c r="DT61" s="128" t="str">
        <f t="shared" si="357"/>
        <v/>
      </c>
      <c r="DU61" s="128" t="str">
        <f t="shared" si="357"/>
        <v/>
      </c>
      <c r="DV61" s="128" t="str">
        <f t="shared" si="357"/>
        <v/>
      </c>
      <c r="DW61" s="61" t="str">
        <f t="shared" si="357"/>
        <v/>
      </c>
      <c r="DX61" s="128" t="str">
        <f t="shared" si="357"/>
        <v/>
      </c>
      <c r="DY61" s="128" t="str">
        <f t="shared" si="357"/>
        <v/>
      </c>
      <c r="DZ61" s="128" t="str">
        <f t="shared" si="357"/>
        <v/>
      </c>
      <c r="EA61" s="128" t="str">
        <f t="shared" si="357"/>
        <v/>
      </c>
      <c r="EB61" s="128" t="str">
        <f t="shared" si="357"/>
        <v/>
      </c>
      <c r="EC61" s="128" t="str">
        <f t="shared" si="357"/>
        <v/>
      </c>
      <c r="ED61" s="61" t="str">
        <f t="shared" si="357"/>
        <v/>
      </c>
      <c r="EE61" s="128" t="str">
        <f t="shared" si="357"/>
        <v/>
      </c>
      <c r="EF61" s="128" t="str">
        <f t="shared" si="357"/>
        <v/>
      </c>
      <c r="EG61" s="128" t="str">
        <f t="shared" si="357"/>
        <v/>
      </c>
      <c r="EH61" s="128" t="str">
        <f t="shared" si="357"/>
        <v/>
      </c>
      <c r="EI61" s="128" t="str">
        <f t="shared" si="357"/>
        <v/>
      </c>
      <c r="EJ61" s="128" t="str">
        <f t="shared" si="357"/>
        <v/>
      </c>
      <c r="EK61" s="61" t="str">
        <f t="shared" si="357"/>
        <v/>
      </c>
      <c r="EL61" s="128" t="str">
        <f t="shared" si="357"/>
        <v/>
      </c>
      <c r="EM61" s="128" t="str">
        <f t="shared" si="357"/>
        <v/>
      </c>
      <c r="EN61" s="128" t="str">
        <f t="shared" si="357"/>
        <v/>
      </c>
      <c r="EO61" s="128" t="str">
        <f t="shared" si="357"/>
        <v/>
      </c>
      <c r="EP61" s="128" t="str">
        <f t="shared" si="357"/>
        <v/>
      </c>
      <c r="EQ61" s="128" t="str">
        <f t="shared" si="357"/>
        <v/>
      </c>
      <c r="ER61" s="61" t="str">
        <f t="shared" si="357"/>
        <v/>
      </c>
      <c r="ES61" s="128" t="str">
        <f t="shared" si="357"/>
        <v/>
      </c>
      <c r="ET61" s="128" t="str">
        <f t="shared" si="357"/>
        <v/>
      </c>
      <c r="EU61" s="128" t="str">
        <f t="shared" si="357"/>
        <v/>
      </c>
      <c r="EV61" s="128" t="str">
        <f t="shared" si="357"/>
        <v/>
      </c>
      <c r="EW61" s="128" t="str">
        <f t="shared" si="357"/>
        <v/>
      </c>
      <c r="EX61" s="128" t="str">
        <f t="shared" si="357"/>
        <v/>
      </c>
      <c r="EY61" s="61" t="str">
        <f t="shared" si="357"/>
        <v/>
      </c>
      <c r="EZ61" s="128" t="str">
        <f t="shared" si="357"/>
        <v/>
      </c>
      <c r="FA61" s="128" t="str">
        <f t="shared" ref="FA61:HL61" si="359">IF(SUM(FA39:FA59) &gt; 0, SUM(FA39:FA59), "")</f>
        <v/>
      </c>
      <c r="FB61" s="128" t="str">
        <f t="shared" si="359"/>
        <v/>
      </c>
      <c r="FC61" s="128" t="str">
        <f t="shared" si="359"/>
        <v/>
      </c>
      <c r="FD61" s="128" t="str">
        <f t="shared" si="359"/>
        <v/>
      </c>
      <c r="FE61" s="128" t="str">
        <f t="shared" si="359"/>
        <v/>
      </c>
      <c r="FF61" s="61" t="str">
        <f t="shared" si="359"/>
        <v/>
      </c>
      <c r="FG61" s="128" t="str">
        <f t="shared" si="359"/>
        <v/>
      </c>
      <c r="FH61" s="128" t="str">
        <f t="shared" si="359"/>
        <v/>
      </c>
      <c r="FI61" s="128" t="str">
        <f t="shared" si="359"/>
        <v/>
      </c>
      <c r="FJ61" s="128" t="str">
        <f t="shared" si="359"/>
        <v/>
      </c>
      <c r="FK61" s="128" t="str">
        <f t="shared" si="359"/>
        <v/>
      </c>
      <c r="FL61" s="128" t="str">
        <f t="shared" si="359"/>
        <v/>
      </c>
      <c r="FM61" s="61" t="str">
        <f t="shared" si="359"/>
        <v/>
      </c>
      <c r="FN61" s="128" t="str">
        <f t="shared" si="359"/>
        <v/>
      </c>
      <c r="FO61" s="128" t="str">
        <f t="shared" si="359"/>
        <v/>
      </c>
      <c r="FP61" s="128" t="str">
        <f t="shared" si="359"/>
        <v/>
      </c>
      <c r="FQ61" s="128" t="str">
        <f t="shared" si="359"/>
        <v/>
      </c>
      <c r="FR61" s="128" t="str">
        <f t="shared" si="359"/>
        <v/>
      </c>
      <c r="FS61" s="128" t="str">
        <f t="shared" si="359"/>
        <v/>
      </c>
      <c r="FT61" s="61" t="str">
        <f t="shared" si="359"/>
        <v/>
      </c>
      <c r="FU61" s="128" t="str">
        <f t="shared" si="359"/>
        <v/>
      </c>
      <c r="FV61" s="128" t="str">
        <f t="shared" si="359"/>
        <v/>
      </c>
      <c r="FW61" s="128" t="str">
        <f t="shared" si="359"/>
        <v/>
      </c>
      <c r="FX61" s="128" t="str">
        <f t="shared" si="359"/>
        <v/>
      </c>
      <c r="FY61" s="128" t="str">
        <f t="shared" si="359"/>
        <v/>
      </c>
      <c r="FZ61" s="128" t="str">
        <f t="shared" si="359"/>
        <v/>
      </c>
      <c r="GA61" s="61" t="str">
        <f t="shared" si="359"/>
        <v/>
      </c>
      <c r="GB61" s="128" t="str">
        <f t="shared" si="359"/>
        <v/>
      </c>
      <c r="GC61" s="128" t="str">
        <f t="shared" si="359"/>
        <v/>
      </c>
      <c r="GD61" s="128" t="str">
        <f t="shared" si="359"/>
        <v/>
      </c>
      <c r="GE61" s="128" t="str">
        <f t="shared" si="359"/>
        <v/>
      </c>
      <c r="GF61" s="128" t="str">
        <f t="shared" si="359"/>
        <v/>
      </c>
      <c r="GG61" s="128" t="str">
        <f t="shared" si="359"/>
        <v/>
      </c>
      <c r="GH61" s="61" t="str">
        <f t="shared" si="359"/>
        <v/>
      </c>
      <c r="GI61" s="128" t="str">
        <f t="shared" si="359"/>
        <v/>
      </c>
      <c r="GJ61" s="128" t="str">
        <f t="shared" si="359"/>
        <v/>
      </c>
      <c r="GK61" s="128" t="str">
        <f t="shared" si="359"/>
        <v/>
      </c>
      <c r="GL61" s="128" t="str">
        <f t="shared" si="359"/>
        <v/>
      </c>
      <c r="GM61" s="128" t="str">
        <f t="shared" si="359"/>
        <v/>
      </c>
      <c r="GN61" s="128" t="str">
        <f t="shared" si="359"/>
        <v/>
      </c>
      <c r="GO61" s="61" t="str">
        <f t="shared" si="359"/>
        <v/>
      </c>
      <c r="GP61" s="128" t="str">
        <f t="shared" si="359"/>
        <v/>
      </c>
      <c r="GQ61" s="128" t="str">
        <f t="shared" si="359"/>
        <v/>
      </c>
      <c r="GR61" s="128" t="str">
        <f t="shared" si="359"/>
        <v/>
      </c>
      <c r="GS61" s="128" t="str">
        <f t="shared" si="359"/>
        <v/>
      </c>
      <c r="GT61" s="128" t="str">
        <f t="shared" si="359"/>
        <v/>
      </c>
      <c r="GU61" s="128" t="str">
        <f t="shared" si="359"/>
        <v/>
      </c>
      <c r="GV61" s="61" t="str">
        <f t="shared" si="359"/>
        <v/>
      </c>
      <c r="GW61" s="128" t="str">
        <f t="shared" si="359"/>
        <v/>
      </c>
      <c r="GX61" s="128" t="str">
        <f t="shared" si="359"/>
        <v/>
      </c>
      <c r="GY61" s="128" t="str">
        <f t="shared" si="359"/>
        <v/>
      </c>
      <c r="GZ61" s="128" t="str">
        <f t="shared" si="359"/>
        <v/>
      </c>
      <c r="HA61" s="128" t="str">
        <f t="shared" si="359"/>
        <v/>
      </c>
      <c r="HB61" s="128" t="str">
        <f t="shared" si="359"/>
        <v/>
      </c>
      <c r="HC61" s="61" t="str">
        <f t="shared" si="359"/>
        <v/>
      </c>
      <c r="HD61" s="128" t="str">
        <f t="shared" si="359"/>
        <v/>
      </c>
      <c r="HE61" s="128" t="str">
        <f t="shared" si="359"/>
        <v/>
      </c>
      <c r="HF61" s="128" t="str">
        <f t="shared" si="359"/>
        <v/>
      </c>
      <c r="HG61" s="128" t="str">
        <f t="shared" si="359"/>
        <v/>
      </c>
      <c r="HH61" s="128" t="str">
        <f t="shared" si="359"/>
        <v/>
      </c>
      <c r="HI61" s="128" t="str">
        <f t="shared" si="359"/>
        <v/>
      </c>
      <c r="HJ61" s="61" t="str">
        <f t="shared" si="359"/>
        <v/>
      </c>
      <c r="HK61" s="128" t="str">
        <f t="shared" si="359"/>
        <v/>
      </c>
      <c r="HL61" s="128" t="str">
        <f t="shared" si="359"/>
        <v/>
      </c>
      <c r="HM61" s="128" t="str">
        <f t="shared" ref="HM61:JX61" si="360">IF(SUM(HM39:HM59) &gt; 0, SUM(HM39:HM59), "")</f>
        <v/>
      </c>
      <c r="HN61" s="128" t="str">
        <f t="shared" si="360"/>
        <v/>
      </c>
      <c r="HO61" s="128" t="str">
        <f t="shared" si="360"/>
        <v/>
      </c>
      <c r="HP61" s="128" t="str">
        <f t="shared" si="360"/>
        <v/>
      </c>
      <c r="HQ61" s="61" t="str">
        <f t="shared" si="360"/>
        <v/>
      </c>
      <c r="HR61" s="128" t="str">
        <f t="shared" si="360"/>
        <v/>
      </c>
      <c r="HS61" s="128" t="str">
        <f t="shared" si="360"/>
        <v/>
      </c>
      <c r="HT61" s="128" t="str">
        <f t="shared" si="360"/>
        <v/>
      </c>
      <c r="HU61" s="128" t="str">
        <f t="shared" si="360"/>
        <v/>
      </c>
      <c r="HV61" s="128" t="str">
        <f t="shared" si="360"/>
        <v/>
      </c>
      <c r="HW61" s="128" t="str">
        <f t="shared" si="360"/>
        <v/>
      </c>
      <c r="HX61" s="61" t="str">
        <f t="shared" si="360"/>
        <v/>
      </c>
      <c r="HY61" s="128" t="str">
        <f t="shared" si="360"/>
        <v/>
      </c>
      <c r="HZ61" s="128" t="str">
        <f t="shared" si="360"/>
        <v/>
      </c>
      <c r="IA61" s="128" t="str">
        <f t="shared" si="360"/>
        <v/>
      </c>
      <c r="IB61" s="128" t="str">
        <f t="shared" si="360"/>
        <v/>
      </c>
      <c r="IC61" s="128" t="str">
        <f t="shared" si="360"/>
        <v/>
      </c>
      <c r="ID61" s="128" t="str">
        <f t="shared" si="360"/>
        <v/>
      </c>
      <c r="IE61" s="61" t="str">
        <f t="shared" si="360"/>
        <v/>
      </c>
      <c r="IF61" s="128" t="str">
        <f t="shared" si="360"/>
        <v/>
      </c>
      <c r="IG61" s="128" t="str">
        <f t="shared" si="360"/>
        <v/>
      </c>
      <c r="IH61" s="128" t="str">
        <f t="shared" si="360"/>
        <v/>
      </c>
      <c r="II61" s="128" t="str">
        <f t="shared" si="360"/>
        <v/>
      </c>
      <c r="IJ61" s="128" t="str">
        <f t="shared" si="360"/>
        <v/>
      </c>
      <c r="IK61" s="128" t="str">
        <f t="shared" si="360"/>
        <v/>
      </c>
      <c r="IL61" s="61" t="str">
        <f t="shared" si="360"/>
        <v/>
      </c>
      <c r="IM61" s="128" t="str">
        <f t="shared" si="360"/>
        <v/>
      </c>
      <c r="IN61" s="128" t="str">
        <f t="shared" si="360"/>
        <v/>
      </c>
      <c r="IO61" s="128" t="str">
        <f t="shared" si="360"/>
        <v/>
      </c>
      <c r="IP61" s="128" t="str">
        <f t="shared" si="360"/>
        <v/>
      </c>
      <c r="IQ61" s="128" t="str">
        <f t="shared" si="360"/>
        <v/>
      </c>
      <c r="IR61" s="128" t="str">
        <f t="shared" si="360"/>
        <v/>
      </c>
      <c r="IS61" s="61" t="str">
        <f t="shared" si="360"/>
        <v/>
      </c>
      <c r="IT61" s="128" t="str">
        <f t="shared" si="360"/>
        <v/>
      </c>
      <c r="IU61" s="128" t="str">
        <f t="shared" si="360"/>
        <v/>
      </c>
      <c r="IV61" s="128" t="str">
        <f t="shared" si="360"/>
        <v/>
      </c>
      <c r="IW61" s="128" t="str">
        <f t="shared" si="360"/>
        <v/>
      </c>
      <c r="IX61" s="128" t="str">
        <f t="shared" si="360"/>
        <v/>
      </c>
      <c r="IY61" s="128" t="str">
        <f t="shared" si="360"/>
        <v/>
      </c>
      <c r="IZ61" s="61" t="str">
        <f t="shared" si="360"/>
        <v/>
      </c>
      <c r="JA61" s="128" t="str">
        <f t="shared" si="360"/>
        <v/>
      </c>
      <c r="JB61" s="128" t="str">
        <f t="shared" si="360"/>
        <v/>
      </c>
      <c r="JC61" s="128" t="str">
        <f t="shared" si="360"/>
        <v/>
      </c>
      <c r="JD61" s="128" t="str">
        <f t="shared" si="360"/>
        <v/>
      </c>
      <c r="JE61" s="128" t="str">
        <f t="shared" si="360"/>
        <v/>
      </c>
      <c r="JF61" s="128" t="str">
        <f t="shared" si="360"/>
        <v/>
      </c>
      <c r="JG61" s="61" t="str">
        <f t="shared" si="360"/>
        <v/>
      </c>
      <c r="JH61" s="128" t="str">
        <f t="shared" si="360"/>
        <v/>
      </c>
      <c r="JI61" s="128" t="str">
        <f t="shared" si="360"/>
        <v/>
      </c>
      <c r="JJ61" s="128" t="str">
        <f t="shared" si="360"/>
        <v/>
      </c>
      <c r="JK61" s="128" t="str">
        <f t="shared" si="360"/>
        <v/>
      </c>
      <c r="JL61" s="128" t="str">
        <f t="shared" si="360"/>
        <v/>
      </c>
      <c r="JM61" s="128" t="str">
        <f t="shared" si="360"/>
        <v/>
      </c>
      <c r="JN61" s="61" t="str">
        <f t="shared" si="360"/>
        <v/>
      </c>
      <c r="JO61" s="128" t="str">
        <f t="shared" si="360"/>
        <v/>
      </c>
      <c r="JP61" s="128" t="str">
        <f t="shared" si="360"/>
        <v/>
      </c>
      <c r="JQ61" s="128" t="str">
        <f t="shared" si="360"/>
        <v/>
      </c>
      <c r="JR61" s="128" t="str">
        <f t="shared" si="360"/>
        <v/>
      </c>
      <c r="JS61" s="128" t="str">
        <f t="shared" si="360"/>
        <v/>
      </c>
      <c r="JT61" s="128" t="str">
        <f t="shared" si="360"/>
        <v/>
      </c>
      <c r="JU61" s="61" t="str">
        <f t="shared" si="360"/>
        <v/>
      </c>
      <c r="JV61" s="128" t="str">
        <f t="shared" si="360"/>
        <v/>
      </c>
      <c r="JW61" s="128" t="str">
        <f t="shared" si="360"/>
        <v/>
      </c>
      <c r="JX61" s="128" t="str">
        <f t="shared" si="360"/>
        <v/>
      </c>
      <c r="JY61" s="128" t="str">
        <f t="shared" ref="JY61:MF61" si="361">IF(SUM(JY39:JY59) &gt; 0, SUM(JY39:JY59), "")</f>
        <v/>
      </c>
      <c r="JZ61" s="128" t="str">
        <f t="shared" si="361"/>
        <v/>
      </c>
      <c r="KA61" s="128" t="str">
        <f t="shared" si="361"/>
        <v/>
      </c>
      <c r="KB61" s="61" t="str">
        <f t="shared" si="361"/>
        <v/>
      </c>
      <c r="KC61" s="128" t="str">
        <f t="shared" si="361"/>
        <v/>
      </c>
      <c r="KD61" s="128" t="str">
        <f t="shared" si="361"/>
        <v/>
      </c>
      <c r="KE61" s="128" t="str">
        <f t="shared" si="361"/>
        <v/>
      </c>
      <c r="KF61" s="128" t="str">
        <f t="shared" si="361"/>
        <v/>
      </c>
      <c r="KG61" s="128" t="str">
        <f t="shared" si="361"/>
        <v/>
      </c>
      <c r="KH61" s="128" t="str">
        <f t="shared" si="361"/>
        <v/>
      </c>
      <c r="KI61" s="61" t="str">
        <f t="shared" si="361"/>
        <v/>
      </c>
      <c r="KJ61" s="128" t="str">
        <f t="shared" si="361"/>
        <v/>
      </c>
      <c r="KK61" s="128" t="str">
        <f t="shared" si="361"/>
        <v/>
      </c>
      <c r="KL61" s="128" t="str">
        <f t="shared" si="361"/>
        <v/>
      </c>
      <c r="KM61" s="128" t="str">
        <f t="shared" si="361"/>
        <v/>
      </c>
      <c r="KN61" s="128" t="str">
        <f t="shared" si="361"/>
        <v/>
      </c>
      <c r="KO61" s="128" t="str">
        <f t="shared" si="361"/>
        <v/>
      </c>
      <c r="KP61" s="61" t="str">
        <f t="shared" si="361"/>
        <v/>
      </c>
      <c r="KQ61" s="128" t="str">
        <f t="shared" si="361"/>
        <v/>
      </c>
      <c r="KR61" s="128" t="str">
        <f t="shared" si="361"/>
        <v/>
      </c>
      <c r="KS61" s="128" t="str">
        <f t="shared" si="361"/>
        <v/>
      </c>
      <c r="KT61" s="128" t="str">
        <f t="shared" si="361"/>
        <v/>
      </c>
      <c r="KU61" s="128" t="str">
        <f t="shared" si="361"/>
        <v/>
      </c>
      <c r="KV61" s="128" t="str">
        <f t="shared" si="361"/>
        <v/>
      </c>
      <c r="KW61" s="61" t="str">
        <f t="shared" si="361"/>
        <v/>
      </c>
      <c r="KX61" s="128" t="str">
        <f t="shared" si="361"/>
        <v/>
      </c>
      <c r="KY61" s="128" t="str">
        <f t="shared" si="361"/>
        <v/>
      </c>
      <c r="KZ61" s="128" t="str">
        <f t="shared" si="361"/>
        <v/>
      </c>
      <c r="LA61" s="128" t="str">
        <f t="shared" si="361"/>
        <v/>
      </c>
      <c r="LB61" s="128" t="str">
        <f t="shared" si="361"/>
        <v/>
      </c>
      <c r="LC61" s="128" t="str">
        <f t="shared" si="361"/>
        <v/>
      </c>
      <c r="LD61" s="61" t="str">
        <f t="shared" si="361"/>
        <v/>
      </c>
      <c r="LE61" s="128" t="str">
        <f t="shared" si="361"/>
        <v/>
      </c>
      <c r="LF61" s="128" t="str">
        <f t="shared" si="361"/>
        <v/>
      </c>
      <c r="LG61" s="128" t="str">
        <f t="shared" si="361"/>
        <v/>
      </c>
      <c r="LH61" s="128" t="str">
        <f t="shared" si="361"/>
        <v/>
      </c>
      <c r="LI61" s="128" t="str">
        <f t="shared" si="361"/>
        <v/>
      </c>
      <c r="LJ61" s="128" t="str">
        <f t="shared" si="361"/>
        <v/>
      </c>
      <c r="LK61" s="61" t="str">
        <f t="shared" si="361"/>
        <v/>
      </c>
      <c r="LL61" s="128" t="str">
        <f t="shared" si="361"/>
        <v/>
      </c>
      <c r="LM61" s="128" t="str">
        <f t="shared" si="361"/>
        <v/>
      </c>
      <c r="LN61" s="128" t="str">
        <f t="shared" si="361"/>
        <v/>
      </c>
      <c r="LO61" s="128" t="str">
        <f t="shared" si="361"/>
        <v/>
      </c>
      <c r="LP61" s="128" t="str">
        <f t="shared" si="361"/>
        <v/>
      </c>
      <c r="LQ61" s="128" t="str">
        <f t="shared" si="361"/>
        <v/>
      </c>
      <c r="LR61" s="61" t="str">
        <f t="shared" si="361"/>
        <v/>
      </c>
      <c r="LS61" s="128" t="str">
        <f t="shared" si="361"/>
        <v/>
      </c>
      <c r="LT61" s="128" t="str">
        <f t="shared" si="361"/>
        <v/>
      </c>
      <c r="LU61" s="128" t="str">
        <f t="shared" si="361"/>
        <v/>
      </c>
      <c r="LV61" s="128" t="str">
        <f t="shared" si="361"/>
        <v/>
      </c>
      <c r="LW61" s="128" t="str">
        <f t="shared" si="361"/>
        <v/>
      </c>
      <c r="LX61" s="128" t="str">
        <f t="shared" si="361"/>
        <v/>
      </c>
      <c r="LY61" s="61" t="str">
        <f t="shared" si="361"/>
        <v/>
      </c>
      <c r="LZ61" s="128" t="str">
        <f t="shared" si="361"/>
        <v/>
      </c>
      <c r="MA61" s="128" t="str">
        <f t="shared" si="361"/>
        <v/>
      </c>
      <c r="MB61" s="128" t="str">
        <f t="shared" si="361"/>
        <v/>
      </c>
      <c r="MC61" s="128" t="str">
        <f t="shared" si="361"/>
        <v/>
      </c>
      <c r="MD61" s="128" t="str">
        <f t="shared" si="361"/>
        <v/>
      </c>
      <c r="ME61" s="128" t="str">
        <f t="shared" si="361"/>
        <v/>
      </c>
      <c r="MF61" s="61" t="str">
        <f t="shared" si="361"/>
        <v/>
      </c>
    </row>
    <row r="62" spans="1:344" ht="72.75" hidden="1" customHeight="1" x14ac:dyDescent="0.25">
      <c r="A62" s="122"/>
      <c r="B62" s="118"/>
      <c r="C62" s="118"/>
      <c r="D62" s="118"/>
      <c r="E62" s="123"/>
      <c r="F62" s="118"/>
      <c r="G62" s="118"/>
      <c r="H62" s="118"/>
      <c r="I62" s="118"/>
      <c r="J62" s="118"/>
      <c r="K62" s="118"/>
      <c r="L62" s="118"/>
      <c r="M62" s="118"/>
      <c r="N62" s="118"/>
      <c r="O62" s="118"/>
      <c r="P62" s="124" t="s">
        <v>416</v>
      </c>
      <c r="Q62" s="125" t="s">
        <v>416</v>
      </c>
      <c r="R62" s="126"/>
      <c r="S62" s="49">
        <f t="shared" ref="S62:AX62" si="362">S1</f>
        <v>43975</v>
      </c>
      <c r="T62" s="49">
        <f t="shared" si="362"/>
        <v>43976</v>
      </c>
      <c r="U62" s="49">
        <f t="shared" si="362"/>
        <v>43977</v>
      </c>
      <c r="V62" s="49">
        <f t="shared" si="362"/>
        <v>43978</v>
      </c>
      <c r="W62" s="49">
        <f t="shared" si="362"/>
        <v>43979</v>
      </c>
      <c r="X62" s="49">
        <f t="shared" si="362"/>
        <v>43980</v>
      </c>
      <c r="Y62" s="49">
        <f t="shared" si="362"/>
        <v>43981</v>
      </c>
      <c r="Z62" s="49">
        <f t="shared" si="362"/>
        <v>43982</v>
      </c>
      <c r="AA62" s="49">
        <f t="shared" si="362"/>
        <v>43983</v>
      </c>
      <c r="AB62" s="49">
        <f t="shared" si="362"/>
        <v>43984</v>
      </c>
      <c r="AC62" s="49">
        <f t="shared" si="362"/>
        <v>43985</v>
      </c>
      <c r="AD62" s="49">
        <f t="shared" si="362"/>
        <v>43986</v>
      </c>
      <c r="AE62" s="49">
        <f t="shared" si="362"/>
        <v>43987</v>
      </c>
      <c r="AF62" s="49">
        <f t="shared" si="362"/>
        <v>43988</v>
      </c>
      <c r="AG62" s="49">
        <f t="shared" si="362"/>
        <v>43989</v>
      </c>
      <c r="AH62" s="49">
        <f t="shared" si="362"/>
        <v>43990</v>
      </c>
      <c r="AI62" s="49">
        <f t="shared" si="362"/>
        <v>43991</v>
      </c>
      <c r="AJ62" s="49">
        <f t="shared" si="362"/>
        <v>43992</v>
      </c>
      <c r="AK62" s="49">
        <f t="shared" si="362"/>
        <v>43993</v>
      </c>
      <c r="AL62" s="49">
        <f t="shared" si="362"/>
        <v>43994</v>
      </c>
      <c r="AM62" s="49">
        <f t="shared" si="362"/>
        <v>43995</v>
      </c>
      <c r="AN62" s="49">
        <f t="shared" si="362"/>
        <v>43996</v>
      </c>
      <c r="AO62" s="49">
        <f t="shared" si="362"/>
        <v>43997</v>
      </c>
      <c r="AP62" s="49">
        <f t="shared" si="362"/>
        <v>43998</v>
      </c>
      <c r="AQ62" s="49">
        <f t="shared" si="362"/>
        <v>43999</v>
      </c>
      <c r="AR62" s="49">
        <f t="shared" si="362"/>
        <v>44000</v>
      </c>
      <c r="AS62" s="49">
        <f t="shared" si="362"/>
        <v>44001</v>
      </c>
      <c r="AT62" s="49">
        <f t="shared" si="362"/>
        <v>44002</v>
      </c>
      <c r="AU62" s="49">
        <f t="shared" si="362"/>
        <v>44003</v>
      </c>
      <c r="AV62" s="49">
        <f t="shared" si="362"/>
        <v>44004</v>
      </c>
      <c r="AW62" s="49">
        <f t="shared" si="362"/>
        <v>44005</v>
      </c>
      <c r="AX62" s="49">
        <f t="shared" si="362"/>
        <v>44006</v>
      </c>
      <c r="AY62" s="49">
        <f t="shared" ref="AY62:BW62" si="363">AY1</f>
        <v>44007</v>
      </c>
      <c r="AZ62" s="49">
        <f t="shared" si="363"/>
        <v>44008</v>
      </c>
      <c r="BA62" s="49">
        <f t="shared" si="363"/>
        <v>44009</v>
      </c>
      <c r="BB62" s="49">
        <f t="shared" si="363"/>
        <v>44010</v>
      </c>
      <c r="BC62" s="49">
        <f t="shared" si="363"/>
        <v>44011</v>
      </c>
      <c r="BD62" s="49">
        <f t="shared" si="363"/>
        <v>44012</v>
      </c>
      <c r="BE62" s="49">
        <f t="shared" si="363"/>
        <v>44013</v>
      </c>
      <c r="BF62" s="49">
        <f t="shared" si="363"/>
        <v>44014</v>
      </c>
      <c r="BG62" s="49">
        <f t="shared" si="363"/>
        <v>44015</v>
      </c>
      <c r="BH62" s="49">
        <f t="shared" si="363"/>
        <v>44016</v>
      </c>
      <c r="BI62" s="49">
        <f t="shared" si="363"/>
        <v>44017</v>
      </c>
      <c r="BJ62" s="49">
        <f t="shared" si="363"/>
        <v>44018</v>
      </c>
      <c r="BK62" s="49">
        <f t="shared" si="363"/>
        <v>44019</v>
      </c>
      <c r="BL62" s="49">
        <f t="shared" si="363"/>
        <v>44020</v>
      </c>
      <c r="BM62" s="49">
        <f t="shared" si="363"/>
        <v>44021</v>
      </c>
      <c r="BN62" s="49">
        <f t="shared" si="363"/>
        <v>44022</v>
      </c>
      <c r="BO62" s="49">
        <f t="shared" si="363"/>
        <v>44023</v>
      </c>
      <c r="BP62" s="49">
        <f t="shared" si="363"/>
        <v>44024</v>
      </c>
      <c r="BQ62" s="49">
        <f t="shared" si="363"/>
        <v>44025</v>
      </c>
      <c r="BR62" s="49">
        <f t="shared" si="363"/>
        <v>44026</v>
      </c>
      <c r="BS62" s="49">
        <f t="shared" si="363"/>
        <v>44027</v>
      </c>
      <c r="BT62" s="49">
        <f t="shared" si="363"/>
        <v>44028</v>
      </c>
      <c r="BU62" s="49">
        <f t="shared" si="363"/>
        <v>44029</v>
      </c>
      <c r="BV62" s="49">
        <f t="shared" si="363"/>
        <v>44030</v>
      </c>
      <c r="BW62" s="49">
        <f t="shared" si="363"/>
        <v>44031</v>
      </c>
      <c r="BX62" s="49"/>
      <c r="BY62" s="49"/>
      <c r="BZ62" s="49">
        <f t="shared" ref="BZ62:CF62" si="364">BZ1</f>
        <v>44032</v>
      </c>
      <c r="CA62" s="49">
        <f t="shared" si="364"/>
        <v>44033</v>
      </c>
      <c r="CB62" s="49">
        <f t="shared" si="364"/>
        <v>44034</v>
      </c>
      <c r="CC62" s="49">
        <f t="shared" si="364"/>
        <v>44035</v>
      </c>
      <c r="CD62" s="49">
        <f t="shared" si="364"/>
        <v>44036</v>
      </c>
      <c r="CE62" s="49">
        <f t="shared" si="364"/>
        <v>44037</v>
      </c>
      <c r="CF62" s="49">
        <f t="shared" si="364"/>
        <v>44038</v>
      </c>
      <c r="CG62" s="49"/>
      <c r="CH62" s="49"/>
      <c r="CI62" s="49">
        <f t="shared" ref="CI62:CO62" si="365">CI1</f>
        <v>44039</v>
      </c>
      <c r="CJ62" s="49">
        <f t="shared" si="365"/>
        <v>44040</v>
      </c>
      <c r="CK62" s="49">
        <f t="shared" si="365"/>
        <v>44041</v>
      </c>
      <c r="CL62" s="49">
        <f t="shared" si="365"/>
        <v>44042</v>
      </c>
      <c r="CM62" s="49">
        <f t="shared" si="365"/>
        <v>44043</v>
      </c>
      <c r="CN62" s="49">
        <f t="shared" si="365"/>
        <v>44044</v>
      </c>
      <c r="CO62" s="49">
        <f t="shared" si="365"/>
        <v>44045</v>
      </c>
      <c r="CP62" s="49"/>
      <c r="CQ62" s="49"/>
      <c r="CR62" s="49">
        <f t="shared" ref="CR62:FG62" si="366">CR1</f>
        <v>44046</v>
      </c>
      <c r="CS62" s="49">
        <f t="shared" si="366"/>
        <v>44047</v>
      </c>
      <c r="CT62" s="49">
        <f t="shared" si="366"/>
        <v>44048</v>
      </c>
      <c r="CU62" s="49">
        <f t="shared" si="366"/>
        <v>44049</v>
      </c>
      <c r="CV62" s="49">
        <f t="shared" si="366"/>
        <v>44050</v>
      </c>
      <c r="CW62" s="49">
        <f t="shared" si="366"/>
        <v>44051</v>
      </c>
      <c r="CX62" s="49">
        <f t="shared" si="366"/>
        <v>44052</v>
      </c>
      <c r="CY62" s="49"/>
      <c r="CZ62" s="49"/>
      <c r="DA62" s="49">
        <f t="shared" si="366"/>
        <v>44053</v>
      </c>
      <c r="DB62" s="49">
        <f t="shared" si="366"/>
        <v>44054</v>
      </c>
      <c r="DC62" s="49">
        <f t="shared" si="366"/>
        <v>44055</v>
      </c>
      <c r="DD62" s="49">
        <f t="shared" si="366"/>
        <v>44056</v>
      </c>
      <c r="DE62" s="49">
        <f t="shared" si="366"/>
        <v>44057</v>
      </c>
      <c r="DF62" s="49">
        <f t="shared" si="366"/>
        <v>44058</v>
      </c>
      <c r="DG62" s="49">
        <f t="shared" si="366"/>
        <v>44059</v>
      </c>
      <c r="DH62" s="49"/>
      <c r="DI62" s="49"/>
      <c r="DJ62" s="49">
        <f t="shared" si="366"/>
        <v>44060</v>
      </c>
      <c r="DK62" s="49">
        <f t="shared" si="366"/>
        <v>44061</v>
      </c>
      <c r="DL62" s="49">
        <f t="shared" si="366"/>
        <v>44062</v>
      </c>
      <c r="DM62" s="49">
        <f t="shared" si="366"/>
        <v>44063</v>
      </c>
      <c r="DN62" s="49">
        <f t="shared" si="366"/>
        <v>44064</v>
      </c>
      <c r="DO62" s="49">
        <f t="shared" si="366"/>
        <v>44065</v>
      </c>
      <c r="DP62" s="49">
        <f t="shared" si="366"/>
        <v>44066</v>
      </c>
      <c r="DQ62" s="49">
        <f t="shared" si="366"/>
        <v>44067</v>
      </c>
      <c r="DR62" s="49">
        <f t="shared" si="366"/>
        <v>44068</v>
      </c>
      <c r="DS62" s="49">
        <f t="shared" si="366"/>
        <v>44069</v>
      </c>
      <c r="DT62" s="49">
        <f t="shared" si="366"/>
        <v>44070</v>
      </c>
      <c r="DU62" s="49">
        <f t="shared" si="366"/>
        <v>44071</v>
      </c>
      <c r="DV62" s="49">
        <f t="shared" si="366"/>
        <v>44072</v>
      </c>
      <c r="DW62" s="49">
        <f t="shared" si="366"/>
        <v>44073</v>
      </c>
      <c r="DX62" s="49">
        <f t="shared" si="366"/>
        <v>44074</v>
      </c>
      <c r="DY62" s="49">
        <f t="shared" si="366"/>
        <v>44075</v>
      </c>
      <c r="DZ62" s="49">
        <f t="shared" si="366"/>
        <v>44076</v>
      </c>
      <c r="EA62" s="49">
        <f t="shared" si="366"/>
        <v>44077</v>
      </c>
      <c r="EB62" s="49">
        <f t="shared" si="366"/>
        <v>44078</v>
      </c>
      <c r="EC62" s="49">
        <f t="shared" si="366"/>
        <v>44079</v>
      </c>
      <c r="ED62" s="49">
        <f t="shared" si="366"/>
        <v>44080</v>
      </c>
      <c r="EE62" s="49">
        <f t="shared" si="366"/>
        <v>44081</v>
      </c>
      <c r="EF62" s="49">
        <f t="shared" si="366"/>
        <v>44082</v>
      </c>
      <c r="EG62" s="49">
        <f t="shared" si="366"/>
        <v>44083</v>
      </c>
      <c r="EH62" s="49">
        <f t="shared" si="366"/>
        <v>44084</v>
      </c>
      <c r="EI62" s="49">
        <f t="shared" si="366"/>
        <v>44085</v>
      </c>
      <c r="EJ62" s="49">
        <f t="shared" si="366"/>
        <v>44086</v>
      </c>
      <c r="EK62" s="49">
        <f t="shared" si="366"/>
        <v>44087</v>
      </c>
      <c r="EL62" s="49">
        <f t="shared" si="366"/>
        <v>44088</v>
      </c>
      <c r="EM62" s="49">
        <f t="shared" si="366"/>
        <v>44089</v>
      </c>
      <c r="EN62" s="49">
        <f t="shared" si="366"/>
        <v>44090</v>
      </c>
      <c r="EO62" s="49">
        <f t="shared" si="366"/>
        <v>44091</v>
      </c>
      <c r="EP62" s="49">
        <f t="shared" si="366"/>
        <v>44092</v>
      </c>
      <c r="EQ62" s="49">
        <f t="shared" si="366"/>
        <v>44093</v>
      </c>
      <c r="ER62" s="49">
        <f t="shared" si="366"/>
        <v>44094</v>
      </c>
      <c r="ES62" s="49">
        <f t="shared" si="366"/>
        <v>44095</v>
      </c>
      <c r="ET62" s="49">
        <f t="shared" si="366"/>
        <v>44096</v>
      </c>
      <c r="EU62" s="49">
        <f t="shared" si="366"/>
        <v>44097</v>
      </c>
      <c r="EV62" s="49">
        <f t="shared" si="366"/>
        <v>44098</v>
      </c>
      <c r="EW62" s="49">
        <f t="shared" si="366"/>
        <v>44099</v>
      </c>
      <c r="EX62" s="49">
        <f t="shared" si="366"/>
        <v>44100</v>
      </c>
      <c r="EY62" s="49">
        <f t="shared" si="366"/>
        <v>44101</v>
      </c>
      <c r="EZ62" s="49">
        <f t="shared" si="366"/>
        <v>44102</v>
      </c>
      <c r="FA62" s="49">
        <f t="shared" si="366"/>
        <v>44103</v>
      </c>
      <c r="FB62" s="49">
        <f t="shared" si="366"/>
        <v>44104</v>
      </c>
      <c r="FC62" s="49">
        <f t="shared" si="366"/>
        <v>44105</v>
      </c>
      <c r="FD62" s="49">
        <f t="shared" si="366"/>
        <v>44106</v>
      </c>
      <c r="FE62" s="49">
        <f t="shared" si="366"/>
        <v>44107</v>
      </c>
      <c r="FF62" s="49">
        <f t="shared" si="366"/>
        <v>44108</v>
      </c>
      <c r="FG62" s="49">
        <f t="shared" si="366"/>
        <v>44109</v>
      </c>
      <c r="FH62" s="49">
        <f t="shared" ref="FH62:HS62" si="367">FH1</f>
        <v>44110</v>
      </c>
      <c r="FI62" s="49">
        <f t="shared" si="367"/>
        <v>44111</v>
      </c>
      <c r="FJ62" s="49">
        <f t="shared" si="367"/>
        <v>44112</v>
      </c>
      <c r="FK62" s="49">
        <f t="shared" si="367"/>
        <v>44113</v>
      </c>
      <c r="FL62" s="49">
        <f t="shared" si="367"/>
        <v>44114</v>
      </c>
      <c r="FM62" s="49">
        <f t="shared" si="367"/>
        <v>44115</v>
      </c>
      <c r="FN62" s="49">
        <f t="shared" si="367"/>
        <v>44116</v>
      </c>
      <c r="FO62" s="49">
        <f t="shared" si="367"/>
        <v>44117</v>
      </c>
      <c r="FP62" s="49">
        <f t="shared" si="367"/>
        <v>44118</v>
      </c>
      <c r="FQ62" s="49">
        <f t="shared" si="367"/>
        <v>44119</v>
      </c>
      <c r="FR62" s="49">
        <f t="shared" si="367"/>
        <v>44120</v>
      </c>
      <c r="FS62" s="49">
        <f t="shared" si="367"/>
        <v>44121</v>
      </c>
      <c r="FT62" s="49">
        <f t="shared" si="367"/>
        <v>44122</v>
      </c>
      <c r="FU62" s="49">
        <f t="shared" si="367"/>
        <v>44123</v>
      </c>
      <c r="FV62" s="49">
        <f t="shared" si="367"/>
        <v>44124</v>
      </c>
      <c r="FW62" s="49">
        <f t="shared" si="367"/>
        <v>44125</v>
      </c>
      <c r="FX62" s="49">
        <f t="shared" si="367"/>
        <v>44126</v>
      </c>
      <c r="FY62" s="49">
        <f t="shared" si="367"/>
        <v>44127</v>
      </c>
      <c r="FZ62" s="49">
        <f t="shared" si="367"/>
        <v>44128</v>
      </c>
      <c r="GA62" s="49">
        <f t="shared" si="367"/>
        <v>44129</v>
      </c>
      <c r="GB62" s="49">
        <f t="shared" si="367"/>
        <v>44130</v>
      </c>
      <c r="GC62" s="49">
        <f t="shared" si="367"/>
        <v>44131</v>
      </c>
      <c r="GD62" s="49">
        <f t="shared" si="367"/>
        <v>44132</v>
      </c>
      <c r="GE62" s="49">
        <f t="shared" si="367"/>
        <v>44133</v>
      </c>
      <c r="GF62" s="49">
        <f t="shared" si="367"/>
        <v>44134</v>
      </c>
      <c r="GG62" s="49">
        <f t="shared" si="367"/>
        <v>44135</v>
      </c>
      <c r="GH62" s="49">
        <f t="shared" si="367"/>
        <v>44136</v>
      </c>
      <c r="GI62" s="49">
        <f t="shared" si="367"/>
        <v>44137</v>
      </c>
      <c r="GJ62" s="49">
        <f t="shared" si="367"/>
        <v>44138</v>
      </c>
      <c r="GK62" s="49">
        <f t="shared" si="367"/>
        <v>44139</v>
      </c>
      <c r="GL62" s="49">
        <f t="shared" si="367"/>
        <v>44140</v>
      </c>
      <c r="GM62" s="49">
        <f t="shared" si="367"/>
        <v>44141</v>
      </c>
      <c r="GN62" s="49">
        <f t="shared" si="367"/>
        <v>44142</v>
      </c>
      <c r="GO62" s="49">
        <f t="shared" si="367"/>
        <v>44143</v>
      </c>
      <c r="GP62" s="49">
        <f t="shared" si="367"/>
        <v>44144</v>
      </c>
      <c r="GQ62" s="49">
        <f t="shared" si="367"/>
        <v>44145</v>
      </c>
      <c r="GR62" s="49">
        <f t="shared" si="367"/>
        <v>44146</v>
      </c>
      <c r="GS62" s="49">
        <f t="shared" si="367"/>
        <v>44147</v>
      </c>
      <c r="GT62" s="49">
        <f t="shared" si="367"/>
        <v>44148</v>
      </c>
      <c r="GU62" s="49">
        <f t="shared" si="367"/>
        <v>44149</v>
      </c>
      <c r="GV62" s="49">
        <f t="shared" si="367"/>
        <v>44150</v>
      </c>
      <c r="GW62" s="49">
        <f t="shared" si="367"/>
        <v>44151</v>
      </c>
      <c r="GX62" s="49">
        <f t="shared" si="367"/>
        <v>44152</v>
      </c>
      <c r="GY62" s="49">
        <f t="shared" si="367"/>
        <v>44153</v>
      </c>
      <c r="GZ62" s="49">
        <f t="shared" si="367"/>
        <v>44154</v>
      </c>
      <c r="HA62" s="49">
        <f t="shared" si="367"/>
        <v>44155</v>
      </c>
      <c r="HB62" s="49">
        <f t="shared" si="367"/>
        <v>44156</v>
      </c>
      <c r="HC62" s="49">
        <f t="shared" si="367"/>
        <v>44157</v>
      </c>
      <c r="HD62" s="49">
        <f t="shared" si="367"/>
        <v>44158</v>
      </c>
      <c r="HE62" s="49">
        <f t="shared" si="367"/>
        <v>44159</v>
      </c>
      <c r="HF62" s="49">
        <f t="shared" si="367"/>
        <v>44160</v>
      </c>
      <c r="HG62" s="49">
        <f t="shared" si="367"/>
        <v>44161</v>
      </c>
      <c r="HH62" s="49">
        <f t="shared" si="367"/>
        <v>44162</v>
      </c>
      <c r="HI62" s="49">
        <f t="shared" si="367"/>
        <v>44163</v>
      </c>
      <c r="HJ62" s="49">
        <f t="shared" si="367"/>
        <v>44164</v>
      </c>
      <c r="HK62" s="49">
        <f t="shared" si="367"/>
        <v>44165</v>
      </c>
      <c r="HL62" s="49">
        <f t="shared" si="367"/>
        <v>44166</v>
      </c>
      <c r="HM62" s="49">
        <f t="shared" si="367"/>
        <v>44167</v>
      </c>
      <c r="HN62" s="49">
        <f t="shared" si="367"/>
        <v>44168</v>
      </c>
      <c r="HO62" s="49">
        <f t="shared" si="367"/>
        <v>44169</v>
      </c>
      <c r="HP62" s="49">
        <f t="shared" si="367"/>
        <v>44170</v>
      </c>
      <c r="HQ62" s="49">
        <f t="shared" si="367"/>
        <v>44171</v>
      </c>
      <c r="HR62" s="49">
        <f t="shared" si="367"/>
        <v>44172</v>
      </c>
      <c r="HS62" s="49">
        <f t="shared" si="367"/>
        <v>44173</v>
      </c>
      <c r="HT62" s="49">
        <f t="shared" ref="HT62:KE62" si="368">HT1</f>
        <v>44174</v>
      </c>
      <c r="HU62" s="49">
        <f t="shared" si="368"/>
        <v>44175</v>
      </c>
      <c r="HV62" s="49">
        <f t="shared" si="368"/>
        <v>44176</v>
      </c>
      <c r="HW62" s="49">
        <f t="shared" si="368"/>
        <v>44177</v>
      </c>
      <c r="HX62" s="49">
        <f t="shared" si="368"/>
        <v>44178</v>
      </c>
      <c r="HY62" s="49">
        <f t="shared" si="368"/>
        <v>44179</v>
      </c>
      <c r="HZ62" s="49">
        <f t="shared" si="368"/>
        <v>44180</v>
      </c>
      <c r="IA62" s="49">
        <f t="shared" si="368"/>
        <v>44181</v>
      </c>
      <c r="IB62" s="49">
        <f t="shared" si="368"/>
        <v>44182</v>
      </c>
      <c r="IC62" s="49">
        <f t="shared" si="368"/>
        <v>44183</v>
      </c>
      <c r="ID62" s="49">
        <f t="shared" si="368"/>
        <v>44184</v>
      </c>
      <c r="IE62" s="49">
        <f t="shared" si="368"/>
        <v>44185</v>
      </c>
      <c r="IF62" s="49">
        <f t="shared" si="368"/>
        <v>44186</v>
      </c>
      <c r="IG62" s="49">
        <f t="shared" si="368"/>
        <v>44187</v>
      </c>
      <c r="IH62" s="49">
        <f t="shared" si="368"/>
        <v>44188</v>
      </c>
      <c r="II62" s="49">
        <f t="shared" si="368"/>
        <v>44189</v>
      </c>
      <c r="IJ62" s="49">
        <f t="shared" si="368"/>
        <v>44190</v>
      </c>
      <c r="IK62" s="49">
        <f t="shared" si="368"/>
        <v>44191</v>
      </c>
      <c r="IL62" s="49">
        <f t="shared" si="368"/>
        <v>44192</v>
      </c>
      <c r="IM62" s="49">
        <f t="shared" si="368"/>
        <v>44193</v>
      </c>
      <c r="IN62" s="49">
        <f t="shared" si="368"/>
        <v>44194</v>
      </c>
      <c r="IO62" s="49">
        <f t="shared" si="368"/>
        <v>44195</v>
      </c>
      <c r="IP62" s="49">
        <f t="shared" si="368"/>
        <v>44196</v>
      </c>
      <c r="IQ62" s="49">
        <f t="shared" si="368"/>
        <v>44197</v>
      </c>
      <c r="IR62" s="49">
        <f t="shared" si="368"/>
        <v>44198</v>
      </c>
      <c r="IS62" s="49">
        <f t="shared" si="368"/>
        <v>44199</v>
      </c>
      <c r="IT62" s="49">
        <f t="shared" si="368"/>
        <v>44200</v>
      </c>
      <c r="IU62" s="49">
        <f t="shared" si="368"/>
        <v>44201</v>
      </c>
      <c r="IV62" s="49">
        <f t="shared" si="368"/>
        <v>44202</v>
      </c>
      <c r="IW62" s="49">
        <f t="shared" si="368"/>
        <v>44203</v>
      </c>
      <c r="IX62" s="49">
        <f t="shared" si="368"/>
        <v>44204</v>
      </c>
      <c r="IY62" s="49">
        <f t="shared" si="368"/>
        <v>44205</v>
      </c>
      <c r="IZ62" s="49">
        <f t="shared" si="368"/>
        <v>44206</v>
      </c>
      <c r="JA62" s="49">
        <f t="shared" si="368"/>
        <v>44207</v>
      </c>
      <c r="JB62" s="49">
        <f t="shared" si="368"/>
        <v>44208</v>
      </c>
      <c r="JC62" s="49">
        <f t="shared" si="368"/>
        <v>44209</v>
      </c>
      <c r="JD62" s="49">
        <f t="shared" si="368"/>
        <v>44210</v>
      </c>
      <c r="JE62" s="49">
        <f t="shared" si="368"/>
        <v>44211</v>
      </c>
      <c r="JF62" s="49">
        <f t="shared" si="368"/>
        <v>44212</v>
      </c>
      <c r="JG62" s="49">
        <f t="shared" si="368"/>
        <v>44213</v>
      </c>
      <c r="JH62" s="49">
        <f t="shared" si="368"/>
        <v>44214</v>
      </c>
      <c r="JI62" s="49">
        <f t="shared" si="368"/>
        <v>44215</v>
      </c>
      <c r="JJ62" s="49">
        <f t="shared" si="368"/>
        <v>44216</v>
      </c>
      <c r="JK62" s="49">
        <f t="shared" si="368"/>
        <v>44217</v>
      </c>
      <c r="JL62" s="49">
        <f t="shared" si="368"/>
        <v>44218</v>
      </c>
      <c r="JM62" s="49">
        <f t="shared" si="368"/>
        <v>44219</v>
      </c>
      <c r="JN62" s="49">
        <f t="shared" si="368"/>
        <v>44220</v>
      </c>
      <c r="JO62" s="49">
        <f t="shared" si="368"/>
        <v>44221</v>
      </c>
      <c r="JP62" s="49">
        <f t="shared" si="368"/>
        <v>44222</v>
      </c>
      <c r="JQ62" s="49">
        <f t="shared" si="368"/>
        <v>44223</v>
      </c>
      <c r="JR62" s="49">
        <f t="shared" si="368"/>
        <v>44224</v>
      </c>
      <c r="JS62" s="49">
        <f t="shared" si="368"/>
        <v>44225</v>
      </c>
      <c r="JT62" s="49">
        <f t="shared" si="368"/>
        <v>44226</v>
      </c>
      <c r="JU62" s="49">
        <f t="shared" si="368"/>
        <v>44227</v>
      </c>
      <c r="JV62" s="49">
        <f t="shared" si="368"/>
        <v>44228</v>
      </c>
      <c r="JW62" s="49">
        <f t="shared" si="368"/>
        <v>44229</v>
      </c>
      <c r="JX62" s="49">
        <f t="shared" si="368"/>
        <v>44230</v>
      </c>
      <c r="JY62" s="49">
        <f t="shared" si="368"/>
        <v>44231</v>
      </c>
      <c r="JZ62" s="49">
        <f t="shared" si="368"/>
        <v>44232</v>
      </c>
      <c r="KA62" s="49">
        <f t="shared" si="368"/>
        <v>44233</v>
      </c>
      <c r="KB62" s="49">
        <f t="shared" si="368"/>
        <v>44234</v>
      </c>
      <c r="KC62" s="49">
        <f t="shared" si="368"/>
        <v>44235</v>
      </c>
      <c r="KD62" s="49">
        <f t="shared" si="368"/>
        <v>44236</v>
      </c>
      <c r="KE62" s="49">
        <f t="shared" si="368"/>
        <v>44237</v>
      </c>
      <c r="KF62" s="49">
        <f t="shared" ref="KF62:MF62" si="369">KF1</f>
        <v>44238</v>
      </c>
      <c r="KG62" s="49">
        <f t="shared" si="369"/>
        <v>44239</v>
      </c>
      <c r="KH62" s="49">
        <f t="shared" si="369"/>
        <v>44240</v>
      </c>
      <c r="KI62" s="49">
        <f t="shared" si="369"/>
        <v>44241</v>
      </c>
      <c r="KJ62" s="49">
        <f t="shared" si="369"/>
        <v>44242</v>
      </c>
      <c r="KK62" s="49">
        <f t="shared" si="369"/>
        <v>44243</v>
      </c>
      <c r="KL62" s="49">
        <f t="shared" si="369"/>
        <v>44244</v>
      </c>
      <c r="KM62" s="49">
        <f t="shared" si="369"/>
        <v>44245</v>
      </c>
      <c r="KN62" s="49">
        <f t="shared" si="369"/>
        <v>44246</v>
      </c>
      <c r="KO62" s="49">
        <f t="shared" si="369"/>
        <v>44247</v>
      </c>
      <c r="KP62" s="49">
        <f t="shared" si="369"/>
        <v>44248</v>
      </c>
      <c r="KQ62" s="49">
        <f t="shared" si="369"/>
        <v>44249</v>
      </c>
      <c r="KR62" s="49">
        <f t="shared" si="369"/>
        <v>44250</v>
      </c>
      <c r="KS62" s="49">
        <f t="shared" si="369"/>
        <v>44251</v>
      </c>
      <c r="KT62" s="49">
        <f t="shared" si="369"/>
        <v>44252</v>
      </c>
      <c r="KU62" s="49">
        <f t="shared" si="369"/>
        <v>44253</v>
      </c>
      <c r="KV62" s="49">
        <f t="shared" si="369"/>
        <v>44254</v>
      </c>
      <c r="KW62" s="49">
        <f t="shared" si="369"/>
        <v>44255</v>
      </c>
      <c r="KX62" s="49">
        <f t="shared" si="369"/>
        <v>44256</v>
      </c>
      <c r="KY62" s="49">
        <f t="shared" si="369"/>
        <v>44257</v>
      </c>
      <c r="KZ62" s="49">
        <f t="shared" si="369"/>
        <v>44258</v>
      </c>
      <c r="LA62" s="49">
        <f t="shared" si="369"/>
        <v>44259</v>
      </c>
      <c r="LB62" s="49">
        <f t="shared" si="369"/>
        <v>44260</v>
      </c>
      <c r="LC62" s="49">
        <f t="shared" si="369"/>
        <v>44261</v>
      </c>
      <c r="LD62" s="49">
        <f t="shared" si="369"/>
        <v>44262</v>
      </c>
      <c r="LE62" s="49">
        <f t="shared" si="369"/>
        <v>44263</v>
      </c>
      <c r="LF62" s="49">
        <f t="shared" si="369"/>
        <v>44264</v>
      </c>
      <c r="LG62" s="49">
        <f t="shared" si="369"/>
        <v>44265</v>
      </c>
      <c r="LH62" s="49">
        <f t="shared" si="369"/>
        <v>44266</v>
      </c>
      <c r="LI62" s="49">
        <f t="shared" si="369"/>
        <v>44267</v>
      </c>
      <c r="LJ62" s="49">
        <f t="shared" si="369"/>
        <v>44268</v>
      </c>
      <c r="LK62" s="49">
        <f t="shared" si="369"/>
        <v>44269</v>
      </c>
      <c r="LL62" s="49">
        <f t="shared" si="369"/>
        <v>44270</v>
      </c>
      <c r="LM62" s="49">
        <f t="shared" si="369"/>
        <v>44271</v>
      </c>
      <c r="LN62" s="49">
        <f t="shared" si="369"/>
        <v>44272</v>
      </c>
      <c r="LO62" s="49">
        <f t="shared" si="369"/>
        <v>44273</v>
      </c>
      <c r="LP62" s="49">
        <f t="shared" si="369"/>
        <v>44274</v>
      </c>
      <c r="LQ62" s="49">
        <f t="shared" si="369"/>
        <v>44275</v>
      </c>
      <c r="LR62" s="49">
        <f t="shared" si="369"/>
        <v>44276</v>
      </c>
      <c r="LS62" s="49">
        <f t="shared" si="369"/>
        <v>44277</v>
      </c>
      <c r="LT62" s="49">
        <f t="shared" si="369"/>
        <v>44278</v>
      </c>
      <c r="LU62" s="49">
        <f t="shared" si="369"/>
        <v>44279</v>
      </c>
      <c r="LV62" s="49">
        <f t="shared" si="369"/>
        <v>44280</v>
      </c>
      <c r="LW62" s="49">
        <f t="shared" si="369"/>
        <v>44281</v>
      </c>
      <c r="LX62" s="49">
        <f t="shared" si="369"/>
        <v>44282</v>
      </c>
      <c r="LY62" s="49">
        <f t="shared" si="369"/>
        <v>44283</v>
      </c>
      <c r="LZ62" s="49">
        <f t="shared" si="369"/>
        <v>44284</v>
      </c>
      <c r="MA62" s="49">
        <f t="shared" si="369"/>
        <v>44285</v>
      </c>
      <c r="MB62" s="49">
        <f t="shared" si="369"/>
        <v>44286</v>
      </c>
      <c r="MC62" s="49">
        <f t="shared" si="369"/>
        <v>44287</v>
      </c>
      <c r="MD62" s="49">
        <f t="shared" si="369"/>
        <v>44288</v>
      </c>
      <c r="ME62" s="49">
        <f t="shared" si="369"/>
        <v>44289</v>
      </c>
      <c r="MF62" s="49">
        <f t="shared" si="369"/>
        <v>44290</v>
      </c>
    </row>
    <row r="63" spans="1:344" ht="15" customHeight="1" x14ac:dyDescent="0.25">
      <c r="A63" s="136" t="s">
        <v>144</v>
      </c>
      <c r="B63" s="136"/>
      <c r="C63" s="136"/>
      <c r="D63" s="136"/>
      <c r="E63" s="137"/>
      <c r="F63" s="30"/>
      <c r="G63" s="30"/>
      <c r="H63" s="30"/>
      <c r="I63" s="30"/>
      <c r="J63" s="30"/>
      <c r="K63" s="30"/>
      <c r="L63" s="30"/>
      <c r="M63" s="30"/>
      <c r="N63" s="30"/>
      <c r="O63" s="29"/>
      <c r="P63" s="140" t="s">
        <v>49</v>
      </c>
      <c r="Q63" s="140" t="s">
        <v>48</v>
      </c>
      <c r="R63" s="142"/>
      <c r="S63" s="57">
        <f t="shared" ref="S63:CE63" si="370">S36</f>
        <v>43975</v>
      </c>
      <c r="T63" s="58">
        <f t="shared" si="370"/>
        <v>43976</v>
      </c>
      <c r="U63" s="58">
        <f t="shared" si="370"/>
        <v>43977</v>
      </c>
      <c r="V63" s="58">
        <f t="shared" si="370"/>
        <v>43978</v>
      </c>
      <c r="W63" s="58">
        <f t="shared" si="370"/>
        <v>43979</v>
      </c>
      <c r="X63" s="58">
        <f t="shared" si="370"/>
        <v>43980</v>
      </c>
      <c r="Y63" s="58">
        <f t="shared" si="370"/>
        <v>43981</v>
      </c>
      <c r="Z63" s="57">
        <f t="shared" si="370"/>
        <v>43982</v>
      </c>
      <c r="AA63" s="58">
        <f t="shared" si="370"/>
        <v>43983</v>
      </c>
      <c r="AB63" s="58">
        <f t="shared" si="370"/>
        <v>43984</v>
      </c>
      <c r="AC63" s="58">
        <f t="shared" si="370"/>
        <v>43985</v>
      </c>
      <c r="AD63" s="58">
        <f t="shared" si="370"/>
        <v>43986</v>
      </c>
      <c r="AE63" s="58">
        <f t="shared" si="370"/>
        <v>43987</v>
      </c>
      <c r="AF63" s="58">
        <f t="shared" si="370"/>
        <v>43988</v>
      </c>
      <c r="AG63" s="57">
        <f t="shared" si="370"/>
        <v>43989</v>
      </c>
      <c r="AH63" s="58">
        <f t="shared" si="370"/>
        <v>43990</v>
      </c>
      <c r="AI63" s="58">
        <f t="shared" si="370"/>
        <v>43991</v>
      </c>
      <c r="AJ63" s="58">
        <f t="shared" si="370"/>
        <v>43992</v>
      </c>
      <c r="AK63" s="58">
        <f t="shared" si="370"/>
        <v>43993</v>
      </c>
      <c r="AL63" s="58">
        <f t="shared" si="370"/>
        <v>43994</v>
      </c>
      <c r="AM63" s="58">
        <f t="shared" si="370"/>
        <v>43995</v>
      </c>
      <c r="AN63" s="57">
        <f t="shared" si="370"/>
        <v>43996</v>
      </c>
      <c r="AO63" s="58">
        <f t="shared" si="370"/>
        <v>43997</v>
      </c>
      <c r="AP63" s="58">
        <f t="shared" si="370"/>
        <v>43998</v>
      </c>
      <c r="AQ63" s="58">
        <f t="shared" si="370"/>
        <v>43999</v>
      </c>
      <c r="AR63" s="58">
        <f t="shared" si="370"/>
        <v>44000</v>
      </c>
      <c r="AS63" s="58">
        <f t="shared" si="370"/>
        <v>44001</v>
      </c>
      <c r="AT63" s="58">
        <f t="shared" si="370"/>
        <v>44002</v>
      </c>
      <c r="AU63" s="57">
        <f t="shared" si="370"/>
        <v>44003</v>
      </c>
      <c r="AV63" s="58">
        <f t="shared" si="370"/>
        <v>44004</v>
      </c>
      <c r="AW63" s="58">
        <f t="shared" si="370"/>
        <v>44005</v>
      </c>
      <c r="AX63" s="58">
        <f t="shared" si="370"/>
        <v>44006</v>
      </c>
      <c r="AY63" s="58">
        <f t="shared" si="370"/>
        <v>44007</v>
      </c>
      <c r="AZ63" s="58">
        <f t="shared" si="370"/>
        <v>44008</v>
      </c>
      <c r="BA63" s="58">
        <f t="shared" si="370"/>
        <v>44009</v>
      </c>
      <c r="BB63" s="57">
        <f t="shared" si="370"/>
        <v>44010</v>
      </c>
      <c r="BC63" s="58">
        <f t="shared" si="370"/>
        <v>44011</v>
      </c>
      <c r="BD63" s="58">
        <f t="shared" si="370"/>
        <v>44012</v>
      </c>
      <c r="BE63" s="58">
        <f t="shared" si="370"/>
        <v>44013</v>
      </c>
      <c r="BF63" s="58">
        <f t="shared" si="370"/>
        <v>44014</v>
      </c>
      <c r="BG63" s="58">
        <f t="shared" si="370"/>
        <v>44015</v>
      </c>
      <c r="BH63" s="58">
        <f t="shared" si="370"/>
        <v>44016</v>
      </c>
      <c r="BI63" s="57">
        <f t="shared" si="370"/>
        <v>44017</v>
      </c>
      <c r="BJ63" s="58">
        <f t="shared" si="370"/>
        <v>44018</v>
      </c>
      <c r="BK63" s="58">
        <f t="shared" si="370"/>
        <v>44019</v>
      </c>
      <c r="BL63" s="58">
        <f t="shared" si="370"/>
        <v>44020</v>
      </c>
      <c r="BM63" s="58">
        <f t="shared" si="370"/>
        <v>44021</v>
      </c>
      <c r="BN63" s="58">
        <f t="shared" si="370"/>
        <v>44022</v>
      </c>
      <c r="BO63" s="58">
        <f t="shared" si="370"/>
        <v>44023</v>
      </c>
      <c r="BP63" s="57">
        <v>12</v>
      </c>
      <c r="BQ63" s="58">
        <f t="shared" si="370"/>
        <v>44025</v>
      </c>
      <c r="BR63" s="58">
        <f t="shared" si="370"/>
        <v>44026</v>
      </c>
      <c r="BS63" s="58">
        <f t="shared" si="370"/>
        <v>44027</v>
      </c>
      <c r="BT63" s="58">
        <f t="shared" si="370"/>
        <v>44028</v>
      </c>
      <c r="BU63" s="58">
        <f t="shared" si="370"/>
        <v>44029</v>
      </c>
      <c r="BV63" s="58">
        <f t="shared" si="370"/>
        <v>44030</v>
      </c>
      <c r="BW63" s="58">
        <v>19</v>
      </c>
      <c r="BX63" s="58"/>
      <c r="BY63" s="57"/>
      <c r="BZ63" s="58">
        <f t="shared" si="370"/>
        <v>44032</v>
      </c>
      <c r="CA63" s="58">
        <f t="shared" si="370"/>
        <v>44033</v>
      </c>
      <c r="CB63" s="58">
        <f t="shared" si="370"/>
        <v>44034</v>
      </c>
      <c r="CC63" s="58">
        <f t="shared" si="370"/>
        <v>44035</v>
      </c>
      <c r="CD63" s="58">
        <f t="shared" si="370"/>
        <v>44036</v>
      </c>
      <c r="CE63" s="58">
        <f t="shared" si="370"/>
        <v>44037</v>
      </c>
      <c r="CF63" s="58">
        <v>26</v>
      </c>
      <c r="CG63" s="58"/>
      <c r="CH63" s="57"/>
      <c r="CI63" s="58">
        <f t="shared" ref="CI63:EZ63" si="371">CI36</f>
        <v>44039</v>
      </c>
      <c r="CJ63" s="58">
        <f t="shared" si="371"/>
        <v>44040</v>
      </c>
      <c r="CK63" s="58">
        <f t="shared" si="371"/>
        <v>44041</v>
      </c>
      <c r="CL63" s="58">
        <f t="shared" si="371"/>
        <v>44042</v>
      </c>
      <c r="CM63" s="58">
        <f t="shared" si="371"/>
        <v>44043</v>
      </c>
      <c r="CN63" s="58">
        <f t="shared" si="371"/>
        <v>44044</v>
      </c>
      <c r="CO63" s="58">
        <f t="shared" ref="CO63" si="372">CO36</f>
        <v>44045</v>
      </c>
      <c r="CP63" s="58"/>
      <c r="CQ63" s="57"/>
      <c r="CR63" s="58">
        <f t="shared" si="371"/>
        <v>44046</v>
      </c>
      <c r="CS63" s="58">
        <f t="shared" si="371"/>
        <v>44047</v>
      </c>
      <c r="CT63" s="58">
        <f t="shared" si="371"/>
        <v>44048</v>
      </c>
      <c r="CU63" s="58">
        <f t="shared" si="371"/>
        <v>44049</v>
      </c>
      <c r="CV63" s="58">
        <f t="shared" si="371"/>
        <v>44050</v>
      </c>
      <c r="CW63" s="58">
        <f t="shared" si="371"/>
        <v>44051</v>
      </c>
      <c r="CX63" s="58">
        <f t="shared" si="371"/>
        <v>44052</v>
      </c>
      <c r="CY63" s="58"/>
      <c r="CZ63" s="57"/>
      <c r="DA63" s="58">
        <f t="shared" si="371"/>
        <v>44053</v>
      </c>
      <c r="DB63" s="58">
        <f t="shared" si="371"/>
        <v>44054</v>
      </c>
      <c r="DC63" s="58">
        <f t="shared" si="371"/>
        <v>44055</v>
      </c>
      <c r="DD63" s="58">
        <f t="shared" si="371"/>
        <v>44056</v>
      </c>
      <c r="DE63" s="58">
        <f t="shared" si="371"/>
        <v>44057</v>
      </c>
      <c r="DF63" s="58">
        <f t="shared" si="371"/>
        <v>44058</v>
      </c>
      <c r="DG63" s="58"/>
      <c r="DH63" s="58"/>
      <c r="DI63" s="57"/>
      <c r="DJ63" s="58">
        <f t="shared" si="371"/>
        <v>44060</v>
      </c>
      <c r="DK63" s="58">
        <f t="shared" si="371"/>
        <v>44061</v>
      </c>
      <c r="DL63" s="58">
        <f t="shared" si="371"/>
        <v>44062</v>
      </c>
      <c r="DM63" s="58">
        <f t="shared" si="371"/>
        <v>44063</v>
      </c>
      <c r="DN63" s="58">
        <f t="shared" si="371"/>
        <v>44064</v>
      </c>
      <c r="DO63" s="58">
        <f t="shared" si="371"/>
        <v>44065</v>
      </c>
      <c r="DP63" s="57">
        <f t="shared" si="371"/>
        <v>44066</v>
      </c>
      <c r="DQ63" s="58">
        <f t="shared" si="371"/>
        <v>44067</v>
      </c>
      <c r="DR63" s="58">
        <f t="shared" si="371"/>
        <v>44068</v>
      </c>
      <c r="DS63" s="58">
        <f t="shared" si="371"/>
        <v>44069</v>
      </c>
      <c r="DT63" s="58">
        <f t="shared" si="371"/>
        <v>44070</v>
      </c>
      <c r="DU63" s="58">
        <f t="shared" si="371"/>
        <v>44071</v>
      </c>
      <c r="DV63" s="58">
        <f t="shared" si="371"/>
        <v>44072</v>
      </c>
      <c r="DW63" s="57">
        <f t="shared" si="371"/>
        <v>44073</v>
      </c>
      <c r="DX63" s="58">
        <f t="shared" si="371"/>
        <v>44074</v>
      </c>
      <c r="DY63" s="58">
        <f t="shared" si="371"/>
        <v>44075</v>
      </c>
      <c r="DZ63" s="58">
        <f t="shared" si="371"/>
        <v>44076</v>
      </c>
      <c r="EA63" s="58">
        <f t="shared" si="371"/>
        <v>44077</v>
      </c>
      <c r="EB63" s="58">
        <f t="shared" si="371"/>
        <v>44078</v>
      </c>
      <c r="EC63" s="58">
        <f t="shared" si="371"/>
        <v>44079</v>
      </c>
      <c r="ED63" s="57">
        <f t="shared" si="371"/>
        <v>44080</v>
      </c>
      <c r="EE63" s="58">
        <f t="shared" si="371"/>
        <v>44081</v>
      </c>
      <c r="EF63" s="58">
        <f t="shared" si="371"/>
        <v>44082</v>
      </c>
      <c r="EG63" s="58">
        <f t="shared" si="371"/>
        <v>44083</v>
      </c>
      <c r="EH63" s="58">
        <f t="shared" si="371"/>
        <v>44084</v>
      </c>
      <c r="EI63" s="58">
        <f t="shared" si="371"/>
        <v>44085</v>
      </c>
      <c r="EJ63" s="58">
        <f t="shared" si="371"/>
        <v>44086</v>
      </c>
      <c r="EK63" s="57">
        <f t="shared" si="371"/>
        <v>44087</v>
      </c>
      <c r="EL63" s="58">
        <f t="shared" si="371"/>
        <v>44088</v>
      </c>
      <c r="EM63" s="58">
        <f t="shared" si="371"/>
        <v>44089</v>
      </c>
      <c r="EN63" s="58">
        <f t="shared" si="371"/>
        <v>44090</v>
      </c>
      <c r="EO63" s="58">
        <f t="shared" si="371"/>
        <v>44091</v>
      </c>
      <c r="EP63" s="58">
        <f t="shared" si="371"/>
        <v>44092</v>
      </c>
      <c r="EQ63" s="58">
        <f t="shared" si="371"/>
        <v>44093</v>
      </c>
      <c r="ER63" s="57">
        <f t="shared" si="371"/>
        <v>44094</v>
      </c>
      <c r="ES63" s="58">
        <f t="shared" si="371"/>
        <v>44095</v>
      </c>
      <c r="ET63" s="58">
        <f t="shared" si="371"/>
        <v>44096</v>
      </c>
      <c r="EU63" s="58">
        <f t="shared" si="371"/>
        <v>44097</v>
      </c>
      <c r="EV63" s="58">
        <f t="shared" si="371"/>
        <v>44098</v>
      </c>
      <c r="EW63" s="58">
        <f t="shared" si="371"/>
        <v>44099</v>
      </c>
      <c r="EX63" s="58">
        <f t="shared" si="371"/>
        <v>44100</v>
      </c>
      <c r="EY63" s="57">
        <f t="shared" si="371"/>
        <v>44101</v>
      </c>
      <c r="EZ63" s="58">
        <f t="shared" si="371"/>
        <v>44102</v>
      </c>
      <c r="FA63" s="58">
        <f t="shared" ref="FA63:HL63" si="373">FA36</f>
        <v>44103</v>
      </c>
      <c r="FB63" s="58">
        <f t="shared" si="373"/>
        <v>44104</v>
      </c>
      <c r="FC63" s="58">
        <f t="shared" si="373"/>
        <v>44105</v>
      </c>
      <c r="FD63" s="58">
        <f t="shared" si="373"/>
        <v>44106</v>
      </c>
      <c r="FE63" s="58">
        <f t="shared" si="373"/>
        <v>44107</v>
      </c>
      <c r="FF63" s="57">
        <f t="shared" si="373"/>
        <v>44108</v>
      </c>
      <c r="FG63" s="58">
        <f t="shared" si="373"/>
        <v>44109</v>
      </c>
      <c r="FH63" s="58">
        <f t="shared" si="373"/>
        <v>44110</v>
      </c>
      <c r="FI63" s="58">
        <f t="shared" si="373"/>
        <v>44111</v>
      </c>
      <c r="FJ63" s="58">
        <f t="shared" si="373"/>
        <v>44112</v>
      </c>
      <c r="FK63" s="58">
        <f t="shared" si="373"/>
        <v>44113</v>
      </c>
      <c r="FL63" s="58">
        <f t="shared" si="373"/>
        <v>44114</v>
      </c>
      <c r="FM63" s="57">
        <f t="shared" si="373"/>
        <v>44115</v>
      </c>
      <c r="FN63" s="58">
        <f t="shared" si="373"/>
        <v>44116</v>
      </c>
      <c r="FO63" s="58">
        <f t="shared" si="373"/>
        <v>44117</v>
      </c>
      <c r="FP63" s="58">
        <f t="shared" si="373"/>
        <v>44118</v>
      </c>
      <c r="FQ63" s="58">
        <f t="shared" si="373"/>
        <v>44119</v>
      </c>
      <c r="FR63" s="58">
        <f t="shared" si="373"/>
        <v>44120</v>
      </c>
      <c r="FS63" s="58">
        <f t="shared" si="373"/>
        <v>44121</v>
      </c>
      <c r="FT63" s="57">
        <f t="shared" si="373"/>
        <v>44122</v>
      </c>
      <c r="FU63" s="58">
        <f t="shared" si="373"/>
        <v>44123</v>
      </c>
      <c r="FV63" s="58">
        <f t="shared" si="373"/>
        <v>44124</v>
      </c>
      <c r="FW63" s="58">
        <f t="shared" si="373"/>
        <v>44125</v>
      </c>
      <c r="FX63" s="58">
        <f t="shared" si="373"/>
        <v>44126</v>
      </c>
      <c r="FY63" s="58">
        <f t="shared" si="373"/>
        <v>44127</v>
      </c>
      <c r="FZ63" s="58">
        <f t="shared" si="373"/>
        <v>44128</v>
      </c>
      <c r="GA63" s="57">
        <f t="shared" si="373"/>
        <v>44129</v>
      </c>
      <c r="GB63" s="58">
        <f t="shared" si="373"/>
        <v>44130</v>
      </c>
      <c r="GC63" s="58">
        <f t="shared" si="373"/>
        <v>44131</v>
      </c>
      <c r="GD63" s="58">
        <f t="shared" si="373"/>
        <v>44132</v>
      </c>
      <c r="GE63" s="58">
        <f t="shared" si="373"/>
        <v>44133</v>
      </c>
      <c r="GF63" s="58">
        <f t="shared" si="373"/>
        <v>44134</v>
      </c>
      <c r="GG63" s="58">
        <f t="shared" si="373"/>
        <v>44135</v>
      </c>
      <c r="GH63" s="57">
        <f t="shared" si="373"/>
        <v>44136</v>
      </c>
      <c r="GI63" s="58">
        <f t="shared" si="373"/>
        <v>44137</v>
      </c>
      <c r="GJ63" s="58">
        <f t="shared" si="373"/>
        <v>44138</v>
      </c>
      <c r="GK63" s="58">
        <f t="shared" si="373"/>
        <v>44139</v>
      </c>
      <c r="GL63" s="58">
        <f t="shared" si="373"/>
        <v>44140</v>
      </c>
      <c r="GM63" s="58">
        <f t="shared" si="373"/>
        <v>44141</v>
      </c>
      <c r="GN63" s="58">
        <f t="shared" si="373"/>
        <v>44142</v>
      </c>
      <c r="GO63" s="57">
        <f t="shared" si="373"/>
        <v>44143</v>
      </c>
      <c r="GP63" s="58">
        <f t="shared" si="373"/>
        <v>44144</v>
      </c>
      <c r="GQ63" s="58">
        <f t="shared" si="373"/>
        <v>44145</v>
      </c>
      <c r="GR63" s="58">
        <f t="shared" si="373"/>
        <v>44146</v>
      </c>
      <c r="GS63" s="58">
        <f t="shared" si="373"/>
        <v>44147</v>
      </c>
      <c r="GT63" s="58">
        <f t="shared" si="373"/>
        <v>44148</v>
      </c>
      <c r="GU63" s="58">
        <f t="shared" si="373"/>
        <v>44149</v>
      </c>
      <c r="GV63" s="57">
        <f t="shared" si="373"/>
        <v>44150</v>
      </c>
      <c r="GW63" s="58">
        <f t="shared" si="373"/>
        <v>44151</v>
      </c>
      <c r="GX63" s="58">
        <f t="shared" si="373"/>
        <v>44152</v>
      </c>
      <c r="GY63" s="58">
        <f t="shared" si="373"/>
        <v>44153</v>
      </c>
      <c r="GZ63" s="58">
        <f t="shared" si="373"/>
        <v>44154</v>
      </c>
      <c r="HA63" s="58">
        <f t="shared" si="373"/>
        <v>44155</v>
      </c>
      <c r="HB63" s="58">
        <f t="shared" si="373"/>
        <v>44156</v>
      </c>
      <c r="HC63" s="57">
        <f t="shared" si="373"/>
        <v>44157</v>
      </c>
      <c r="HD63" s="58">
        <f t="shared" si="373"/>
        <v>44158</v>
      </c>
      <c r="HE63" s="58">
        <f t="shared" si="373"/>
        <v>44159</v>
      </c>
      <c r="HF63" s="58">
        <f t="shared" si="373"/>
        <v>44160</v>
      </c>
      <c r="HG63" s="58">
        <f t="shared" si="373"/>
        <v>44161</v>
      </c>
      <c r="HH63" s="58">
        <f t="shared" si="373"/>
        <v>44162</v>
      </c>
      <c r="HI63" s="58">
        <f t="shared" si="373"/>
        <v>44163</v>
      </c>
      <c r="HJ63" s="57">
        <f t="shared" si="373"/>
        <v>44164</v>
      </c>
      <c r="HK63" s="58">
        <f t="shared" si="373"/>
        <v>44165</v>
      </c>
      <c r="HL63" s="58">
        <f t="shared" si="373"/>
        <v>44166</v>
      </c>
      <c r="HM63" s="58">
        <f t="shared" ref="HM63:JX63" si="374">HM36</f>
        <v>44167</v>
      </c>
      <c r="HN63" s="58">
        <f t="shared" si="374"/>
        <v>44168</v>
      </c>
      <c r="HO63" s="58">
        <f t="shared" si="374"/>
        <v>44169</v>
      </c>
      <c r="HP63" s="58">
        <f t="shared" si="374"/>
        <v>44170</v>
      </c>
      <c r="HQ63" s="57">
        <f t="shared" si="374"/>
        <v>44171</v>
      </c>
      <c r="HR63" s="58">
        <f t="shared" si="374"/>
        <v>44172</v>
      </c>
      <c r="HS63" s="58">
        <f t="shared" si="374"/>
        <v>44173</v>
      </c>
      <c r="HT63" s="58">
        <f t="shared" si="374"/>
        <v>44174</v>
      </c>
      <c r="HU63" s="58">
        <f t="shared" si="374"/>
        <v>44175</v>
      </c>
      <c r="HV63" s="58">
        <f t="shared" si="374"/>
        <v>44176</v>
      </c>
      <c r="HW63" s="58">
        <f t="shared" si="374"/>
        <v>44177</v>
      </c>
      <c r="HX63" s="57">
        <f t="shared" si="374"/>
        <v>44178</v>
      </c>
      <c r="HY63" s="58">
        <f t="shared" si="374"/>
        <v>44179</v>
      </c>
      <c r="HZ63" s="58">
        <f t="shared" si="374"/>
        <v>44180</v>
      </c>
      <c r="IA63" s="58">
        <f t="shared" si="374"/>
        <v>44181</v>
      </c>
      <c r="IB63" s="58">
        <f t="shared" si="374"/>
        <v>44182</v>
      </c>
      <c r="IC63" s="58">
        <f t="shared" si="374"/>
        <v>44183</v>
      </c>
      <c r="ID63" s="58">
        <f t="shared" si="374"/>
        <v>44184</v>
      </c>
      <c r="IE63" s="57">
        <f t="shared" si="374"/>
        <v>44185</v>
      </c>
      <c r="IF63" s="58">
        <f t="shared" si="374"/>
        <v>44186</v>
      </c>
      <c r="IG63" s="58">
        <f t="shared" si="374"/>
        <v>44187</v>
      </c>
      <c r="IH63" s="58">
        <f t="shared" si="374"/>
        <v>44188</v>
      </c>
      <c r="II63" s="58">
        <f t="shared" si="374"/>
        <v>44189</v>
      </c>
      <c r="IJ63" s="58">
        <f t="shared" si="374"/>
        <v>44190</v>
      </c>
      <c r="IK63" s="58">
        <f t="shared" si="374"/>
        <v>44191</v>
      </c>
      <c r="IL63" s="57">
        <f t="shared" si="374"/>
        <v>44192</v>
      </c>
      <c r="IM63" s="58">
        <f t="shared" si="374"/>
        <v>44193</v>
      </c>
      <c r="IN63" s="58">
        <f t="shared" si="374"/>
        <v>44194</v>
      </c>
      <c r="IO63" s="58">
        <f t="shared" si="374"/>
        <v>44195</v>
      </c>
      <c r="IP63" s="58">
        <f t="shared" si="374"/>
        <v>44196</v>
      </c>
      <c r="IQ63" s="58">
        <f t="shared" si="374"/>
        <v>44197</v>
      </c>
      <c r="IR63" s="58">
        <f t="shared" si="374"/>
        <v>44198</v>
      </c>
      <c r="IS63" s="57">
        <f t="shared" si="374"/>
        <v>44199</v>
      </c>
      <c r="IT63" s="58">
        <f t="shared" si="374"/>
        <v>44200</v>
      </c>
      <c r="IU63" s="58">
        <f t="shared" si="374"/>
        <v>44201</v>
      </c>
      <c r="IV63" s="58">
        <f t="shared" si="374"/>
        <v>44202</v>
      </c>
      <c r="IW63" s="58">
        <f t="shared" si="374"/>
        <v>44203</v>
      </c>
      <c r="IX63" s="58">
        <f t="shared" si="374"/>
        <v>44204</v>
      </c>
      <c r="IY63" s="58">
        <f t="shared" si="374"/>
        <v>44205</v>
      </c>
      <c r="IZ63" s="57">
        <f t="shared" si="374"/>
        <v>44206</v>
      </c>
      <c r="JA63" s="58">
        <f t="shared" si="374"/>
        <v>44207</v>
      </c>
      <c r="JB63" s="58">
        <f t="shared" si="374"/>
        <v>44208</v>
      </c>
      <c r="JC63" s="58">
        <f t="shared" si="374"/>
        <v>44209</v>
      </c>
      <c r="JD63" s="58">
        <f t="shared" si="374"/>
        <v>44210</v>
      </c>
      <c r="JE63" s="58">
        <f t="shared" si="374"/>
        <v>44211</v>
      </c>
      <c r="JF63" s="58">
        <f t="shared" si="374"/>
        <v>44212</v>
      </c>
      <c r="JG63" s="57">
        <f t="shared" si="374"/>
        <v>44213</v>
      </c>
      <c r="JH63" s="58">
        <f t="shared" si="374"/>
        <v>44214</v>
      </c>
      <c r="JI63" s="58">
        <f t="shared" si="374"/>
        <v>44215</v>
      </c>
      <c r="JJ63" s="58">
        <f t="shared" si="374"/>
        <v>44216</v>
      </c>
      <c r="JK63" s="58">
        <f t="shared" si="374"/>
        <v>44217</v>
      </c>
      <c r="JL63" s="58">
        <f t="shared" si="374"/>
        <v>44218</v>
      </c>
      <c r="JM63" s="58">
        <f t="shared" si="374"/>
        <v>44219</v>
      </c>
      <c r="JN63" s="57">
        <f t="shared" si="374"/>
        <v>44220</v>
      </c>
      <c r="JO63" s="58">
        <f t="shared" si="374"/>
        <v>44221</v>
      </c>
      <c r="JP63" s="58">
        <f t="shared" si="374"/>
        <v>44222</v>
      </c>
      <c r="JQ63" s="58">
        <f t="shared" si="374"/>
        <v>44223</v>
      </c>
      <c r="JR63" s="58">
        <f t="shared" si="374"/>
        <v>44224</v>
      </c>
      <c r="JS63" s="58">
        <f t="shared" si="374"/>
        <v>44225</v>
      </c>
      <c r="JT63" s="58">
        <f t="shared" si="374"/>
        <v>44226</v>
      </c>
      <c r="JU63" s="57">
        <f t="shared" si="374"/>
        <v>44227</v>
      </c>
      <c r="JV63" s="58">
        <f t="shared" si="374"/>
        <v>44228</v>
      </c>
      <c r="JW63" s="58">
        <f t="shared" si="374"/>
        <v>44229</v>
      </c>
      <c r="JX63" s="58">
        <f t="shared" si="374"/>
        <v>44230</v>
      </c>
      <c r="JY63" s="58">
        <f t="shared" ref="JY63:MF63" si="375">JY36</f>
        <v>44231</v>
      </c>
      <c r="JZ63" s="58">
        <f t="shared" si="375"/>
        <v>44232</v>
      </c>
      <c r="KA63" s="58">
        <f t="shared" si="375"/>
        <v>44233</v>
      </c>
      <c r="KB63" s="57">
        <f t="shared" si="375"/>
        <v>44234</v>
      </c>
      <c r="KC63" s="58">
        <f t="shared" si="375"/>
        <v>44235</v>
      </c>
      <c r="KD63" s="58">
        <f t="shared" si="375"/>
        <v>44236</v>
      </c>
      <c r="KE63" s="58">
        <f t="shared" si="375"/>
        <v>44237</v>
      </c>
      <c r="KF63" s="58">
        <f t="shared" si="375"/>
        <v>44238</v>
      </c>
      <c r="KG63" s="58">
        <f t="shared" si="375"/>
        <v>44239</v>
      </c>
      <c r="KH63" s="58">
        <f t="shared" si="375"/>
        <v>44240</v>
      </c>
      <c r="KI63" s="57">
        <f t="shared" si="375"/>
        <v>44241</v>
      </c>
      <c r="KJ63" s="58">
        <f t="shared" si="375"/>
        <v>44242</v>
      </c>
      <c r="KK63" s="58">
        <f t="shared" si="375"/>
        <v>44243</v>
      </c>
      <c r="KL63" s="58">
        <f t="shared" si="375"/>
        <v>44244</v>
      </c>
      <c r="KM63" s="58">
        <f t="shared" si="375"/>
        <v>44245</v>
      </c>
      <c r="KN63" s="58">
        <f t="shared" si="375"/>
        <v>44246</v>
      </c>
      <c r="KO63" s="58">
        <f t="shared" si="375"/>
        <v>44247</v>
      </c>
      <c r="KP63" s="57">
        <f t="shared" si="375"/>
        <v>44248</v>
      </c>
      <c r="KQ63" s="58">
        <f t="shared" si="375"/>
        <v>44249</v>
      </c>
      <c r="KR63" s="58">
        <f t="shared" si="375"/>
        <v>44250</v>
      </c>
      <c r="KS63" s="58">
        <f t="shared" si="375"/>
        <v>44251</v>
      </c>
      <c r="KT63" s="58">
        <f t="shared" si="375"/>
        <v>44252</v>
      </c>
      <c r="KU63" s="58">
        <f t="shared" si="375"/>
        <v>44253</v>
      </c>
      <c r="KV63" s="58">
        <f t="shared" si="375"/>
        <v>44254</v>
      </c>
      <c r="KW63" s="57">
        <f t="shared" si="375"/>
        <v>44255</v>
      </c>
      <c r="KX63" s="58">
        <f t="shared" si="375"/>
        <v>44256</v>
      </c>
      <c r="KY63" s="58">
        <f t="shared" si="375"/>
        <v>44257</v>
      </c>
      <c r="KZ63" s="58">
        <f t="shared" si="375"/>
        <v>44258</v>
      </c>
      <c r="LA63" s="58">
        <f t="shared" si="375"/>
        <v>44259</v>
      </c>
      <c r="LB63" s="58">
        <f t="shared" si="375"/>
        <v>44260</v>
      </c>
      <c r="LC63" s="58">
        <f t="shared" si="375"/>
        <v>44261</v>
      </c>
      <c r="LD63" s="57">
        <f t="shared" si="375"/>
        <v>44262</v>
      </c>
      <c r="LE63" s="58">
        <f t="shared" si="375"/>
        <v>44263</v>
      </c>
      <c r="LF63" s="58">
        <f t="shared" si="375"/>
        <v>44264</v>
      </c>
      <c r="LG63" s="58">
        <f t="shared" si="375"/>
        <v>44265</v>
      </c>
      <c r="LH63" s="58">
        <f t="shared" si="375"/>
        <v>44266</v>
      </c>
      <c r="LI63" s="58">
        <f t="shared" si="375"/>
        <v>44267</v>
      </c>
      <c r="LJ63" s="58">
        <f t="shared" si="375"/>
        <v>44268</v>
      </c>
      <c r="LK63" s="57">
        <f t="shared" si="375"/>
        <v>44269</v>
      </c>
      <c r="LL63" s="58">
        <f t="shared" si="375"/>
        <v>44270</v>
      </c>
      <c r="LM63" s="58">
        <f t="shared" si="375"/>
        <v>44271</v>
      </c>
      <c r="LN63" s="58">
        <f t="shared" si="375"/>
        <v>44272</v>
      </c>
      <c r="LO63" s="58">
        <f t="shared" si="375"/>
        <v>44273</v>
      </c>
      <c r="LP63" s="58">
        <f t="shared" si="375"/>
        <v>44274</v>
      </c>
      <c r="LQ63" s="58">
        <f t="shared" si="375"/>
        <v>44275</v>
      </c>
      <c r="LR63" s="57">
        <f t="shared" si="375"/>
        <v>44276</v>
      </c>
      <c r="LS63" s="58">
        <f t="shared" si="375"/>
        <v>44277</v>
      </c>
      <c r="LT63" s="58">
        <f t="shared" si="375"/>
        <v>44278</v>
      </c>
      <c r="LU63" s="58">
        <f t="shared" si="375"/>
        <v>44279</v>
      </c>
      <c r="LV63" s="58">
        <f t="shared" si="375"/>
        <v>44280</v>
      </c>
      <c r="LW63" s="58">
        <f t="shared" si="375"/>
        <v>44281</v>
      </c>
      <c r="LX63" s="58">
        <f t="shared" si="375"/>
        <v>44282</v>
      </c>
      <c r="LY63" s="57">
        <f t="shared" si="375"/>
        <v>44283</v>
      </c>
      <c r="LZ63" s="58">
        <f t="shared" si="375"/>
        <v>44284</v>
      </c>
      <c r="MA63" s="58">
        <f t="shared" si="375"/>
        <v>44285</v>
      </c>
      <c r="MB63" s="58">
        <f t="shared" si="375"/>
        <v>44286</v>
      </c>
      <c r="MC63" s="58">
        <f t="shared" si="375"/>
        <v>44287</v>
      </c>
      <c r="MD63" s="58">
        <f t="shared" si="375"/>
        <v>44288</v>
      </c>
      <c r="ME63" s="58">
        <f t="shared" si="375"/>
        <v>44289</v>
      </c>
      <c r="MF63" s="57">
        <f t="shared" si="375"/>
        <v>44290</v>
      </c>
    </row>
    <row r="64" spans="1:344" ht="15" customHeight="1" x14ac:dyDescent="0.25">
      <c r="A64" s="138"/>
      <c r="B64" s="138"/>
      <c r="C64" s="138"/>
      <c r="D64" s="138"/>
      <c r="E64" s="139"/>
      <c r="F64" s="28"/>
      <c r="G64" s="28"/>
      <c r="H64" s="28"/>
      <c r="I64" s="28"/>
      <c r="J64" s="28"/>
      <c r="K64" s="28"/>
      <c r="L64" s="28"/>
      <c r="M64" s="28"/>
      <c r="N64" s="28"/>
      <c r="O64" s="27"/>
      <c r="P64" s="141"/>
      <c r="Q64" s="149"/>
      <c r="R64" s="143"/>
      <c r="S64" s="24"/>
      <c r="T64" s="25"/>
      <c r="U64" s="25"/>
      <c r="V64" s="25"/>
      <c r="W64" s="25"/>
      <c r="X64" s="25"/>
      <c r="Y64" s="25"/>
      <c r="Z64" s="24"/>
      <c r="AA64" s="25"/>
      <c r="AB64" s="25"/>
      <c r="AC64" s="25"/>
      <c r="AD64" s="25"/>
      <c r="AE64" s="25"/>
      <c r="AF64" s="25"/>
      <c r="AG64" s="24"/>
      <c r="AH64" s="25"/>
      <c r="AI64" s="25" t="s">
        <v>38</v>
      </c>
      <c r="AJ64" s="25"/>
      <c r="AK64" s="25" t="s">
        <v>38</v>
      </c>
      <c r="AL64" s="25"/>
      <c r="AM64" s="25"/>
      <c r="AN64" s="24"/>
      <c r="AO64" s="25"/>
      <c r="AP64" s="25" t="s">
        <v>38</v>
      </c>
      <c r="AQ64" s="25"/>
      <c r="AR64" s="25" t="s">
        <v>38</v>
      </c>
      <c r="AS64" s="25"/>
      <c r="AT64" s="25"/>
      <c r="AU64" s="24"/>
      <c r="AV64" s="25"/>
      <c r="AW64" s="25" t="s">
        <v>38</v>
      </c>
      <c r="AX64" s="25" t="s">
        <v>263</v>
      </c>
      <c r="AY64" s="25" t="s">
        <v>38</v>
      </c>
      <c r="AZ64" s="25"/>
      <c r="BA64" s="25"/>
      <c r="BB64" s="24"/>
      <c r="BC64" s="25"/>
      <c r="BD64" s="25" t="s">
        <v>38</v>
      </c>
      <c r="BE64" s="25"/>
      <c r="BF64" s="25" t="s">
        <v>38</v>
      </c>
      <c r="BG64" s="25"/>
      <c r="BH64" s="25"/>
      <c r="BI64" s="24"/>
      <c r="BJ64" s="25"/>
      <c r="BK64" s="25" t="s">
        <v>38</v>
      </c>
      <c r="BL64" s="25"/>
      <c r="BM64" s="25" t="s">
        <v>38</v>
      </c>
      <c r="BN64" s="25"/>
      <c r="BO64" s="25"/>
      <c r="BP64" s="24" t="s">
        <v>148</v>
      </c>
      <c r="BQ64" s="25"/>
      <c r="BR64" s="25"/>
      <c r="BS64" s="25"/>
      <c r="BT64" s="25"/>
      <c r="BU64" s="25"/>
      <c r="BV64" s="25"/>
      <c r="BW64" s="25" t="s">
        <v>148</v>
      </c>
      <c r="BX64" s="25"/>
      <c r="BY64" s="24"/>
      <c r="BZ64" s="25"/>
      <c r="CA64" s="25"/>
      <c r="CB64" s="25"/>
      <c r="CC64" s="25"/>
      <c r="CD64" s="25"/>
      <c r="CE64" s="25"/>
      <c r="CF64" s="25"/>
      <c r="CG64" s="25"/>
      <c r="CH64" s="24"/>
      <c r="CI64" s="25"/>
      <c r="CJ64" s="25"/>
      <c r="CK64" s="25"/>
      <c r="CL64" s="25"/>
      <c r="CM64" s="25"/>
      <c r="CN64" s="25"/>
      <c r="CO64" s="25"/>
      <c r="CP64" s="25"/>
      <c r="CQ64" s="24"/>
      <c r="CR64" s="25"/>
      <c r="CS64" s="25"/>
      <c r="CT64" s="25"/>
      <c r="CU64" s="25"/>
      <c r="CV64" s="25"/>
      <c r="CW64" s="25"/>
      <c r="CX64" s="25"/>
      <c r="CY64" s="25"/>
      <c r="CZ64" s="24"/>
      <c r="DA64" s="25"/>
      <c r="DB64" s="25"/>
      <c r="DC64" s="25"/>
      <c r="DD64" s="25"/>
      <c r="DE64" s="25"/>
      <c r="DF64" s="25"/>
      <c r="DG64" s="25"/>
      <c r="DH64" s="25"/>
      <c r="DI64" s="24"/>
      <c r="DJ64" s="25"/>
      <c r="DK64" s="25"/>
      <c r="DL64" s="25"/>
      <c r="DM64" s="25"/>
      <c r="DN64" s="25"/>
      <c r="DO64" s="25"/>
      <c r="DP64" s="24"/>
      <c r="DQ64" s="25"/>
      <c r="DR64" s="25"/>
      <c r="DS64" s="25"/>
      <c r="DT64" s="25"/>
      <c r="DU64" s="25"/>
      <c r="DV64" s="25"/>
      <c r="DW64" s="24"/>
      <c r="DX64" s="25"/>
      <c r="DY64" s="25"/>
      <c r="DZ64" s="25"/>
      <c r="EA64" s="25"/>
      <c r="EB64" s="25"/>
      <c r="EC64" s="25"/>
      <c r="ED64" s="24"/>
      <c r="EE64" s="25"/>
      <c r="EF64" s="25"/>
      <c r="EG64" s="25"/>
      <c r="EH64" s="25"/>
      <c r="EI64" s="25"/>
      <c r="EJ64" s="25"/>
      <c r="EK64" s="24"/>
      <c r="EL64" s="25"/>
      <c r="EM64" s="25" t="s">
        <v>38</v>
      </c>
      <c r="EN64" s="25"/>
      <c r="EO64" s="25" t="s">
        <v>38</v>
      </c>
      <c r="EP64" s="25"/>
      <c r="EQ64" s="25"/>
      <c r="ER64" s="24"/>
      <c r="ES64" s="25"/>
      <c r="ET64" s="25" t="s">
        <v>38</v>
      </c>
      <c r="EU64" s="25"/>
      <c r="EV64" s="25" t="s">
        <v>38</v>
      </c>
      <c r="EW64" s="25"/>
      <c r="EX64" s="25"/>
      <c r="EY64" s="24"/>
      <c r="EZ64" s="25"/>
      <c r="FA64" s="25"/>
      <c r="FB64" s="25"/>
      <c r="FC64" s="25"/>
      <c r="FD64" s="25" t="s">
        <v>38</v>
      </c>
      <c r="FE64" s="25"/>
      <c r="FF64" s="24"/>
      <c r="FG64" s="25"/>
      <c r="FH64" s="25" t="s">
        <v>38</v>
      </c>
      <c r="FI64" s="25"/>
      <c r="FJ64" s="25" t="s">
        <v>38</v>
      </c>
      <c r="FK64" s="25"/>
      <c r="FL64" s="25"/>
      <c r="FM64" s="24"/>
      <c r="FN64" s="25"/>
      <c r="FO64" s="25" t="s">
        <v>38</v>
      </c>
      <c r="FP64" s="25"/>
      <c r="FQ64" s="25" t="s">
        <v>38</v>
      </c>
      <c r="FR64" s="25"/>
      <c r="FS64" s="25"/>
      <c r="FT64" s="24"/>
      <c r="FU64" s="25"/>
      <c r="FV64" s="25" t="s">
        <v>38</v>
      </c>
      <c r="FW64" s="25"/>
      <c r="FX64" s="25" t="s">
        <v>38</v>
      </c>
      <c r="FY64" s="25"/>
      <c r="FZ64" s="25"/>
      <c r="GA64" s="24"/>
      <c r="GB64" s="25"/>
      <c r="GC64" s="25" t="s">
        <v>38</v>
      </c>
      <c r="GD64" s="25"/>
      <c r="GE64" s="25" t="s">
        <v>38</v>
      </c>
      <c r="GF64" s="25"/>
      <c r="GG64" s="25"/>
      <c r="GH64" s="24"/>
      <c r="GI64" s="25"/>
      <c r="GJ64" s="25" t="s">
        <v>38</v>
      </c>
      <c r="GK64" s="25"/>
      <c r="GL64" s="25" t="s">
        <v>38</v>
      </c>
      <c r="GM64" s="25"/>
      <c r="GN64" s="25"/>
      <c r="GO64" s="24"/>
      <c r="GP64" s="25"/>
      <c r="GQ64" s="25" t="s">
        <v>38</v>
      </c>
      <c r="GR64" s="25"/>
      <c r="GS64" s="25" t="s">
        <v>38</v>
      </c>
      <c r="GT64" s="25"/>
      <c r="GU64" s="25"/>
      <c r="GV64" s="24"/>
      <c r="GW64" s="25"/>
      <c r="GX64" s="25" t="s">
        <v>38</v>
      </c>
      <c r="GY64" s="25"/>
      <c r="GZ64" s="25" t="s">
        <v>38</v>
      </c>
      <c r="HA64" s="25"/>
      <c r="HB64" s="25"/>
      <c r="HC64" s="24"/>
      <c r="HD64" s="25"/>
      <c r="HE64" s="25" t="s">
        <v>38</v>
      </c>
      <c r="HF64" s="25"/>
      <c r="HG64" s="25" t="s">
        <v>38</v>
      </c>
      <c r="HH64" s="25"/>
      <c r="HI64" s="25"/>
      <c r="HJ64" s="24"/>
      <c r="HK64" s="25"/>
      <c r="HL64" s="25" t="s">
        <v>38</v>
      </c>
      <c r="HM64" s="25"/>
      <c r="HN64" s="25" t="s">
        <v>38</v>
      </c>
      <c r="HO64" s="25"/>
      <c r="HP64" s="25"/>
      <c r="HQ64" s="24"/>
      <c r="HR64" s="25"/>
      <c r="HS64" s="25" t="s">
        <v>38</v>
      </c>
      <c r="HT64" s="25"/>
      <c r="HU64" s="25" t="s">
        <v>38</v>
      </c>
      <c r="HV64" s="25"/>
      <c r="HW64" s="25"/>
      <c r="HX64" s="24"/>
      <c r="HY64" s="25"/>
      <c r="HZ64" s="25" t="s">
        <v>38</v>
      </c>
      <c r="IA64" s="25"/>
      <c r="IB64" s="25" t="s">
        <v>38</v>
      </c>
      <c r="IC64" s="25"/>
      <c r="ID64" s="25"/>
      <c r="IE64" s="24"/>
      <c r="IF64" s="25"/>
      <c r="IG64" s="25" t="s">
        <v>38</v>
      </c>
      <c r="IH64" s="25"/>
      <c r="II64" s="25" t="s">
        <v>38</v>
      </c>
      <c r="IJ64" s="25"/>
      <c r="IK64" s="25"/>
      <c r="IL64" s="24"/>
      <c r="IM64" s="25"/>
      <c r="IN64" s="25" t="s">
        <v>38</v>
      </c>
      <c r="IO64" s="25"/>
      <c r="IP64" s="25" t="s">
        <v>38</v>
      </c>
      <c r="IQ64" s="25"/>
      <c r="IR64" s="25"/>
      <c r="IS64" s="24"/>
      <c r="IT64" s="25"/>
      <c r="IU64" s="25" t="s">
        <v>38</v>
      </c>
      <c r="IV64" s="25"/>
      <c r="IW64" s="25" t="s">
        <v>38</v>
      </c>
      <c r="IX64" s="25"/>
      <c r="IY64" s="25"/>
      <c r="IZ64" s="24"/>
      <c r="JA64" s="25"/>
      <c r="JB64" s="25" t="s">
        <v>38</v>
      </c>
      <c r="JC64" s="25"/>
      <c r="JD64" s="25" t="s">
        <v>38</v>
      </c>
      <c r="JE64" s="25"/>
      <c r="JF64" s="25"/>
      <c r="JG64" s="24"/>
      <c r="JH64" s="25"/>
      <c r="JI64" s="25" t="s">
        <v>38</v>
      </c>
      <c r="JJ64" s="25"/>
      <c r="JK64" s="25" t="s">
        <v>38</v>
      </c>
      <c r="JL64" s="25"/>
      <c r="JM64" s="25"/>
      <c r="JN64" s="24"/>
      <c r="JO64" s="25"/>
      <c r="JP64" s="25" t="s">
        <v>38</v>
      </c>
      <c r="JQ64" s="25"/>
      <c r="JR64" s="25" t="s">
        <v>38</v>
      </c>
      <c r="JS64" s="25"/>
      <c r="JT64" s="25"/>
      <c r="JU64" s="24"/>
      <c r="JV64" s="25"/>
      <c r="JW64" s="25" t="s">
        <v>38</v>
      </c>
      <c r="JX64" s="25"/>
      <c r="JY64" s="25" t="s">
        <v>38</v>
      </c>
      <c r="JZ64" s="25"/>
      <c r="KA64" s="25"/>
      <c r="KB64" s="24"/>
      <c r="KC64" s="25"/>
      <c r="KD64" s="25" t="s">
        <v>38</v>
      </c>
      <c r="KE64" s="25"/>
      <c r="KF64" s="25" t="s">
        <v>38</v>
      </c>
      <c r="KG64" s="25"/>
      <c r="KH64" s="25"/>
      <c r="KI64" s="24"/>
      <c r="KJ64" s="25"/>
      <c r="KK64" s="25" t="s">
        <v>38</v>
      </c>
      <c r="KL64" s="25"/>
      <c r="KM64" s="25" t="s">
        <v>38</v>
      </c>
      <c r="KN64" s="25"/>
      <c r="KO64" s="25"/>
      <c r="KP64" s="24"/>
      <c r="KQ64" s="25"/>
      <c r="KR64" s="25" t="s">
        <v>38</v>
      </c>
      <c r="KS64" s="25"/>
      <c r="KT64" s="25" t="s">
        <v>38</v>
      </c>
      <c r="KU64" s="25"/>
      <c r="KV64" s="25"/>
      <c r="KW64" s="24"/>
      <c r="KX64" s="25"/>
      <c r="KY64" s="25" t="s">
        <v>38</v>
      </c>
      <c r="KZ64" s="25"/>
      <c r="LA64" s="25" t="s">
        <v>38</v>
      </c>
      <c r="LB64" s="25"/>
      <c r="LC64" s="25"/>
      <c r="LD64" s="26"/>
      <c r="LE64" s="25"/>
      <c r="LF64" s="25" t="s">
        <v>38</v>
      </c>
      <c r="LG64" s="25"/>
      <c r="LH64" s="25" t="s">
        <v>38</v>
      </c>
      <c r="LI64" s="25"/>
      <c r="LJ64" s="25"/>
      <c r="LK64" s="24"/>
      <c r="LL64" s="25"/>
      <c r="LM64" s="25"/>
      <c r="LN64" s="25"/>
      <c r="LO64" s="25"/>
      <c r="LP64" s="25"/>
      <c r="LQ64" s="25"/>
      <c r="LR64" s="24"/>
      <c r="LS64" s="25"/>
      <c r="LT64" s="25"/>
      <c r="LU64" s="25"/>
      <c r="LV64" s="25"/>
      <c r="LW64" s="25"/>
      <c r="LX64" s="25"/>
      <c r="LY64" s="24"/>
      <c r="LZ64" s="25"/>
      <c r="MA64" s="25"/>
      <c r="MB64" s="25"/>
      <c r="MC64" s="25"/>
      <c r="MD64" s="25"/>
      <c r="ME64" s="25"/>
      <c r="MF64" s="24"/>
    </row>
    <row r="65" spans="1:344" x14ac:dyDescent="0.25">
      <c r="A65" s="23" t="s">
        <v>16</v>
      </c>
      <c r="B65" s="20"/>
      <c r="C65" s="20"/>
      <c r="D65" s="20"/>
      <c r="E65" s="20"/>
      <c r="F65" s="22" t="str">
        <f t="shared" ref="F65:F70" si="376">IF($E65 &gt;= F$39, 1, "")</f>
        <v/>
      </c>
      <c r="G65" s="20"/>
      <c r="H65" s="20"/>
      <c r="I65" s="20" t="str">
        <f t="shared" ref="I65:L66" si="377">IF($E65 &gt;= I$39, 1, "")</f>
        <v/>
      </c>
      <c r="J65" s="20" t="str">
        <f t="shared" si="377"/>
        <v/>
      </c>
      <c r="K65" s="20" t="str">
        <f t="shared" si="377"/>
        <v/>
      </c>
      <c r="L65" s="20" t="str">
        <f t="shared" si="377"/>
        <v/>
      </c>
      <c r="M65" s="20"/>
      <c r="N65" s="20"/>
      <c r="O65" s="21"/>
      <c r="P65" s="20" t="str">
        <f t="shared" ref="P65:P70" si="378">IF(SUM(S65:MF65) &gt; 0, SUM(S65:MF65), "")</f>
        <v/>
      </c>
      <c r="Q65" s="118"/>
      <c r="R65" s="82"/>
      <c r="S65" s="21"/>
      <c r="T65" s="20"/>
      <c r="U65" s="20"/>
      <c r="V65" s="20"/>
      <c r="W65" s="20"/>
      <c r="X65" s="20"/>
      <c r="Y65" s="20"/>
      <c r="Z65" s="21"/>
      <c r="AA65" s="20"/>
      <c r="AB65" s="20"/>
      <c r="AC65" s="20"/>
      <c r="AD65" s="20"/>
      <c r="AE65" s="20"/>
      <c r="AF65" s="20"/>
      <c r="AG65" s="21"/>
      <c r="AH65" s="20"/>
      <c r="AI65" s="20"/>
      <c r="AJ65" s="20"/>
      <c r="AK65" s="20"/>
      <c r="AL65" s="20"/>
      <c r="AM65" s="20"/>
      <c r="AN65" s="21"/>
      <c r="AO65" s="20"/>
      <c r="AP65" s="20"/>
      <c r="AQ65" s="20"/>
      <c r="AR65" s="20"/>
      <c r="AS65" s="20"/>
      <c r="AT65" s="20"/>
      <c r="AU65" s="21"/>
      <c r="AV65" s="20"/>
      <c r="AW65" s="20"/>
      <c r="AX65" s="20"/>
      <c r="AY65" s="20"/>
      <c r="AZ65" s="20"/>
      <c r="BA65" s="20"/>
      <c r="BB65" s="21"/>
      <c r="BC65" s="20"/>
      <c r="BD65" s="20"/>
      <c r="BE65" s="20"/>
      <c r="BF65" s="20"/>
      <c r="BG65" s="20"/>
      <c r="BH65" s="20"/>
      <c r="BI65" s="21"/>
      <c r="BJ65" s="20"/>
      <c r="BK65" s="20"/>
      <c r="BL65" s="20"/>
      <c r="BM65" s="20"/>
      <c r="BN65" s="20"/>
      <c r="BO65" s="20"/>
      <c r="BP65" s="21"/>
      <c r="BQ65" s="20"/>
      <c r="BR65" s="20"/>
      <c r="BS65" s="20"/>
      <c r="BT65" s="20"/>
      <c r="BU65" s="20"/>
      <c r="BV65" s="20"/>
      <c r="BW65" s="20"/>
      <c r="BX65" s="20"/>
      <c r="BY65" s="21"/>
      <c r="BZ65" s="20"/>
      <c r="CA65" s="20"/>
      <c r="CB65" s="20"/>
      <c r="CC65" s="20"/>
      <c r="CD65" s="20"/>
      <c r="CE65" s="20"/>
      <c r="CF65" s="20"/>
      <c r="CG65" s="20"/>
      <c r="CH65" s="21"/>
      <c r="CI65" s="20"/>
      <c r="CJ65" s="20"/>
      <c r="CK65" s="20"/>
      <c r="CL65" s="20"/>
      <c r="CM65" s="20"/>
      <c r="CN65" s="20"/>
      <c r="CO65" s="20"/>
      <c r="CP65" s="20"/>
      <c r="CQ65" s="21"/>
      <c r="CR65" s="20"/>
      <c r="CS65" s="20"/>
      <c r="CT65" s="20"/>
      <c r="CU65" s="20"/>
      <c r="CV65" s="20"/>
      <c r="CW65" s="20"/>
      <c r="CX65" s="20"/>
      <c r="CY65" s="20"/>
      <c r="CZ65" s="21"/>
      <c r="DA65" s="20"/>
      <c r="DB65" s="20"/>
      <c r="DC65" s="20"/>
      <c r="DD65" s="20"/>
      <c r="DE65" s="20"/>
      <c r="DF65" s="20"/>
      <c r="DG65" s="20"/>
      <c r="DH65" s="20"/>
      <c r="DI65" s="21"/>
      <c r="DJ65" s="20"/>
      <c r="DK65" s="20"/>
      <c r="DL65" s="20"/>
      <c r="DM65" s="20"/>
      <c r="DN65" s="20"/>
      <c r="DO65" s="20"/>
      <c r="DP65" s="21"/>
      <c r="DQ65" s="20"/>
      <c r="DR65" s="20"/>
      <c r="DS65" s="20"/>
      <c r="DT65" s="20"/>
      <c r="DU65" s="20"/>
      <c r="DV65" s="20"/>
      <c r="DW65" s="21"/>
      <c r="DX65" s="20"/>
      <c r="DY65" s="20"/>
      <c r="DZ65" s="20"/>
      <c r="EA65" s="20"/>
      <c r="EB65" s="20"/>
      <c r="EC65" s="20"/>
      <c r="ED65" s="21"/>
      <c r="EE65" s="20"/>
      <c r="EF65" s="20"/>
      <c r="EG65" s="20"/>
      <c r="EH65" s="20"/>
      <c r="EI65" s="20"/>
      <c r="EJ65" s="20"/>
      <c r="EK65" s="21"/>
      <c r="EL65" s="20"/>
      <c r="EM65" s="20"/>
      <c r="EN65" s="20"/>
      <c r="EO65" s="20"/>
      <c r="EP65" s="20"/>
      <c r="EQ65" s="20"/>
      <c r="ER65" s="21"/>
      <c r="ES65" s="20"/>
      <c r="ET65" s="20"/>
      <c r="EU65" s="20"/>
      <c r="EV65" s="20"/>
      <c r="EW65" s="20"/>
      <c r="EX65" s="20"/>
      <c r="EY65" s="21"/>
      <c r="EZ65" s="20"/>
      <c r="FA65" s="20"/>
      <c r="FB65" s="20"/>
      <c r="FC65" s="20"/>
      <c r="FD65" s="20"/>
      <c r="FE65" s="20"/>
      <c r="FF65" s="21"/>
      <c r="FG65" s="20"/>
      <c r="FH65" s="20"/>
      <c r="FI65" s="20"/>
      <c r="FJ65" s="20"/>
      <c r="FK65" s="20"/>
      <c r="FL65" s="20"/>
      <c r="FM65" s="21"/>
      <c r="FN65" s="20"/>
      <c r="FO65" s="20"/>
      <c r="FP65" s="20"/>
      <c r="FQ65" s="20"/>
      <c r="FR65" s="20"/>
      <c r="FS65" s="20"/>
      <c r="FT65" s="21"/>
      <c r="FU65" s="20"/>
      <c r="FV65" s="20"/>
      <c r="FW65" s="20"/>
      <c r="FX65" s="20"/>
      <c r="FY65" s="20"/>
      <c r="FZ65" s="20"/>
      <c r="GA65" s="21"/>
      <c r="GB65" s="20"/>
      <c r="GC65" s="20"/>
      <c r="GD65" s="20"/>
      <c r="GE65" s="20"/>
      <c r="GF65" s="20"/>
      <c r="GG65" s="20"/>
      <c r="GH65" s="21"/>
      <c r="GI65" s="20"/>
      <c r="GJ65" s="20"/>
      <c r="GK65" s="20"/>
      <c r="GL65" s="20"/>
      <c r="GM65" s="20"/>
      <c r="GN65" s="20"/>
      <c r="GO65" s="21"/>
      <c r="GP65" s="20"/>
      <c r="GQ65" s="20"/>
      <c r="GR65" s="20"/>
      <c r="GS65" s="20"/>
      <c r="GT65" s="20"/>
      <c r="GU65" s="20"/>
      <c r="GV65" s="21"/>
      <c r="GW65" s="20"/>
      <c r="GX65" s="20"/>
      <c r="GY65" s="20"/>
      <c r="GZ65" s="20"/>
      <c r="HA65" s="20"/>
      <c r="HB65" s="20"/>
      <c r="HC65" s="21"/>
      <c r="HD65" s="20"/>
      <c r="HE65" s="20"/>
      <c r="HF65" s="20"/>
      <c r="HG65" s="20"/>
      <c r="HH65" s="20"/>
      <c r="HI65" s="20"/>
      <c r="HJ65" s="21"/>
      <c r="HK65" s="20"/>
      <c r="HL65" s="20"/>
      <c r="HM65" s="20"/>
      <c r="HN65" s="20"/>
      <c r="HO65" s="20"/>
      <c r="HP65" s="20"/>
      <c r="HQ65" s="21"/>
      <c r="HR65" s="20"/>
      <c r="HS65" s="20"/>
      <c r="HT65" s="20"/>
      <c r="HU65" s="20"/>
      <c r="HV65" s="20"/>
      <c r="HW65" s="20"/>
      <c r="HX65" s="21"/>
      <c r="HY65" s="20"/>
      <c r="HZ65" s="20"/>
      <c r="IA65" s="20"/>
      <c r="IB65" s="20"/>
      <c r="IC65" s="20"/>
      <c r="ID65" s="20"/>
      <c r="IE65" s="21"/>
      <c r="IF65" s="20"/>
      <c r="IG65" s="20"/>
      <c r="IH65" s="20"/>
      <c r="II65" s="20"/>
      <c r="IJ65" s="20"/>
      <c r="IK65" s="20"/>
      <c r="IL65" s="21"/>
      <c r="IM65" s="20"/>
      <c r="IN65" s="20"/>
      <c r="IO65" s="20"/>
      <c r="IP65" s="20"/>
      <c r="IQ65" s="20"/>
      <c r="IR65" s="20"/>
      <c r="IS65" s="21"/>
      <c r="IT65" s="20"/>
      <c r="IU65" s="20"/>
      <c r="IV65" s="20"/>
      <c r="IW65" s="20"/>
      <c r="IX65" s="20"/>
      <c r="IY65" s="20"/>
      <c r="IZ65" s="21"/>
      <c r="JA65" s="20"/>
      <c r="JB65" s="20"/>
      <c r="JC65" s="20"/>
      <c r="JD65" s="20"/>
      <c r="JE65" s="20"/>
      <c r="JF65" s="20"/>
      <c r="JG65" s="21"/>
      <c r="JH65" s="20"/>
      <c r="JI65" s="20"/>
      <c r="JJ65" s="20"/>
      <c r="JK65" s="20"/>
      <c r="JL65" s="20"/>
      <c r="JM65" s="20"/>
      <c r="JN65" s="21"/>
      <c r="JO65" s="20"/>
      <c r="JP65" s="20"/>
      <c r="JQ65" s="20"/>
      <c r="JR65" s="20"/>
      <c r="JS65" s="20"/>
      <c r="JT65" s="20"/>
      <c r="JU65" s="21"/>
      <c r="JV65" s="20"/>
      <c r="JW65" s="20"/>
      <c r="JX65" s="20"/>
      <c r="JY65" s="20"/>
      <c r="JZ65" s="20"/>
      <c r="KA65" s="20"/>
      <c r="KB65" s="21"/>
      <c r="KC65" s="20"/>
      <c r="KD65" s="20"/>
      <c r="KE65" s="20"/>
      <c r="KF65" s="20"/>
      <c r="KG65" s="20"/>
      <c r="KH65" s="20"/>
      <c r="KI65" s="21"/>
      <c r="KJ65" s="20"/>
      <c r="KK65" s="20"/>
      <c r="KL65" s="20"/>
      <c r="KM65" s="20"/>
      <c r="KN65" s="20"/>
      <c r="KO65" s="20"/>
      <c r="KP65" s="21"/>
      <c r="KQ65" s="20"/>
      <c r="KR65" s="20"/>
      <c r="KS65" s="20"/>
      <c r="KT65" s="20"/>
      <c r="KU65" s="20"/>
      <c r="KV65" s="20"/>
      <c r="KW65" s="21"/>
      <c r="KX65" s="20"/>
      <c r="KY65" s="20"/>
      <c r="KZ65" s="20"/>
      <c r="LA65" s="20"/>
      <c r="LB65" s="20"/>
      <c r="LC65" s="20"/>
      <c r="LD65" s="21"/>
      <c r="LE65" s="20"/>
      <c r="LF65" s="20"/>
      <c r="LG65" s="20"/>
      <c r="LH65" s="20"/>
      <c r="LI65" s="20"/>
      <c r="LJ65" s="20"/>
      <c r="LK65" s="21"/>
      <c r="LL65" s="20"/>
      <c r="LM65" s="20"/>
      <c r="LN65" s="20"/>
      <c r="LO65" s="20"/>
      <c r="LP65" s="20"/>
      <c r="LQ65" s="20"/>
      <c r="LR65" s="21"/>
      <c r="LS65" s="20"/>
      <c r="LT65" s="20"/>
      <c r="LU65" s="20"/>
      <c r="LV65" s="20"/>
      <c r="LW65" s="20"/>
      <c r="LX65" s="20"/>
      <c r="LY65" s="21"/>
      <c r="LZ65" s="20"/>
      <c r="MA65" s="20"/>
      <c r="MB65" s="20"/>
      <c r="MC65" s="20"/>
      <c r="MD65" s="20"/>
      <c r="ME65" s="20"/>
      <c r="MF65" s="21"/>
    </row>
    <row r="66" spans="1:344" ht="7.5" customHeight="1" x14ac:dyDescent="0.25">
      <c r="A66" s="8"/>
      <c r="B66" s="8"/>
      <c r="C66" s="8"/>
      <c r="D66" s="8"/>
      <c r="E66" s="8"/>
      <c r="F66" s="10" t="str">
        <f t="shared" si="376"/>
        <v/>
      </c>
      <c r="G66" s="19"/>
      <c r="H66" s="19"/>
      <c r="I66" s="19" t="str">
        <f t="shared" si="377"/>
        <v/>
      </c>
      <c r="J66" s="19" t="str">
        <f t="shared" si="377"/>
        <v/>
      </c>
      <c r="K66" s="19" t="str">
        <f t="shared" si="377"/>
        <v/>
      </c>
      <c r="L66" s="19" t="str">
        <f t="shared" si="377"/>
        <v/>
      </c>
      <c r="M66" s="8"/>
      <c r="N66" s="8"/>
      <c r="O66" s="9"/>
      <c r="P66" s="8" t="str">
        <f t="shared" si="378"/>
        <v/>
      </c>
      <c r="Q66" s="109" t="str">
        <f t="shared" ref="Q66:Q71" si="379">IF(SUM(S66:XFD66) &gt; 0, SUM(S66:XFD66) / $P$72 * 100, "")</f>
        <v/>
      </c>
      <c r="R66" s="84"/>
      <c r="S66" s="7"/>
      <c r="Z66" s="7"/>
      <c r="AG66" s="7"/>
      <c r="AN66" s="7"/>
      <c r="AU66" s="7"/>
      <c r="BB66" s="7"/>
      <c r="BI66" s="7"/>
      <c r="BP66" s="7"/>
      <c r="BY66" s="7"/>
      <c r="CH66" s="7"/>
      <c r="CQ66" s="7"/>
      <c r="CZ66" s="7"/>
      <c r="DI66" s="7"/>
      <c r="DP66" s="7"/>
      <c r="DW66" s="7"/>
      <c r="ED66" s="7"/>
      <c r="EK66" s="7"/>
      <c r="ER66" s="7"/>
      <c r="EY66" s="7"/>
      <c r="FF66" s="7"/>
      <c r="FM66" s="7"/>
      <c r="FT66" s="7"/>
      <c r="GA66" s="7"/>
      <c r="GH66" s="7"/>
      <c r="GO66" s="7"/>
      <c r="GV66" s="7"/>
      <c r="HC66" s="7"/>
      <c r="HJ66" s="7"/>
      <c r="HQ66" s="7"/>
      <c r="HX66" s="7"/>
      <c r="IE66" s="7"/>
      <c r="IL66" s="7"/>
      <c r="IS66" s="7"/>
      <c r="IZ66" s="7"/>
      <c r="JG66" s="7"/>
      <c r="JN66" s="7"/>
      <c r="JU66" s="7"/>
      <c r="KB66" s="7"/>
      <c r="KI66" s="7"/>
      <c r="KP66" s="7"/>
      <c r="KW66" s="7"/>
      <c r="LD66" s="7"/>
      <c r="LK66" s="7"/>
      <c r="LR66" s="7"/>
      <c r="LY66" s="7"/>
      <c r="MF66" s="7"/>
    </row>
    <row r="67" spans="1:344" x14ac:dyDescent="0.25">
      <c r="A67" s="8" t="s">
        <v>37</v>
      </c>
      <c r="B67" s="8"/>
      <c r="C67" s="8" t="s">
        <v>36</v>
      </c>
      <c r="D67" s="8" t="s">
        <v>35</v>
      </c>
      <c r="E67" s="18">
        <v>39448</v>
      </c>
      <c r="F67" s="10">
        <f t="shared" si="376"/>
        <v>1</v>
      </c>
      <c r="G67" s="19">
        <f t="shared" ref="G67:H70" si="380">IF($E67 &gt;= G$39, 1, "")</f>
        <v>1</v>
      </c>
      <c r="H67" s="19">
        <f t="shared" si="380"/>
        <v>1</v>
      </c>
      <c r="I67" s="8">
        <f t="shared" ref="I67:L70" si="381">IF($E67 &gt;= I$39, 1, "")</f>
        <v>1</v>
      </c>
      <c r="J67" s="8">
        <f t="shared" si="381"/>
        <v>1</v>
      </c>
      <c r="K67" s="8" t="str">
        <f t="shared" si="381"/>
        <v/>
      </c>
      <c r="L67" s="8" t="str">
        <f t="shared" si="381"/>
        <v/>
      </c>
      <c r="M67" s="8"/>
      <c r="N67" s="8"/>
      <c r="O67" s="9"/>
      <c r="P67" s="8">
        <f t="shared" si="378"/>
        <v>8</v>
      </c>
      <c r="Q67" s="109">
        <f t="shared" si="379"/>
        <v>57.142857142857139</v>
      </c>
      <c r="R67" s="84"/>
      <c r="S67" s="7"/>
      <c r="Z67" s="7"/>
      <c r="AG67" s="7"/>
      <c r="AK67">
        <v>1</v>
      </c>
      <c r="AN67" s="7"/>
      <c r="AP67">
        <v>1</v>
      </c>
      <c r="AU67" s="7"/>
      <c r="AW67">
        <v>1</v>
      </c>
      <c r="BB67" s="7"/>
      <c r="BD67">
        <v>1</v>
      </c>
      <c r="BI67" s="7"/>
      <c r="BK67">
        <v>1</v>
      </c>
      <c r="BM67">
        <v>1</v>
      </c>
      <c r="BN67">
        <v>1</v>
      </c>
      <c r="BP67" s="7"/>
      <c r="BW67">
        <v>1</v>
      </c>
      <c r="BY67" s="7"/>
      <c r="CH67" s="7"/>
      <c r="CQ67" s="7"/>
      <c r="CZ67" s="7"/>
      <c r="DI67" s="7"/>
      <c r="DP67" s="7"/>
      <c r="DW67" s="7"/>
      <c r="ED67" s="7"/>
      <c r="EK67" s="7"/>
      <c r="ER67" s="7"/>
      <c r="EY67" s="7"/>
      <c r="FF67" s="7"/>
      <c r="FM67" s="7"/>
      <c r="FT67" s="7"/>
      <c r="GA67" s="7"/>
      <c r="GH67" s="7"/>
      <c r="GO67" s="7"/>
      <c r="GV67" s="7"/>
      <c r="HC67" s="7"/>
      <c r="HJ67" s="7"/>
      <c r="HQ67" s="7"/>
      <c r="HX67" s="7"/>
      <c r="IE67" s="7"/>
      <c r="IL67" s="7"/>
      <c r="IS67" s="7"/>
      <c r="IZ67" s="7"/>
      <c r="JG67" s="7"/>
      <c r="JN67" s="7"/>
      <c r="JU67" s="7"/>
      <c r="KB67" s="7"/>
      <c r="KI67" s="7"/>
      <c r="KP67" s="7"/>
      <c r="KW67" s="7"/>
      <c r="LD67" s="7"/>
      <c r="LK67" s="7"/>
      <c r="LR67" s="7"/>
      <c r="LY67" s="7"/>
      <c r="MF67" s="7"/>
    </row>
    <row r="68" spans="1:344" x14ac:dyDescent="0.25">
      <c r="A68" s="8" t="s">
        <v>34</v>
      </c>
      <c r="B68" s="8"/>
      <c r="C68" s="8" t="s">
        <v>33</v>
      </c>
      <c r="D68" s="8" t="s">
        <v>32</v>
      </c>
      <c r="E68" s="18">
        <v>39649</v>
      </c>
      <c r="F68" s="10">
        <f t="shared" si="376"/>
        <v>1</v>
      </c>
      <c r="G68" s="19">
        <f t="shared" si="380"/>
        <v>1</v>
      </c>
      <c r="H68" s="19">
        <f t="shared" si="380"/>
        <v>1</v>
      </c>
      <c r="I68" s="8">
        <f t="shared" si="381"/>
        <v>1</v>
      </c>
      <c r="J68" s="8">
        <f t="shared" si="381"/>
        <v>1</v>
      </c>
      <c r="K68" s="8" t="str">
        <f t="shared" si="381"/>
        <v/>
      </c>
      <c r="L68" s="8" t="str">
        <f t="shared" si="381"/>
        <v/>
      </c>
      <c r="M68" s="8"/>
      <c r="N68" s="8"/>
      <c r="O68" s="9"/>
      <c r="P68" s="8" t="str">
        <f t="shared" si="378"/>
        <v/>
      </c>
      <c r="Q68" s="109" t="str">
        <f t="shared" si="379"/>
        <v/>
      </c>
      <c r="R68" s="84"/>
      <c r="S68" s="7"/>
      <c r="Z68" s="7"/>
      <c r="AG68" s="7"/>
      <c r="AN68" s="7"/>
      <c r="AU68" s="7"/>
      <c r="BB68" s="7"/>
      <c r="BI68" s="7"/>
      <c r="BP68" s="7"/>
      <c r="BY68" s="7"/>
      <c r="CH68" s="7"/>
      <c r="CQ68" s="7"/>
      <c r="CZ68" s="7"/>
      <c r="DI68" s="7"/>
      <c r="DP68" s="7"/>
      <c r="DW68" s="7"/>
      <c r="ED68" s="7"/>
      <c r="EK68" s="7"/>
      <c r="ER68" s="7"/>
      <c r="EY68" s="7"/>
      <c r="FF68" s="7"/>
      <c r="FM68" s="7"/>
      <c r="FT68" s="7"/>
      <c r="GA68" s="7"/>
      <c r="GH68" s="7"/>
      <c r="GO68" s="7"/>
      <c r="GV68" s="7"/>
      <c r="HC68" s="7"/>
      <c r="HJ68" s="7"/>
      <c r="HQ68" s="7"/>
      <c r="HX68" s="7"/>
      <c r="IE68" s="7"/>
      <c r="IL68" s="7"/>
      <c r="IS68" s="7"/>
      <c r="IZ68" s="7"/>
      <c r="JG68" s="7"/>
      <c r="JN68" s="7"/>
      <c r="JU68" s="7"/>
      <c r="KB68" s="7"/>
      <c r="KI68" s="7"/>
      <c r="KP68" s="7"/>
      <c r="KW68" s="7"/>
      <c r="LD68" s="7"/>
      <c r="LK68" s="7"/>
      <c r="LR68" s="7"/>
      <c r="LY68" s="7"/>
      <c r="MF68" s="7"/>
    </row>
    <row r="69" spans="1:344" x14ac:dyDescent="0.25">
      <c r="A69" s="8" t="s">
        <v>31</v>
      </c>
      <c r="B69" s="8"/>
      <c r="C69" s="8" t="s">
        <v>30</v>
      </c>
      <c r="D69" s="8" t="s">
        <v>29</v>
      </c>
      <c r="E69" s="18">
        <v>39453</v>
      </c>
      <c r="F69" s="10">
        <f t="shared" si="376"/>
        <v>1</v>
      </c>
      <c r="G69" s="19">
        <f t="shared" si="380"/>
        <v>1</v>
      </c>
      <c r="H69" s="19">
        <f t="shared" si="380"/>
        <v>1</v>
      </c>
      <c r="I69" s="8">
        <f t="shared" si="381"/>
        <v>1</v>
      </c>
      <c r="J69" s="8">
        <f t="shared" si="381"/>
        <v>1</v>
      </c>
      <c r="K69" s="8" t="str">
        <f t="shared" si="381"/>
        <v/>
      </c>
      <c r="L69" s="8" t="str">
        <f t="shared" si="381"/>
        <v/>
      </c>
      <c r="M69" s="8"/>
      <c r="N69" s="8"/>
      <c r="O69" s="9"/>
      <c r="P69" s="8">
        <f t="shared" si="378"/>
        <v>9</v>
      </c>
      <c r="Q69" s="109">
        <f t="shared" si="379"/>
        <v>64.285714285714292</v>
      </c>
      <c r="R69" s="84"/>
      <c r="S69" s="7"/>
      <c r="Z69" s="7"/>
      <c r="AG69" s="7"/>
      <c r="AK69">
        <v>1</v>
      </c>
      <c r="AN69" s="7"/>
      <c r="AR69">
        <v>1</v>
      </c>
      <c r="AU69" s="7"/>
      <c r="BB69" s="7"/>
      <c r="BD69">
        <v>1</v>
      </c>
      <c r="BF69">
        <v>1</v>
      </c>
      <c r="BI69" s="7"/>
      <c r="BK69">
        <v>1</v>
      </c>
      <c r="BM69">
        <v>1</v>
      </c>
      <c r="BN69">
        <v>1</v>
      </c>
      <c r="BP69" s="7">
        <v>1</v>
      </c>
      <c r="BW69">
        <v>1</v>
      </c>
      <c r="BY69" s="7"/>
      <c r="CH69" s="7"/>
      <c r="CQ69" s="7"/>
      <c r="CZ69" s="7"/>
      <c r="DI69" s="7"/>
      <c r="DP69" s="7"/>
      <c r="DW69" s="7"/>
      <c r="ED69" s="7"/>
      <c r="EK69" s="7"/>
      <c r="ER69" s="7"/>
      <c r="EY69" s="7"/>
      <c r="FF69" s="7"/>
      <c r="FM69" s="7"/>
      <c r="FT69" s="7"/>
      <c r="GA69" s="7"/>
      <c r="GH69" s="7"/>
      <c r="GO69" s="7"/>
      <c r="GV69" s="7"/>
      <c r="HC69" s="7"/>
      <c r="HJ69" s="7"/>
      <c r="HQ69" s="7"/>
      <c r="HX69" s="7"/>
      <c r="IE69" s="7"/>
      <c r="IL69" s="7"/>
      <c r="IS69" s="7"/>
      <c r="IZ69" s="7"/>
      <c r="JG69" s="7"/>
      <c r="JN69" s="7"/>
      <c r="JU69" s="7"/>
      <c r="KB69" s="7"/>
      <c r="KI69" s="7"/>
      <c r="KP69" s="7"/>
      <c r="KW69" s="7"/>
      <c r="LD69" s="7"/>
      <c r="LK69" s="7"/>
      <c r="LR69" s="7"/>
      <c r="LY69" s="7"/>
      <c r="MF69" s="7"/>
    </row>
    <row r="70" spans="1:344" x14ac:dyDescent="0.25">
      <c r="A70" s="8" t="s">
        <v>28</v>
      </c>
      <c r="B70" s="8"/>
      <c r="C70" s="8" t="s">
        <v>27</v>
      </c>
      <c r="D70" s="8" t="s">
        <v>26</v>
      </c>
      <c r="E70" s="18">
        <v>39802</v>
      </c>
      <c r="F70" s="10">
        <f t="shared" si="376"/>
        <v>1</v>
      </c>
      <c r="G70" s="19">
        <f t="shared" si="380"/>
        <v>1</v>
      </c>
      <c r="H70" s="19">
        <f t="shared" si="380"/>
        <v>1</v>
      </c>
      <c r="I70" s="8">
        <f t="shared" si="381"/>
        <v>1</v>
      </c>
      <c r="J70" s="8">
        <f t="shared" si="381"/>
        <v>1</v>
      </c>
      <c r="K70" s="8" t="str">
        <f t="shared" si="381"/>
        <v/>
      </c>
      <c r="L70" s="8" t="str">
        <f t="shared" si="381"/>
        <v/>
      </c>
      <c r="M70" s="8"/>
      <c r="N70" s="8"/>
      <c r="O70" s="9"/>
      <c r="P70" s="8">
        <f t="shared" si="378"/>
        <v>7</v>
      </c>
      <c r="Q70" s="109">
        <f t="shared" si="379"/>
        <v>50</v>
      </c>
      <c r="R70" s="84"/>
      <c r="S70" s="7"/>
      <c r="Z70" s="7"/>
      <c r="AG70" s="7"/>
      <c r="AK70">
        <v>1</v>
      </c>
      <c r="AN70" s="7"/>
      <c r="AP70">
        <v>1</v>
      </c>
      <c r="AU70" s="7"/>
      <c r="AW70">
        <v>1</v>
      </c>
      <c r="AY70">
        <v>1</v>
      </c>
      <c r="BB70" s="7"/>
      <c r="BD70">
        <v>1</v>
      </c>
      <c r="BF70">
        <v>1</v>
      </c>
      <c r="BI70" s="7"/>
      <c r="BM70">
        <v>1</v>
      </c>
      <c r="BP70" s="7"/>
      <c r="BY70" s="7"/>
      <c r="CH70" s="7"/>
      <c r="CQ70" s="7"/>
      <c r="CZ70" s="7"/>
      <c r="DI70" s="7"/>
      <c r="DP70" s="7"/>
      <c r="DW70" s="7"/>
      <c r="ED70" s="7"/>
      <c r="EK70" s="7"/>
      <c r="ER70" s="7"/>
      <c r="EY70" s="7"/>
      <c r="FF70" s="7"/>
      <c r="FM70" s="7"/>
      <c r="FT70" s="7"/>
      <c r="GA70" s="7"/>
      <c r="GH70" s="7"/>
      <c r="GO70" s="7"/>
      <c r="GV70" s="7"/>
      <c r="HC70" s="7"/>
      <c r="HJ70" s="7"/>
      <c r="HQ70" s="7"/>
      <c r="HX70" s="7"/>
      <c r="IE70" s="7"/>
      <c r="IL70" s="7"/>
      <c r="IS70" s="7"/>
      <c r="IZ70" s="7"/>
      <c r="JG70" s="7"/>
      <c r="JN70" s="7"/>
      <c r="JU70" s="7"/>
      <c r="KB70" s="7"/>
      <c r="KI70" s="7"/>
      <c r="KP70" s="7"/>
      <c r="KW70" s="7"/>
      <c r="LD70" s="7"/>
      <c r="LK70" s="7"/>
      <c r="LR70" s="7"/>
      <c r="LY70" s="7"/>
      <c r="MF70" s="7"/>
    </row>
    <row r="71" spans="1:344" ht="7.5" customHeight="1" x14ac:dyDescent="0.25">
      <c r="A71" s="8"/>
      <c r="B71" s="8"/>
      <c r="C71" s="8"/>
      <c r="D71" s="8"/>
      <c r="E71" s="8"/>
      <c r="F71" s="10"/>
      <c r="G71" s="19"/>
      <c r="H71" s="19"/>
      <c r="I71" s="8"/>
      <c r="J71" s="8"/>
      <c r="K71" s="8"/>
      <c r="L71" s="8"/>
      <c r="M71" s="8"/>
      <c r="N71" s="8"/>
      <c r="O71" s="9"/>
      <c r="P71" s="8" t="str">
        <f>IF(SUM(R71:MF71) &gt; 0, SUM(R71:MF71), "")</f>
        <v/>
      </c>
      <c r="Q71" s="109" t="str">
        <f t="shared" si="379"/>
        <v/>
      </c>
      <c r="R71" s="84"/>
      <c r="S71" s="7"/>
      <c r="Z71" s="7"/>
      <c r="AG71" s="7"/>
      <c r="AN71" s="7"/>
      <c r="AU71" s="7"/>
      <c r="BB71" s="7"/>
      <c r="BI71" s="7"/>
      <c r="BP71" s="7"/>
      <c r="BY71" s="7"/>
      <c r="CH71" s="7"/>
      <c r="CQ71" s="7"/>
      <c r="CZ71" s="7"/>
      <c r="DI71" s="7"/>
      <c r="DP71" s="7"/>
      <c r="DW71" s="7"/>
      <c r="ED71" s="7"/>
      <c r="EK71" s="7"/>
      <c r="ER71" s="7"/>
      <c r="EY71" s="7"/>
      <c r="FF71" s="7"/>
      <c r="FM71" s="7"/>
      <c r="FT71" s="7"/>
      <c r="GA71" s="7"/>
      <c r="GH71" s="7"/>
      <c r="GO71" s="7"/>
      <c r="GV71" s="7"/>
      <c r="HC71" s="7"/>
      <c r="HJ71" s="7"/>
      <c r="HQ71" s="7"/>
      <c r="HX71" s="7"/>
      <c r="IE71" s="7"/>
      <c r="IL71" s="7"/>
      <c r="IS71" s="7"/>
      <c r="IZ71" s="7"/>
      <c r="JG71" s="7"/>
      <c r="JN71" s="7"/>
      <c r="JU71" s="7"/>
      <c r="KB71" s="7"/>
      <c r="KI71" s="7"/>
      <c r="KP71" s="7"/>
      <c r="KW71" s="7"/>
      <c r="LD71" s="7"/>
      <c r="LK71" s="7"/>
      <c r="LR71" s="7"/>
      <c r="LY71" s="7"/>
      <c r="MF71" s="7"/>
    </row>
    <row r="72" spans="1:344" ht="15" customHeight="1" thickBot="1" x14ac:dyDescent="0.3">
      <c r="A72" s="20" t="s">
        <v>18</v>
      </c>
      <c r="B72" s="20"/>
      <c r="C72" s="20"/>
      <c r="D72" s="20"/>
      <c r="E72" s="21"/>
      <c r="F72" s="20"/>
      <c r="G72" s="20"/>
      <c r="H72" s="20"/>
      <c r="I72" s="20"/>
      <c r="J72" s="20"/>
      <c r="K72" s="20"/>
      <c r="L72" s="20"/>
      <c r="M72" s="20"/>
      <c r="N72" s="20"/>
      <c r="O72" s="21"/>
      <c r="P72" s="60">
        <f>SUM(S72:MF72)</f>
        <v>14</v>
      </c>
      <c r="Q72" s="60"/>
      <c r="R72" s="21"/>
      <c r="S72" s="21"/>
      <c r="T72" s="20"/>
      <c r="U72" s="20"/>
      <c r="V72" s="20"/>
      <c r="W72" s="20"/>
      <c r="X72" s="20"/>
      <c r="Y72" s="20"/>
      <c r="Z72" s="21"/>
      <c r="AA72" s="20"/>
      <c r="AB72" s="20"/>
      <c r="AC72" s="20"/>
      <c r="AD72" s="20"/>
      <c r="AE72" s="20"/>
      <c r="AF72" s="20"/>
      <c r="AG72" s="21"/>
      <c r="AH72" s="20"/>
      <c r="AI72" s="20">
        <v>1</v>
      </c>
      <c r="AJ72" s="20"/>
      <c r="AK72" s="20">
        <v>1</v>
      </c>
      <c r="AL72" s="20"/>
      <c r="AM72" s="20"/>
      <c r="AN72" s="21"/>
      <c r="AO72" s="20"/>
      <c r="AP72" s="20">
        <v>1</v>
      </c>
      <c r="AQ72" s="20"/>
      <c r="AR72" s="20">
        <v>1</v>
      </c>
      <c r="AS72" s="20"/>
      <c r="AT72" s="20"/>
      <c r="AU72" s="21"/>
      <c r="AV72" s="20"/>
      <c r="AW72" s="20">
        <v>1</v>
      </c>
      <c r="AX72" s="20">
        <v>1</v>
      </c>
      <c r="AY72" s="20">
        <v>1</v>
      </c>
      <c r="AZ72" s="20"/>
      <c r="BA72" s="20"/>
      <c r="BB72" s="21"/>
      <c r="BC72" s="20"/>
      <c r="BD72" s="20">
        <v>1</v>
      </c>
      <c r="BE72" s="20"/>
      <c r="BF72" s="20">
        <v>1</v>
      </c>
      <c r="BG72" s="20"/>
      <c r="BH72" s="20"/>
      <c r="BI72" s="21"/>
      <c r="BJ72" s="20"/>
      <c r="BK72" s="20">
        <v>1</v>
      </c>
      <c r="BL72" s="20"/>
      <c r="BM72" s="20">
        <v>1</v>
      </c>
      <c r="BN72" s="20">
        <v>1</v>
      </c>
      <c r="BO72" s="20"/>
      <c r="BP72" s="21">
        <v>1</v>
      </c>
      <c r="BQ72" s="20"/>
      <c r="BR72" s="20"/>
      <c r="BS72" s="20"/>
      <c r="BT72" s="20"/>
      <c r="BU72" s="20"/>
      <c r="BV72" s="20"/>
      <c r="BW72" s="20">
        <v>1</v>
      </c>
      <c r="BX72" s="20"/>
      <c r="BY72" s="21"/>
      <c r="BZ72" s="20"/>
      <c r="CA72" s="20"/>
      <c r="CB72" s="20"/>
      <c r="CC72" s="20"/>
      <c r="CD72" s="20"/>
      <c r="CE72" s="20"/>
      <c r="CF72" s="20"/>
      <c r="CG72" s="20"/>
      <c r="CH72" s="21"/>
      <c r="CI72" s="20"/>
      <c r="CJ72" s="20"/>
      <c r="CK72" s="20"/>
      <c r="CL72" s="20"/>
      <c r="CM72" s="20"/>
      <c r="CN72" s="20"/>
      <c r="CO72" s="20"/>
      <c r="CP72" s="20"/>
      <c r="CQ72" s="21"/>
      <c r="CR72" s="20"/>
      <c r="CS72" s="20"/>
      <c r="CT72" s="20"/>
      <c r="CU72" s="20"/>
      <c r="CV72" s="20"/>
      <c r="CW72" s="20"/>
      <c r="CX72" s="20"/>
      <c r="CY72" s="20"/>
      <c r="CZ72" s="21"/>
      <c r="DA72" s="20"/>
      <c r="DB72" s="20"/>
      <c r="DC72" s="20"/>
      <c r="DD72" s="20"/>
      <c r="DE72" s="20"/>
      <c r="DF72" s="20"/>
      <c r="DG72" s="20"/>
      <c r="DH72" s="20"/>
      <c r="DI72" s="21"/>
      <c r="DJ72" s="20"/>
      <c r="DK72" s="20"/>
      <c r="DL72" s="20"/>
      <c r="DM72" s="20"/>
      <c r="DN72" s="20"/>
      <c r="DO72" s="20"/>
      <c r="DP72" s="21"/>
      <c r="DQ72" s="20"/>
      <c r="DR72" s="20"/>
      <c r="DS72" s="20"/>
      <c r="DT72" s="20"/>
      <c r="DU72" s="20"/>
      <c r="DV72" s="20"/>
      <c r="DW72" s="21"/>
      <c r="DX72" s="20"/>
      <c r="DY72" s="20"/>
      <c r="DZ72" s="20"/>
      <c r="EA72" s="20"/>
      <c r="EB72" s="20"/>
      <c r="EC72" s="20"/>
      <c r="ED72" s="21"/>
      <c r="EE72" s="20"/>
      <c r="EF72" s="20"/>
      <c r="EG72" s="20"/>
      <c r="EH72" s="20"/>
      <c r="EI72" s="20"/>
      <c r="EJ72" s="20"/>
      <c r="EK72" s="21"/>
      <c r="EL72" s="20"/>
      <c r="EM72" s="20"/>
      <c r="EN72" s="20"/>
      <c r="EO72" s="20"/>
      <c r="EP72" s="20"/>
      <c r="EQ72" s="20"/>
      <c r="ER72" s="21"/>
      <c r="ES72" s="20"/>
      <c r="ET72" s="20"/>
      <c r="EU72" s="20"/>
      <c r="EV72" s="20"/>
      <c r="EW72" s="20"/>
      <c r="EX72" s="20"/>
      <c r="EY72" s="21"/>
      <c r="EZ72" s="20"/>
      <c r="FA72" s="20"/>
      <c r="FB72" s="20"/>
      <c r="FC72" s="20"/>
      <c r="FD72" s="20"/>
      <c r="FE72" s="20"/>
      <c r="FF72" s="21"/>
      <c r="FG72" s="20"/>
      <c r="FH72" s="20"/>
      <c r="FI72" s="20"/>
      <c r="FJ72" s="20"/>
      <c r="FK72" s="20"/>
      <c r="FL72" s="20"/>
      <c r="FM72" s="21"/>
      <c r="FN72" s="20"/>
      <c r="FO72" s="20"/>
      <c r="FP72" s="20"/>
      <c r="FQ72" s="20"/>
      <c r="FR72" s="20"/>
      <c r="FS72" s="20"/>
      <c r="FT72" s="21"/>
      <c r="FU72" s="20"/>
      <c r="FV72" s="20"/>
      <c r="FW72" s="20"/>
      <c r="FX72" s="20"/>
      <c r="FY72" s="20"/>
      <c r="FZ72" s="20"/>
      <c r="GA72" s="21"/>
      <c r="GB72" s="20"/>
      <c r="GC72" s="20"/>
      <c r="GD72" s="20"/>
      <c r="GE72" s="20"/>
      <c r="GF72" s="20"/>
      <c r="GG72" s="20"/>
      <c r="GH72" s="21"/>
      <c r="GI72" s="20"/>
      <c r="GJ72" s="20"/>
      <c r="GK72" s="20"/>
      <c r="GL72" s="20"/>
      <c r="GM72" s="20"/>
      <c r="GN72" s="20"/>
      <c r="GO72" s="21"/>
      <c r="GP72" s="20"/>
      <c r="GQ72" s="20"/>
      <c r="GR72" s="20"/>
      <c r="GS72" s="20"/>
      <c r="GT72" s="20"/>
      <c r="GU72" s="20"/>
      <c r="GV72" s="21"/>
      <c r="GW72" s="20"/>
      <c r="GX72" s="20"/>
      <c r="GY72" s="20"/>
      <c r="GZ72" s="20"/>
      <c r="HA72" s="20"/>
      <c r="HB72" s="20"/>
      <c r="HC72" s="21"/>
      <c r="HD72" s="20"/>
      <c r="HE72" s="20"/>
      <c r="HF72" s="20"/>
      <c r="HG72" s="20"/>
      <c r="HH72" s="20"/>
      <c r="HI72" s="20"/>
      <c r="HJ72" s="21"/>
      <c r="HK72" s="20"/>
      <c r="HL72" s="20"/>
      <c r="HM72" s="20"/>
      <c r="HN72" s="20"/>
      <c r="HO72" s="20"/>
      <c r="HP72" s="20"/>
      <c r="HQ72" s="21"/>
      <c r="HR72" s="20"/>
      <c r="HS72" s="20"/>
      <c r="HT72" s="20"/>
      <c r="HU72" s="20"/>
      <c r="HV72" s="20"/>
      <c r="HW72" s="20"/>
      <c r="HX72" s="21"/>
      <c r="HY72" s="20"/>
      <c r="HZ72" s="20"/>
      <c r="IA72" s="20"/>
      <c r="IB72" s="20"/>
      <c r="IC72" s="20"/>
      <c r="ID72" s="20"/>
      <c r="IE72" s="21"/>
      <c r="IF72" s="20"/>
      <c r="IG72" s="20"/>
      <c r="IH72" s="20"/>
      <c r="II72" s="20"/>
      <c r="IJ72" s="20"/>
      <c r="IK72" s="20"/>
      <c r="IL72" s="21"/>
      <c r="IM72" s="20"/>
      <c r="IN72" s="20"/>
      <c r="IO72" s="20"/>
      <c r="IP72" s="20"/>
      <c r="IQ72" s="20"/>
      <c r="IR72" s="20"/>
      <c r="IS72" s="21"/>
      <c r="IT72" s="20"/>
      <c r="IU72" s="20"/>
      <c r="IV72" s="20"/>
      <c r="IW72" s="20"/>
      <c r="IX72" s="20"/>
      <c r="IY72" s="20"/>
      <c r="IZ72" s="21"/>
      <c r="JA72" s="20"/>
      <c r="JB72" s="20"/>
      <c r="JC72" s="20"/>
      <c r="JD72" s="20"/>
      <c r="JE72" s="20"/>
      <c r="JF72" s="20"/>
      <c r="JG72" s="21"/>
      <c r="JH72" s="20"/>
      <c r="JI72" s="20"/>
      <c r="JJ72" s="20"/>
      <c r="JK72" s="20"/>
      <c r="JL72" s="20"/>
      <c r="JM72" s="20"/>
      <c r="JN72" s="21"/>
      <c r="JO72" s="20"/>
      <c r="JP72" s="20"/>
      <c r="JQ72" s="20"/>
      <c r="JR72" s="20"/>
      <c r="JS72" s="20"/>
      <c r="JT72" s="20"/>
      <c r="JU72" s="21"/>
      <c r="JV72" s="20"/>
      <c r="JW72" s="20"/>
      <c r="JX72" s="20"/>
      <c r="JY72" s="20"/>
      <c r="JZ72" s="20"/>
      <c r="KA72" s="20"/>
      <c r="KB72" s="21"/>
      <c r="KC72" s="20"/>
      <c r="KD72" s="20"/>
      <c r="KE72" s="20"/>
      <c r="KF72" s="20"/>
      <c r="KG72" s="20"/>
      <c r="KH72" s="20"/>
      <c r="KI72" s="21"/>
      <c r="KJ72" s="20"/>
      <c r="KK72" s="20"/>
      <c r="KL72" s="20"/>
      <c r="KM72" s="20"/>
      <c r="KN72" s="20"/>
      <c r="KO72" s="20"/>
      <c r="KP72" s="21"/>
      <c r="KQ72" s="20"/>
      <c r="KR72" s="20"/>
      <c r="KS72" s="20"/>
      <c r="KT72" s="20"/>
      <c r="KU72" s="20"/>
      <c r="KV72" s="20"/>
      <c r="KW72" s="21"/>
      <c r="KX72" s="20"/>
      <c r="KY72" s="20"/>
      <c r="KZ72" s="20"/>
      <c r="LA72" s="20"/>
      <c r="LB72" s="20"/>
      <c r="LC72" s="20"/>
      <c r="LD72" s="21"/>
      <c r="LE72" s="20"/>
      <c r="LF72" s="20"/>
      <c r="LG72" s="20"/>
      <c r="LH72" s="20"/>
      <c r="LI72" s="20"/>
      <c r="LJ72" s="20"/>
      <c r="LK72" s="21"/>
      <c r="LL72" s="20"/>
      <c r="LM72" s="20"/>
      <c r="LN72" s="20"/>
      <c r="LO72" s="20"/>
      <c r="LP72" s="20"/>
      <c r="LQ72" s="20"/>
      <c r="LR72" s="21"/>
      <c r="LS72" s="20"/>
      <c r="LT72" s="20"/>
      <c r="LU72" s="20"/>
      <c r="LV72" s="20"/>
      <c r="LW72" s="20"/>
      <c r="LX72" s="20"/>
      <c r="LY72" s="21"/>
      <c r="LZ72" s="20"/>
      <c r="MA72" s="20"/>
      <c r="MB72" s="20"/>
      <c r="MC72" s="20"/>
      <c r="MD72" s="20"/>
      <c r="ME72" s="20"/>
      <c r="MF72" s="21"/>
    </row>
    <row r="73" spans="1:344" ht="15.75" thickBot="1" x14ac:dyDescent="0.3">
      <c r="A73" s="64" t="s">
        <v>249</v>
      </c>
      <c r="B73" s="62"/>
      <c r="C73" s="62"/>
      <c r="D73" s="62"/>
      <c r="E73" s="63"/>
      <c r="F73" s="62"/>
      <c r="G73" s="62"/>
      <c r="H73" s="62"/>
      <c r="I73" s="62"/>
      <c r="J73" s="62"/>
      <c r="K73" s="62"/>
      <c r="L73" s="62"/>
      <c r="M73" s="62"/>
      <c r="N73" s="62"/>
      <c r="O73" s="63"/>
      <c r="P73" s="85">
        <f>VisibleSum(P66:P71)</f>
        <v>8</v>
      </c>
      <c r="Q73" s="62">
        <f>P73 / P72 * 100</f>
        <v>57.142857142857139</v>
      </c>
      <c r="R73" s="86"/>
      <c r="S73" s="63" t="str">
        <f>IF(SUM(S40:S59, S67:S70) &gt; 0, SUM(S40:S59, S67:S70), "")</f>
        <v/>
      </c>
      <c r="T73" s="62" t="str">
        <f t="shared" ref="T73:U73" si="382">IF(SUM(T66:T71) &gt; 0, SUM(T66:T71), "")</f>
        <v/>
      </c>
      <c r="U73" s="62" t="str">
        <f t="shared" si="382"/>
        <v/>
      </c>
      <c r="V73" s="62" t="str">
        <f t="shared" ref="V73" si="383">IF(SUM(V66:V71) &gt; 0, SUM(V66:V71), "")</f>
        <v/>
      </c>
      <c r="W73" s="62" t="str">
        <f t="shared" ref="W73" si="384">IF(SUM(W66:W71) &gt; 0, SUM(W66:W71), "")</f>
        <v/>
      </c>
      <c r="X73" s="62" t="str">
        <f t="shared" ref="X73" si="385">IF(SUM(X66:X71) &gt; 0, SUM(X66:X71), "")</f>
        <v/>
      </c>
      <c r="Y73" s="62" t="str">
        <f t="shared" ref="Y73" si="386">IF(SUM(Y66:Y71) &gt; 0, SUM(Y66:Y71), "")</f>
        <v/>
      </c>
      <c r="Z73" s="63" t="str">
        <f t="shared" ref="Z73:AB73" si="387">IF(SUM(Z66:Z71) &gt; 0, SUM(Z66:Z71), "")</f>
        <v/>
      </c>
      <c r="AA73" s="62" t="str">
        <f t="shared" si="387"/>
        <v/>
      </c>
      <c r="AB73" s="62" t="str">
        <f t="shared" si="387"/>
        <v/>
      </c>
      <c r="AC73" s="62" t="str">
        <f t="shared" ref="AC73" si="388">IF(SUM(AC66:AC71) &gt; 0, SUM(AC66:AC71), "")</f>
        <v/>
      </c>
      <c r="AD73" s="62" t="str">
        <f t="shared" ref="AD73" si="389">IF(SUM(AD66:AD71) &gt; 0, SUM(AD66:AD71), "")</f>
        <v/>
      </c>
      <c r="AE73" s="62" t="str">
        <f t="shared" ref="AE73" si="390">IF(SUM(AE66:AE71) &gt; 0, SUM(AE66:AE71), "")</f>
        <v/>
      </c>
      <c r="AF73" s="62" t="str">
        <f t="shared" ref="AF73" si="391">IF(SUM(AF66:AF71) &gt; 0, SUM(AF66:AF71), "")</f>
        <v/>
      </c>
      <c r="AG73" s="63" t="str">
        <f t="shared" ref="AG73" si="392">IF(SUM(AG66:AG71) &gt; 0, SUM(AG66:AG71), "")</f>
        <v/>
      </c>
      <c r="AH73" s="62" t="str">
        <f>IF(SUM(AH66:AH71) &gt; 0, SUM(AH66:AH71), "")</f>
        <v/>
      </c>
      <c r="AI73" s="62" t="str">
        <f>IF(SUM(AI66:AI71) &gt; 0, SUM(AI66:AI71), "")</f>
        <v/>
      </c>
      <c r="AJ73" s="62" t="str">
        <f t="shared" ref="AJ73:AN73" si="393">IF(SUM(AJ66:AJ71) &gt; 0, SUM(AJ66:AJ71), "")</f>
        <v/>
      </c>
      <c r="AK73" s="62">
        <f t="shared" si="393"/>
        <v>3</v>
      </c>
      <c r="AL73" s="62" t="str">
        <f t="shared" si="393"/>
        <v/>
      </c>
      <c r="AM73" s="62" t="str">
        <f t="shared" si="393"/>
        <v/>
      </c>
      <c r="AN73" s="63" t="str">
        <f t="shared" si="393"/>
        <v/>
      </c>
      <c r="AO73" s="62" t="str">
        <f>IF(SUM(AO66:AO71) &gt; 0, SUM(AO66:AO71), "")</f>
        <v/>
      </c>
      <c r="AP73" s="62">
        <f>IF(SUM(AP66:AP71) &gt; 0, SUM(AP66:AP71), "")</f>
        <v>2</v>
      </c>
      <c r="AQ73" s="62" t="str">
        <f t="shared" ref="AQ73" si="394">IF(SUM(AQ66:AQ71) &gt; 0, SUM(AQ66:AQ71), "")</f>
        <v/>
      </c>
      <c r="AR73" s="62">
        <f t="shared" ref="AR73" si="395">IF(SUM(AR66:AR71) &gt; 0, SUM(AR66:AR71), "")</f>
        <v>1</v>
      </c>
      <c r="AS73" s="62" t="str">
        <f t="shared" ref="AS73" si="396">IF(SUM(AS66:AS71) &gt; 0, SUM(AS66:AS71), "")</f>
        <v/>
      </c>
      <c r="AT73" s="62" t="str">
        <f t="shared" ref="AT73" si="397">IF(SUM(AT66:AT71) &gt; 0, SUM(AT66:AT71), "")</f>
        <v/>
      </c>
      <c r="AU73" s="63" t="str">
        <f t="shared" ref="AU73" si="398">IF(SUM(AU66:AU71) &gt; 0, SUM(AU66:AU71), "")</f>
        <v/>
      </c>
      <c r="AV73" s="62" t="str">
        <f>IF(SUM(AV66:AV71) &gt; 0, SUM(AV66:AV71), "")</f>
        <v/>
      </c>
      <c r="AW73" s="62">
        <f>IF(SUM(AW66:AW71) &gt; 0, SUM(AW66:AW71), "")</f>
        <v>2</v>
      </c>
      <c r="AX73" s="62" t="str">
        <f t="shared" ref="AX73" si="399">IF(SUM(AX66:AX71) &gt; 0, SUM(AX66:AX71), "")</f>
        <v/>
      </c>
      <c r="AY73" s="62">
        <f t="shared" ref="AY73" si="400">IF(SUM(AY66:AY71) &gt; 0, SUM(AY66:AY71), "")</f>
        <v>1</v>
      </c>
      <c r="AZ73" s="62" t="str">
        <f t="shared" ref="AZ73" si="401">IF(SUM(AZ66:AZ71) &gt; 0, SUM(AZ66:AZ71), "")</f>
        <v/>
      </c>
      <c r="BA73" s="62" t="str">
        <f t="shared" ref="BA73" si="402">IF(SUM(BA66:BA71) &gt; 0, SUM(BA66:BA71), "")</f>
        <v/>
      </c>
      <c r="BB73" s="63" t="str">
        <f t="shared" ref="BB73" si="403">IF(SUM(BB66:BB71) &gt; 0, SUM(BB66:BB71), "")</f>
        <v/>
      </c>
      <c r="BC73" s="62" t="str">
        <f>IF(SUM(BC66:BC71) &gt; 0, SUM(BC66:BC71), "")</f>
        <v/>
      </c>
      <c r="BD73" s="62">
        <f>IF(SUM(BD66:BD71) &gt; 0, SUM(BD66:BD71), "")</f>
        <v>3</v>
      </c>
      <c r="BE73" s="62" t="str">
        <f t="shared" ref="BE73:DZ73" si="404">IF(SUM(BE66:BE71) &gt; 0, SUM(BE66:BE71), "")</f>
        <v/>
      </c>
      <c r="BF73" s="62">
        <f t="shared" si="404"/>
        <v>2</v>
      </c>
      <c r="BG73" s="62" t="str">
        <f t="shared" si="404"/>
        <v/>
      </c>
      <c r="BH73" s="62" t="str">
        <f t="shared" si="404"/>
        <v/>
      </c>
      <c r="BI73" s="63" t="str">
        <f t="shared" si="404"/>
        <v/>
      </c>
      <c r="BJ73" s="62" t="str">
        <f t="shared" si="404"/>
        <v/>
      </c>
      <c r="BK73" s="62">
        <f t="shared" si="404"/>
        <v>2</v>
      </c>
      <c r="BL73" s="62" t="str">
        <f t="shared" si="404"/>
        <v/>
      </c>
      <c r="BM73" s="62">
        <f t="shared" si="404"/>
        <v>3</v>
      </c>
      <c r="BN73" s="62">
        <f t="shared" si="404"/>
        <v>2</v>
      </c>
      <c r="BO73" s="62" t="str">
        <f t="shared" si="404"/>
        <v/>
      </c>
      <c r="BP73" s="63">
        <f t="shared" si="404"/>
        <v>1</v>
      </c>
      <c r="BQ73" s="62" t="str">
        <f t="shared" si="404"/>
        <v/>
      </c>
      <c r="BR73" s="62" t="str">
        <f t="shared" si="404"/>
        <v/>
      </c>
      <c r="BS73" s="62" t="str">
        <f t="shared" si="404"/>
        <v/>
      </c>
      <c r="BT73" s="62" t="str">
        <f t="shared" si="404"/>
        <v/>
      </c>
      <c r="BU73" s="62" t="str">
        <f t="shared" si="404"/>
        <v/>
      </c>
      <c r="BV73" s="62" t="str">
        <f t="shared" si="404"/>
        <v/>
      </c>
      <c r="BW73" s="62">
        <f t="shared" ref="BW73" si="405">IF(SUM(BW66:BW71) &gt; 0, SUM(BW66:BW71), "")</f>
        <v>2</v>
      </c>
      <c r="BX73" s="62"/>
      <c r="BY73" s="63" t="str">
        <f t="shared" si="404"/>
        <v/>
      </c>
      <c r="BZ73" s="62" t="str">
        <f t="shared" si="404"/>
        <v/>
      </c>
      <c r="CA73" s="62" t="str">
        <f t="shared" si="404"/>
        <v/>
      </c>
      <c r="CB73" s="62" t="str">
        <f t="shared" si="404"/>
        <v/>
      </c>
      <c r="CC73" s="62" t="str">
        <f t="shared" si="404"/>
        <v/>
      </c>
      <c r="CD73" s="62" t="str">
        <f t="shared" si="404"/>
        <v/>
      </c>
      <c r="CE73" s="62" t="str">
        <f t="shared" si="404"/>
        <v/>
      </c>
      <c r="CF73" s="62"/>
      <c r="CG73" s="62"/>
      <c r="CH73" s="63" t="str">
        <f t="shared" si="404"/>
        <v/>
      </c>
      <c r="CI73" s="62" t="str">
        <f t="shared" si="404"/>
        <v/>
      </c>
      <c r="CJ73" s="62" t="str">
        <f t="shared" si="404"/>
        <v/>
      </c>
      <c r="CK73" s="62" t="str">
        <f t="shared" si="404"/>
        <v/>
      </c>
      <c r="CL73" s="62" t="str">
        <f t="shared" si="404"/>
        <v/>
      </c>
      <c r="CM73" s="62" t="str">
        <f t="shared" si="404"/>
        <v/>
      </c>
      <c r="CN73" s="62" t="str">
        <f t="shared" si="404"/>
        <v/>
      </c>
      <c r="CO73" s="62" t="str">
        <f t="shared" ref="CO73" si="406">IF(SUM(CO66:CO71) &gt; 0, SUM(CO66:CO71), "")</f>
        <v/>
      </c>
      <c r="CP73" s="62"/>
      <c r="CQ73" s="63" t="str">
        <f t="shared" si="404"/>
        <v/>
      </c>
      <c r="CR73" s="62" t="str">
        <f t="shared" si="404"/>
        <v/>
      </c>
      <c r="CS73" s="62" t="str">
        <f t="shared" si="404"/>
        <v/>
      </c>
      <c r="CT73" s="62" t="str">
        <f t="shared" si="404"/>
        <v/>
      </c>
      <c r="CU73" s="62" t="str">
        <f t="shared" si="404"/>
        <v/>
      </c>
      <c r="CV73" s="62" t="str">
        <f t="shared" si="404"/>
        <v/>
      </c>
      <c r="CW73" s="62"/>
      <c r="CX73" s="62"/>
      <c r="CY73" s="62" t="str">
        <f t="shared" si="404"/>
        <v/>
      </c>
      <c r="CZ73" s="63" t="str">
        <f t="shared" si="404"/>
        <v/>
      </c>
      <c r="DA73" s="62" t="str">
        <f t="shared" si="404"/>
        <v/>
      </c>
      <c r="DB73" s="62" t="str">
        <f t="shared" si="404"/>
        <v/>
      </c>
      <c r="DC73" s="62" t="str">
        <f t="shared" si="404"/>
        <v/>
      </c>
      <c r="DD73" s="62" t="str">
        <f t="shared" si="404"/>
        <v/>
      </c>
      <c r="DE73" s="62" t="str">
        <f t="shared" si="404"/>
        <v/>
      </c>
      <c r="DF73" s="62" t="str">
        <f t="shared" si="404"/>
        <v/>
      </c>
      <c r="DG73" s="62"/>
      <c r="DH73" s="62"/>
      <c r="DI73" s="63" t="str">
        <f t="shared" si="404"/>
        <v/>
      </c>
      <c r="DJ73" s="62" t="str">
        <f t="shared" si="404"/>
        <v/>
      </c>
      <c r="DK73" s="62" t="str">
        <f t="shared" si="404"/>
        <v/>
      </c>
      <c r="DL73" s="62" t="str">
        <f t="shared" si="404"/>
        <v/>
      </c>
      <c r="DM73" s="62" t="str">
        <f t="shared" si="404"/>
        <v/>
      </c>
      <c r="DN73" s="62" t="str">
        <f t="shared" si="404"/>
        <v/>
      </c>
      <c r="DO73" s="62" t="str">
        <f t="shared" si="404"/>
        <v/>
      </c>
      <c r="DP73" s="63" t="str">
        <f t="shared" si="404"/>
        <v/>
      </c>
      <c r="DQ73" s="62" t="str">
        <f t="shared" si="404"/>
        <v/>
      </c>
      <c r="DR73" s="62" t="str">
        <f t="shared" si="404"/>
        <v/>
      </c>
      <c r="DS73" s="62" t="str">
        <f t="shared" si="404"/>
        <v/>
      </c>
      <c r="DT73" s="62" t="str">
        <f t="shared" si="404"/>
        <v/>
      </c>
      <c r="DU73" s="62" t="str">
        <f t="shared" si="404"/>
        <v/>
      </c>
      <c r="DV73" s="62" t="str">
        <f t="shared" si="404"/>
        <v/>
      </c>
      <c r="DW73" s="63" t="str">
        <f t="shared" si="404"/>
        <v/>
      </c>
      <c r="DX73" s="62" t="str">
        <f t="shared" si="404"/>
        <v/>
      </c>
      <c r="DY73" s="62" t="str">
        <f t="shared" si="404"/>
        <v/>
      </c>
      <c r="DZ73" s="62" t="str">
        <f t="shared" si="404"/>
        <v/>
      </c>
      <c r="EA73" s="62" t="str">
        <f t="shared" ref="EA73:GL73" si="407">IF(SUM(EA66:EA71) &gt; 0, SUM(EA66:EA71), "")</f>
        <v/>
      </c>
      <c r="EB73" s="62" t="str">
        <f t="shared" si="407"/>
        <v/>
      </c>
      <c r="EC73" s="62" t="str">
        <f t="shared" si="407"/>
        <v/>
      </c>
      <c r="ED73" s="63" t="str">
        <f t="shared" si="407"/>
        <v/>
      </c>
      <c r="EE73" s="62" t="str">
        <f t="shared" si="407"/>
        <v/>
      </c>
      <c r="EF73" s="62" t="str">
        <f t="shared" si="407"/>
        <v/>
      </c>
      <c r="EG73" s="62" t="str">
        <f t="shared" si="407"/>
        <v/>
      </c>
      <c r="EH73" s="62" t="str">
        <f t="shared" si="407"/>
        <v/>
      </c>
      <c r="EI73" s="62" t="str">
        <f t="shared" si="407"/>
        <v/>
      </c>
      <c r="EJ73" s="62" t="str">
        <f t="shared" si="407"/>
        <v/>
      </c>
      <c r="EK73" s="63" t="str">
        <f t="shared" si="407"/>
        <v/>
      </c>
      <c r="EL73" s="62" t="str">
        <f t="shared" si="407"/>
        <v/>
      </c>
      <c r="EM73" s="62" t="str">
        <f t="shared" si="407"/>
        <v/>
      </c>
      <c r="EN73" s="62" t="str">
        <f t="shared" si="407"/>
        <v/>
      </c>
      <c r="EO73" s="62" t="str">
        <f t="shared" si="407"/>
        <v/>
      </c>
      <c r="EP73" s="62" t="str">
        <f t="shared" si="407"/>
        <v/>
      </c>
      <c r="EQ73" s="62" t="str">
        <f t="shared" si="407"/>
        <v/>
      </c>
      <c r="ER73" s="63" t="str">
        <f t="shared" si="407"/>
        <v/>
      </c>
      <c r="ES73" s="62" t="str">
        <f t="shared" si="407"/>
        <v/>
      </c>
      <c r="ET73" s="62" t="str">
        <f t="shared" si="407"/>
        <v/>
      </c>
      <c r="EU73" s="62" t="str">
        <f t="shared" si="407"/>
        <v/>
      </c>
      <c r="EV73" s="62" t="str">
        <f t="shared" si="407"/>
        <v/>
      </c>
      <c r="EW73" s="62" t="str">
        <f t="shared" si="407"/>
        <v/>
      </c>
      <c r="EX73" s="62" t="str">
        <f t="shared" si="407"/>
        <v/>
      </c>
      <c r="EY73" s="63" t="str">
        <f t="shared" si="407"/>
        <v/>
      </c>
      <c r="EZ73" s="62" t="str">
        <f t="shared" si="407"/>
        <v/>
      </c>
      <c r="FA73" s="62" t="str">
        <f t="shared" si="407"/>
        <v/>
      </c>
      <c r="FB73" s="62" t="str">
        <f t="shared" si="407"/>
        <v/>
      </c>
      <c r="FC73" s="62" t="str">
        <f t="shared" si="407"/>
        <v/>
      </c>
      <c r="FD73" s="62" t="str">
        <f t="shared" si="407"/>
        <v/>
      </c>
      <c r="FE73" s="62" t="str">
        <f t="shared" si="407"/>
        <v/>
      </c>
      <c r="FF73" s="63" t="str">
        <f t="shared" si="407"/>
        <v/>
      </c>
      <c r="FG73" s="62" t="str">
        <f t="shared" si="407"/>
        <v/>
      </c>
      <c r="FH73" s="62" t="str">
        <f t="shared" si="407"/>
        <v/>
      </c>
      <c r="FI73" s="62" t="str">
        <f t="shared" si="407"/>
        <v/>
      </c>
      <c r="FJ73" s="62" t="str">
        <f t="shared" si="407"/>
        <v/>
      </c>
      <c r="FK73" s="62" t="str">
        <f t="shared" si="407"/>
        <v/>
      </c>
      <c r="FL73" s="62" t="str">
        <f t="shared" si="407"/>
        <v/>
      </c>
      <c r="FM73" s="63" t="str">
        <f t="shared" si="407"/>
        <v/>
      </c>
      <c r="FN73" s="62" t="str">
        <f t="shared" si="407"/>
        <v/>
      </c>
      <c r="FO73" s="62" t="str">
        <f t="shared" si="407"/>
        <v/>
      </c>
      <c r="FP73" s="62" t="str">
        <f t="shared" si="407"/>
        <v/>
      </c>
      <c r="FQ73" s="62" t="str">
        <f t="shared" si="407"/>
        <v/>
      </c>
      <c r="FR73" s="62" t="str">
        <f t="shared" si="407"/>
        <v/>
      </c>
      <c r="FS73" s="62" t="str">
        <f t="shared" si="407"/>
        <v/>
      </c>
      <c r="FT73" s="63" t="str">
        <f t="shared" si="407"/>
        <v/>
      </c>
      <c r="FU73" s="62" t="str">
        <f t="shared" si="407"/>
        <v/>
      </c>
      <c r="FV73" s="62" t="str">
        <f t="shared" si="407"/>
        <v/>
      </c>
      <c r="FW73" s="62" t="str">
        <f t="shared" si="407"/>
        <v/>
      </c>
      <c r="FX73" s="62" t="str">
        <f t="shared" si="407"/>
        <v/>
      </c>
      <c r="FY73" s="62" t="str">
        <f t="shared" si="407"/>
        <v/>
      </c>
      <c r="FZ73" s="62" t="str">
        <f t="shared" si="407"/>
        <v/>
      </c>
      <c r="GA73" s="63" t="str">
        <f t="shared" si="407"/>
        <v/>
      </c>
      <c r="GB73" s="62" t="str">
        <f t="shared" si="407"/>
        <v/>
      </c>
      <c r="GC73" s="62" t="str">
        <f t="shared" si="407"/>
        <v/>
      </c>
      <c r="GD73" s="62" t="str">
        <f t="shared" si="407"/>
        <v/>
      </c>
      <c r="GE73" s="62" t="str">
        <f t="shared" si="407"/>
        <v/>
      </c>
      <c r="GF73" s="62" t="str">
        <f t="shared" si="407"/>
        <v/>
      </c>
      <c r="GG73" s="62" t="str">
        <f t="shared" si="407"/>
        <v/>
      </c>
      <c r="GH73" s="63" t="str">
        <f t="shared" si="407"/>
        <v/>
      </c>
      <c r="GI73" s="62" t="str">
        <f t="shared" si="407"/>
        <v/>
      </c>
      <c r="GJ73" s="62" t="str">
        <f t="shared" si="407"/>
        <v/>
      </c>
      <c r="GK73" s="62" t="str">
        <f t="shared" si="407"/>
        <v/>
      </c>
      <c r="GL73" s="62" t="str">
        <f t="shared" si="407"/>
        <v/>
      </c>
      <c r="GM73" s="62" t="str">
        <f t="shared" ref="GM73:IX73" si="408">IF(SUM(GM66:GM71) &gt; 0, SUM(GM66:GM71), "")</f>
        <v/>
      </c>
      <c r="GN73" s="62" t="str">
        <f t="shared" si="408"/>
        <v/>
      </c>
      <c r="GO73" s="63" t="str">
        <f t="shared" si="408"/>
        <v/>
      </c>
      <c r="GP73" s="62" t="str">
        <f t="shared" si="408"/>
        <v/>
      </c>
      <c r="GQ73" s="62" t="str">
        <f t="shared" si="408"/>
        <v/>
      </c>
      <c r="GR73" s="62" t="str">
        <f t="shared" si="408"/>
        <v/>
      </c>
      <c r="GS73" s="62" t="str">
        <f t="shared" si="408"/>
        <v/>
      </c>
      <c r="GT73" s="62" t="str">
        <f t="shared" si="408"/>
        <v/>
      </c>
      <c r="GU73" s="62" t="str">
        <f t="shared" si="408"/>
        <v/>
      </c>
      <c r="GV73" s="63" t="str">
        <f t="shared" si="408"/>
        <v/>
      </c>
      <c r="GW73" s="62" t="str">
        <f t="shared" si="408"/>
        <v/>
      </c>
      <c r="GX73" s="62" t="str">
        <f t="shared" si="408"/>
        <v/>
      </c>
      <c r="GY73" s="62" t="str">
        <f t="shared" si="408"/>
        <v/>
      </c>
      <c r="GZ73" s="62" t="str">
        <f t="shared" si="408"/>
        <v/>
      </c>
      <c r="HA73" s="62" t="str">
        <f t="shared" si="408"/>
        <v/>
      </c>
      <c r="HB73" s="62" t="str">
        <f t="shared" si="408"/>
        <v/>
      </c>
      <c r="HC73" s="63" t="str">
        <f t="shared" si="408"/>
        <v/>
      </c>
      <c r="HD73" s="62" t="str">
        <f t="shared" si="408"/>
        <v/>
      </c>
      <c r="HE73" s="62" t="str">
        <f t="shared" si="408"/>
        <v/>
      </c>
      <c r="HF73" s="62" t="str">
        <f t="shared" si="408"/>
        <v/>
      </c>
      <c r="HG73" s="62" t="str">
        <f t="shared" si="408"/>
        <v/>
      </c>
      <c r="HH73" s="62" t="str">
        <f t="shared" si="408"/>
        <v/>
      </c>
      <c r="HI73" s="62" t="str">
        <f t="shared" si="408"/>
        <v/>
      </c>
      <c r="HJ73" s="63" t="str">
        <f t="shared" si="408"/>
        <v/>
      </c>
      <c r="HK73" s="62" t="str">
        <f t="shared" si="408"/>
        <v/>
      </c>
      <c r="HL73" s="62" t="str">
        <f t="shared" si="408"/>
        <v/>
      </c>
      <c r="HM73" s="62" t="str">
        <f t="shared" si="408"/>
        <v/>
      </c>
      <c r="HN73" s="62" t="str">
        <f t="shared" si="408"/>
        <v/>
      </c>
      <c r="HO73" s="62" t="str">
        <f t="shared" si="408"/>
        <v/>
      </c>
      <c r="HP73" s="62" t="str">
        <f t="shared" si="408"/>
        <v/>
      </c>
      <c r="HQ73" s="63" t="str">
        <f t="shared" si="408"/>
        <v/>
      </c>
      <c r="HR73" s="62" t="str">
        <f t="shared" si="408"/>
        <v/>
      </c>
      <c r="HS73" s="62" t="str">
        <f t="shared" si="408"/>
        <v/>
      </c>
      <c r="HT73" s="62" t="str">
        <f t="shared" si="408"/>
        <v/>
      </c>
      <c r="HU73" s="62" t="str">
        <f t="shared" si="408"/>
        <v/>
      </c>
      <c r="HV73" s="62" t="str">
        <f t="shared" si="408"/>
        <v/>
      </c>
      <c r="HW73" s="62" t="str">
        <f t="shared" si="408"/>
        <v/>
      </c>
      <c r="HX73" s="63" t="str">
        <f t="shared" si="408"/>
        <v/>
      </c>
      <c r="HY73" s="62" t="str">
        <f t="shared" si="408"/>
        <v/>
      </c>
      <c r="HZ73" s="62" t="str">
        <f t="shared" si="408"/>
        <v/>
      </c>
      <c r="IA73" s="62" t="str">
        <f t="shared" si="408"/>
        <v/>
      </c>
      <c r="IB73" s="62" t="str">
        <f t="shared" si="408"/>
        <v/>
      </c>
      <c r="IC73" s="62" t="str">
        <f t="shared" si="408"/>
        <v/>
      </c>
      <c r="ID73" s="62" t="str">
        <f t="shared" si="408"/>
        <v/>
      </c>
      <c r="IE73" s="63" t="str">
        <f t="shared" si="408"/>
        <v/>
      </c>
      <c r="IF73" s="62" t="str">
        <f t="shared" si="408"/>
        <v/>
      </c>
      <c r="IG73" s="62" t="str">
        <f t="shared" si="408"/>
        <v/>
      </c>
      <c r="IH73" s="62" t="str">
        <f t="shared" si="408"/>
        <v/>
      </c>
      <c r="II73" s="62" t="str">
        <f t="shared" si="408"/>
        <v/>
      </c>
      <c r="IJ73" s="62" t="str">
        <f t="shared" si="408"/>
        <v/>
      </c>
      <c r="IK73" s="62" t="str">
        <f t="shared" si="408"/>
        <v/>
      </c>
      <c r="IL73" s="63" t="str">
        <f t="shared" si="408"/>
        <v/>
      </c>
      <c r="IM73" s="62" t="str">
        <f t="shared" si="408"/>
        <v/>
      </c>
      <c r="IN73" s="62" t="str">
        <f t="shared" si="408"/>
        <v/>
      </c>
      <c r="IO73" s="62" t="str">
        <f t="shared" si="408"/>
        <v/>
      </c>
      <c r="IP73" s="62" t="str">
        <f t="shared" si="408"/>
        <v/>
      </c>
      <c r="IQ73" s="62" t="str">
        <f t="shared" si="408"/>
        <v/>
      </c>
      <c r="IR73" s="62" t="str">
        <f t="shared" si="408"/>
        <v/>
      </c>
      <c r="IS73" s="63" t="str">
        <f t="shared" si="408"/>
        <v/>
      </c>
      <c r="IT73" s="62" t="str">
        <f t="shared" si="408"/>
        <v/>
      </c>
      <c r="IU73" s="62" t="str">
        <f t="shared" si="408"/>
        <v/>
      </c>
      <c r="IV73" s="62" t="str">
        <f t="shared" si="408"/>
        <v/>
      </c>
      <c r="IW73" s="62" t="str">
        <f t="shared" si="408"/>
        <v/>
      </c>
      <c r="IX73" s="62" t="str">
        <f t="shared" si="408"/>
        <v/>
      </c>
      <c r="IY73" s="62" t="str">
        <f t="shared" ref="IY73:LJ73" si="409">IF(SUM(IY66:IY71) &gt; 0, SUM(IY66:IY71), "")</f>
        <v/>
      </c>
      <c r="IZ73" s="63" t="str">
        <f t="shared" si="409"/>
        <v/>
      </c>
      <c r="JA73" s="62" t="str">
        <f t="shared" si="409"/>
        <v/>
      </c>
      <c r="JB73" s="62" t="str">
        <f t="shared" si="409"/>
        <v/>
      </c>
      <c r="JC73" s="62" t="str">
        <f t="shared" si="409"/>
        <v/>
      </c>
      <c r="JD73" s="62" t="str">
        <f t="shared" si="409"/>
        <v/>
      </c>
      <c r="JE73" s="62" t="str">
        <f t="shared" si="409"/>
        <v/>
      </c>
      <c r="JF73" s="62" t="str">
        <f t="shared" si="409"/>
        <v/>
      </c>
      <c r="JG73" s="63" t="str">
        <f t="shared" si="409"/>
        <v/>
      </c>
      <c r="JH73" s="62" t="str">
        <f t="shared" si="409"/>
        <v/>
      </c>
      <c r="JI73" s="62" t="str">
        <f t="shared" si="409"/>
        <v/>
      </c>
      <c r="JJ73" s="62" t="str">
        <f t="shared" si="409"/>
        <v/>
      </c>
      <c r="JK73" s="62" t="str">
        <f t="shared" si="409"/>
        <v/>
      </c>
      <c r="JL73" s="62" t="str">
        <f t="shared" si="409"/>
        <v/>
      </c>
      <c r="JM73" s="62" t="str">
        <f t="shared" si="409"/>
        <v/>
      </c>
      <c r="JN73" s="63" t="str">
        <f t="shared" si="409"/>
        <v/>
      </c>
      <c r="JO73" s="62" t="str">
        <f t="shared" si="409"/>
        <v/>
      </c>
      <c r="JP73" s="62" t="str">
        <f t="shared" si="409"/>
        <v/>
      </c>
      <c r="JQ73" s="62" t="str">
        <f t="shared" si="409"/>
        <v/>
      </c>
      <c r="JR73" s="62" t="str">
        <f t="shared" si="409"/>
        <v/>
      </c>
      <c r="JS73" s="62" t="str">
        <f t="shared" si="409"/>
        <v/>
      </c>
      <c r="JT73" s="62" t="str">
        <f t="shared" si="409"/>
        <v/>
      </c>
      <c r="JU73" s="63" t="str">
        <f t="shared" si="409"/>
        <v/>
      </c>
      <c r="JV73" s="62" t="str">
        <f t="shared" si="409"/>
        <v/>
      </c>
      <c r="JW73" s="62" t="str">
        <f t="shared" si="409"/>
        <v/>
      </c>
      <c r="JX73" s="62" t="str">
        <f t="shared" si="409"/>
        <v/>
      </c>
      <c r="JY73" s="62" t="str">
        <f t="shared" si="409"/>
        <v/>
      </c>
      <c r="JZ73" s="62" t="str">
        <f t="shared" si="409"/>
        <v/>
      </c>
      <c r="KA73" s="62" t="str">
        <f t="shared" si="409"/>
        <v/>
      </c>
      <c r="KB73" s="63" t="str">
        <f t="shared" si="409"/>
        <v/>
      </c>
      <c r="KC73" s="62" t="str">
        <f t="shared" si="409"/>
        <v/>
      </c>
      <c r="KD73" s="62" t="str">
        <f t="shared" si="409"/>
        <v/>
      </c>
      <c r="KE73" s="62" t="str">
        <f t="shared" si="409"/>
        <v/>
      </c>
      <c r="KF73" s="62" t="str">
        <f t="shared" si="409"/>
        <v/>
      </c>
      <c r="KG73" s="62" t="str">
        <f t="shared" si="409"/>
        <v/>
      </c>
      <c r="KH73" s="62" t="str">
        <f t="shared" si="409"/>
        <v/>
      </c>
      <c r="KI73" s="63" t="str">
        <f t="shared" si="409"/>
        <v/>
      </c>
      <c r="KJ73" s="62" t="str">
        <f t="shared" si="409"/>
        <v/>
      </c>
      <c r="KK73" s="62" t="str">
        <f t="shared" si="409"/>
        <v/>
      </c>
      <c r="KL73" s="62" t="str">
        <f t="shared" si="409"/>
        <v/>
      </c>
      <c r="KM73" s="62" t="str">
        <f t="shared" si="409"/>
        <v/>
      </c>
      <c r="KN73" s="62" t="str">
        <f t="shared" si="409"/>
        <v/>
      </c>
      <c r="KO73" s="62" t="str">
        <f t="shared" si="409"/>
        <v/>
      </c>
      <c r="KP73" s="63" t="str">
        <f t="shared" si="409"/>
        <v/>
      </c>
      <c r="KQ73" s="62" t="str">
        <f t="shared" si="409"/>
        <v/>
      </c>
      <c r="KR73" s="62" t="str">
        <f t="shared" si="409"/>
        <v/>
      </c>
      <c r="KS73" s="62" t="str">
        <f t="shared" si="409"/>
        <v/>
      </c>
      <c r="KT73" s="62" t="str">
        <f t="shared" si="409"/>
        <v/>
      </c>
      <c r="KU73" s="62" t="str">
        <f t="shared" si="409"/>
        <v/>
      </c>
      <c r="KV73" s="62" t="str">
        <f t="shared" si="409"/>
        <v/>
      </c>
      <c r="KW73" s="63" t="str">
        <f t="shared" si="409"/>
        <v/>
      </c>
      <c r="KX73" s="62" t="str">
        <f t="shared" si="409"/>
        <v/>
      </c>
      <c r="KY73" s="62" t="str">
        <f t="shared" si="409"/>
        <v/>
      </c>
      <c r="KZ73" s="62" t="str">
        <f t="shared" si="409"/>
        <v/>
      </c>
      <c r="LA73" s="62" t="str">
        <f t="shared" si="409"/>
        <v/>
      </c>
      <c r="LB73" s="62" t="str">
        <f t="shared" si="409"/>
        <v/>
      </c>
      <c r="LC73" s="62" t="str">
        <f t="shared" si="409"/>
        <v/>
      </c>
      <c r="LD73" s="63" t="str">
        <f t="shared" si="409"/>
        <v/>
      </c>
      <c r="LE73" s="62" t="str">
        <f t="shared" si="409"/>
        <v/>
      </c>
      <c r="LF73" s="62" t="str">
        <f t="shared" si="409"/>
        <v/>
      </c>
      <c r="LG73" s="62" t="str">
        <f t="shared" si="409"/>
        <v/>
      </c>
      <c r="LH73" s="62" t="str">
        <f t="shared" si="409"/>
        <v/>
      </c>
      <c r="LI73" s="62" t="str">
        <f t="shared" si="409"/>
        <v/>
      </c>
      <c r="LJ73" s="62" t="str">
        <f t="shared" si="409"/>
        <v/>
      </c>
      <c r="LK73" s="63" t="str">
        <f t="shared" ref="LK73:MF73" si="410">IF(SUM(LK66:LK71) &gt; 0, SUM(LK66:LK71), "")</f>
        <v/>
      </c>
      <c r="LL73" s="62" t="str">
        <f t="shared" si="410"/>
        <v/>
      </c>
      <c r="LM73" s="62" t="str">
        <f t="shared" si="410"/>
        <v/>
      </c>
      <c r="LN73" s="62" t="str">
        <f t="shared" si="410"/>
        <v/>
      </c>
      <c r="LO73" s="62" t="str">
        <f t="shared" si="410"/>
        <v/>
      </c>
      <c r="LP73" s="62" t="str">
        <f t="shared" si="410"/>
        <v/>
      </c>
      <c r="LQ73" s="62" t="str">
        <f t="shared" si="410"/>
        <v/>
      </c>
      <c r="LR73" s="63" t="str">
        <f t="shared" si="410"/>
        <v/>
      </c>
      <c r="LS73" s="62" t="str">
        <f t="shared" si="410"/>
        <v/>
      </c>
      <c r="LT73" s="62" t="str">
        <f t="shared" si="410"/>
        <v/>
      </c>
      <c r="LU73" s="62" t="str">
        <f t="shared" si="410"/>
        <v/>
      </c>
      <c r="LV73" s="62" t="str">
        <f t="shared" si="410"/>
        <v/>
      </c>
      <c r="LW73" s="62" t="str">
        <f t="shared" si="410"/>
        <v/>
      </c>
      <c r="LX73" s="62" t="str">
        <f t="shared" si="410"/>
        <v/>
      </c>
      <c r="LY73" s="63" t="str">
        <f t="shared" si="410"/>
        <v/>
      </c>
      <c r="LZ73" s="62" t="str">
        <f t="shared" si="410"/>
        <v/>
      </c>
      <c r="MA73" s="62" t="str">
        <f t="shared" si="410"/>
        <v/>
      </c>
      <c r="MB73" s="62" t="str">
        <f t="shared" si="410"/>
        <v/>
      </c>
      <c r="MC73" s="62" t="str">
        <f t="shared" si="410"/>
        <v/>
      </c>
      <c r="MD73" s="62" t="str">
        <f t="shared" si="410"/>
        <v/>
      </c>
      <c r="ME73" s="62" t="str">
        <f t="shared" si="410"/>
        <v/>
      </c>
      <c r="MF73" s="87" t="str">
        <f t="shared" si="410"/>
        <v/>
      </c>
    </row>
    <row r="74" spans="1:344" ht="15.75" thickBot="1" x14ac:dyDescent="0.3">
      <c r="A74" s="64" t="s">
        <v>250</v>
      </c>
      <c r="B74" s="62"/>
      <c r="C74" s="62"/>
      <c r="D74" s="62"/>
      <c r="E74" s="63"/>
      <c r="F74" s="62"/>
      <c r="G74" s="62"/>
      <c r="H74" s="62"/>
      <c r="I74" s="62"/>
      <c r="J74" s="62"/>
      <c r="K74" s="62"/>
      <c r="L74" s="62"/>
      <c r="M74" s="62"/>
      <c r="N74" s="62"/>
      <c r="O74" s="63"/>
      <c r="P74" s="62"/>
      <c r="Q74" s="62"/>
      <c r="R74" s="63"/>
      <c r="S74" s="62" t="str">
        <f>IF(SUM(S61, S73) &gt; 0, SUM(S61, S73), "")</f>
        <v/>
      </c>
      <c r="T74" s="65" t="str">
        <f t="shared" ref="T74:Z74" si="411">IF(SUM(T61, T73) &gt; 0, SUM(T61, T73), "")</f>
        <v/>
      </c>
      <c r="U74" s="62" t="str">
        <f t="shared" si="411"/>
        <v/>
      </c>
      <c r="V74" s="62" t="str">
        <f t="shared" si="411"/>
        <v/>
      </c>
      <c r="W74" s="62" t="str">
        <f t="shared" si="411"/>
        <v/>
      </c>
      <c r="X74" s="62" t="str">
        <f t="shared" si="411"/>
        <v/>
      </c>
      <c r="Y74" s="62" t="str">
        <f t="shared" si="411"/>
        <v/>
      </c>
      <c r="Z74" s="63" t="str">
        <f t="shared" si="411"/>
        <v/>
      </c>
      <c r="AA74" s="65" t="str">
        <f t="shared" ref="AA74" si="412">IF(SUM(AA61, AA73) &gt; 0, SUM(AA61, AA73), "")</f>
        <v/>
      </c>
      <c r="AB74" s="62" t="str">
        <f t="shared" ref="AB74" si="413">IF(SUM(AB61, AB73) &gt; 0, SUM(AB61, AB73), "")</f>
        <v/>
      </c>
      <c r="AC74" s="62" t="str">
        <f t="shared" ref="AC74" si="414">IF(SUM(AC61, AC73) &gt; 0, SUM(AC61, AC73), "")</f>
        <v/>
      </c>
      <c r="AD74" s="62" t="str">
        <f t="shared" ref="AD74" si="415">IF(SUM(AD61, AD73) &gt; 0, SUM(AD61, AD73), "")</f>
        <v/>
      </c>
      <c r="AE74" s="62" t="str">
        <f t="shared" ref="AE74" si="416">IF(SUM(AE61, AE73) &gt; 0, SUM(AE61, AE73), "")</f>
        <v/>
      </c>
      <c r="AF74" s="62" t="str">
        <f t="shared" ref="AF74" si="417">IF(SUM(AF61, AF73) &gt; 0, SUM(AF61, AF73), "")</f>
        <v/>
      </c>
      <c r="AG74" s="63" t="str">
        <f t="shared" ref="AG74" si="418">IF(SUM(AG61, AG73) &gt; 0, SUM(AG61, AG73), "")</f>
        <v/>
      </c>
      <c r="AH74" s="65" t="str">
        <f t="shared" ref="AH74" si="419">IF(SUM(AH61, AH73) &gt; 0, SUM(AH61, AH73), "")</f>
        <v/>
      </c>
      <c r="AI74" s="62">
        <f t="shared" ref="AI74" si="420">IF(SUM(AI61, AI73) &gt; 0, SUM(AI61, AI73), "")</f>
        <v>11</v>
      </c>
      <c r="AJ74" s="62" t="str">
        <f t="shared" ref="AJ74" si="421">IF(SUM(AJ61, AJ73) &gt; 0, SUM(AJ61, AJ73), "")</f>
        <v/>
      </c>
      <c r="AK74" s="62">
        <f t="shared" ref="AK74" si="422">IF(SUM(AK61, AK73) &gt; 0, SUM(AK61, AK73), "")</f>
        <v>10</v>
      </c>
      <c r="AL74" s="62" t="str">
        <f t="shared" ref="AL74" si="423">IF(SUM(AL61, AL73) &gt; 0, SUM(AL61, AL73), "")</f>
        <v/>
      </c>
      <c r="AM74" s="62" t="str">
        <f t="shared" ref="AM74" si="424">IF(SUM(AM61, AM73) &gt; 0, SUM(AM61, AM73), "")</f>
        <v/>
      </c>
      <c r="AN74" s="63" t="str">
        <f t="shared" ref="AN74" si="425">IF(SUM(AN61, AN73) &gt; 0, SUM(AN61, AN73), "")</f>
        <v/>
      </c>
      <c r="AO74" s="65" t="str">
        <f t="shared" ref="AO74" si="426">IF(SUM(AO61, AO73) &gt; 0, SUM(AO61, AO73), "")</f>
        <v/>
      </c>
      <c r="AP74" s="62">
        <f t="shared" ref="AP74" si="427">IF(SUM(AP61, AP73) &gt; 0, SUM(AP61, AP73), "")</f>
        <v>11</v>
      </c>
      <c r="AQ74" s="62" t="str">
        <f t="shared" ref="AQ74" si="428">IF(SUM(AQ61, AQ73) &gt; 0, SUM(AQ61, AQ73), "")</f>
        <v/>
      </c>
      <c r="AR74" s="62">
        <f t="shared" ref="AR74" si="429">IF(SUM(AR61, AR73) &gt; 0, SUM(AR61, AR73), "")</f>
        <v>10</v>
      </c>
      <c r="AS74" s="62" t="str">
        <f t="shared" ref="AS74" si="430">IF(SUM(AS61, AS73) &gt; 0, SUM(AS61, AS73), "")</f>
        <v/>
      </c>
      <c r="AT74" s="62" t="str">
        <f t="shared" ref="AT74" si="431">IF(SUM(AT61, AT73) &gt; 0, SUM(AT61, AT73), "")</f>
        <v/>
      </c>
      <c r="AU74" s="63" t="str">
        <f t="shared" ref="AU74" si="432">IF(SUM(AU61, AU73) &gt; 0, SUM(AU61, AU73), "")</f>
        <v/>
      </c>
      <c r="AV74" s="65" t="str">
        <f t="shared" ref="AV74" si="433">IF(SUM(AV61, AV73) &gt; 0, SUM(AV61, AV73), "")</f>
        <v/>
      </c>
      <c r="AW74" s="62">
        <f t="shared" ref="AW74" si="434">IF(SUM(AW61, AW73) &gt; 0, SUM(AW61, AW73), "")</f>
        <v>11</v>
      </c>
      <c r="AX74" s="62">
        <f t="shared" ref="AX74" si="435">IF(SUM(AX61, AX73) &gt; 0, SUM(AX61, AX73), "")</f>
        <v>6</v>
      </c>
      <c r="AY74" s="62">
        <f t="shared" ref="AY74" si="436">IF(SUM(AY61, AY73) &gt; 0, SUM(AY61, AY73), "")</f>
        <v>8</v>
      </c>
      <c r="AZ74" s="62" t="str">
        <f t="shared" ref="AZ74" si="437">IF(SUM(AZ61, AZ73) &gt; 0, SUM(AZ61, AZ73), "")</f>
        <v/>
      </c>
      <c r="BA74" s="62" t="str">
        <f t="shared" ref="BA74" si="438">IF(SUM(BA61, BA73) &gt; 0, SUM(BA61, BA73), "")</f>
        <v/>
      </c>
      <c r="BB74" s="63" t="str">
        <f t="shared" ref="BB74" si="439">IF(SUM(BB61, BB73) &gt; 0, SUM(BB61, BB73), "")</f>
        <v/>
      </c>
      <c r="BC74" s="65" t="str">
        <f t="shared" ref="BC74" si="440">IF(SUM(BC61, BC73) &gt; 0, SUM(BC61, BC73), "")</f>
        <v/>
      </c>
      <c r="BD74" s="62">
        <f t="shared" ref="BD74" si="441">IF(SUM(BD61, BD73) &gt; 0, SUM(BD61, BD73), "")</f>
        <v>11</v>
      </c>
      <c r="BE74" s="62" t="str">
        <f t="shared" ref="BE74" si="442">IF(SUM(BE61, BE73) &gt; 0, SUM(BE61, BE73), "")</f>
        <v/>
      </c>
      <c r="BF74" s="62">
        <f t="shared" ref="BF74" si="443">IF(SUM(BF61, BF73) &gt; 0, SUM(BF61, BF73), "")</f>
        <v>8</v>
      </c>
      <c r="BG74" s="62" t="str">
        <f t="shared" ref="BG74" si="444">IF(SUM(BG61, BG73) &gt; 0, SUM(BG61, BG73), "")</f>
        <v/>
      </c>
      <c r="BH74" s="62" t="str">
        <f t="shared" ref="BH74" si="445">IF(SUM(BH61, BH73) &gt; 0, SUM(BH61, BH73), "")</f>
        <v/>
      </c>
      <c r="BI74" s="63" t="str">
        <f t="shared" ref="BI74" si="446">IF(SUM(BI61, BI73) &gt; 0, SUM(BI61, BI73), "")</f>
        <v/>
      </c>
      <c r="BJ74" s="65" t="str">
        <f t="shared" ref="BJ74" si="447">IF(SUM(BJ61, BJ73) &gt; 0, SUM(BJ61, BJ73), "")</f>
        <v/>
      </c>
      <c r="BK74" s="62">
        <f t="shared" ref="BK74" si="448">IF(SUM(BK61, BK73) &gt; 0, SUM(BK61, BK73), "")</f>
        <v>9</v>
      </c>
      <c r="BL74" s="62" t="str">
        <f t="shared" ref="BL74" si="449">IF(SUM(BL61, BL73) &gt; 0, SUM(BL61, BL73), "")</f>
        <v/>
      </c>
      <c r="BM74" s="62">
        <f t="shared" ref="BM74" si="450">IF(SUM(BM61, BM73) &gt; 0, SUM(BM61, BM73), "")</f>
        <v>13</v>
      </c>
      <c r="BN74" s="62">
        <f t="shared" ref="BN74" si="451">IF(SUM(BN61, BN73) &gt; 0, SUM(BN61, BN73), "")</f>
        <v>12</v>
      </c>
      <c r="BO74" s="62" t="str">
        <f t="shared" ref="BO74:BP74" si="452">IF(SUM(BO61, BO73) &gt; 0, SUM(BO61, BO73), "")</f>
        <v/>
      </c>
      <c r="BP74" s="63">
        <f t="shared" si="452"/>
        <v>5</v>
      </c>
      <c r="BQ74" s="62" t="str">
        <f t="shared" ref="BQ74" si="453">IF(SUM(BQ61, BQ73) &gt; 0, SUM(BQ61, BQ73), "")</f>
        <v/>
      </c>
      <c r="BR74" s="62" t="str">
        <f t="shared" ref="BR74" si="454">IF(SUM(BR61, BR73) &gt; 0, SUM(BR61, BR73), "")</f>
        <v/>
      </c>
      <c r="BS74" s="62" t="str">
        <f t="shared" ref="BS74" si="455">IF(SUM(BS61, BS73) &gt; 0, SUM(BS61, BS73), "")</f>
        <v/>
      </c>
      <c r="BT74" s="62" t="str">
        <f t="shared" ref="BT74" si="456">IF(SUM(BT61, BT73) &gt; 0, SUM(BT61, BT73), "")</f>
        <v/>
      </c>
      <c r="BU74" s="62" t="str">
        <f t="shared" ref="BU74" si="457">IF(SUM(BU61, BU73) &gt; 0, SUM(BU61, BU73), "")</f>
        <v/>
      </c>
      <c r="BV74" s="62" t="str">
        <f t="shared" ref="BV74:BW74" si="458">IF(SUM(BV61, BV73) &gt; 0, SUM(BV61, BV73), "")</f>
        <v/>
      </c>
      <c r="BW74" s="62">
        <f t="shared" si="458"/>
        <v>2</v>
      </c>
      <c r="BX74" s="62"/>
      <c r="BY74" s="63" t="str">
        <f t="shared" ref="BY74" si="459">IF(SUM(BY61, BY73) &gt; 0, SUM(BY61, BY73), "")</f>
        <v/>
      </c>
      <c r="BZ74" s="65" t="str">
        <f t="shared" ref="BZ74" si="460">IF(SUM(BZ61, BZ73) &gt; 0, SUM(BZ61, BZ73), "")</f>
        <v/>
      </c>
      <c r="CA74" s="62" t="str">
        <f t="shared" ref="CA74" si="461">IF(SUM(CA61, CA73) &gt; 0, SUM(CA61, CA73), "")</f>
        <v/>
      </c>
      <c r="CB74" s="62" t="str">
        <f t="shared" ref="CB74" si="462">IF(SUM(CB61, CB73) &gt; 0, SUM(CB61, CB73), "")</f>
        <v/>
      </c>
      <c r="CC74" s="62" t="str">
        <f t="shared" ref="CC74" si="463">IF(SUM(CC61, CC73) &gt; 0, SUM(CC61, CC73), "")</f>
        <v/>
      </c>
      <c r="CD74" s="62" t="str">
        <f t="shared" ref="CD74" si="464">IF(SUM(CD61, CD73) &gt; 0, SUM(CD61, CD73), "")</f>
        <v/>
      </c>
      <c r="CE74" s="62" t="str">
        <f t="shared" ref="CE74" si="465">IF(SUM(CE61, CE73) &gt; 0, SUM(CE61, CE73), "")</f>
        <v/>
      </c>
      <c r="CF74" s="62"/>
      <c r="CG74" s="62"/>
      <c r="CH74" s="63" t="str">
        <f t="shared" ref="CH74" si="466">IF(SUM(CH61, CH73) &gt; 0, SUM(CH61, CH73), "")</f>
        <v/>
      </c>
      <c r="CI74" s="65" t="str">
        <f t="shared" ref="CI74" si="467">IF(SUM(CI61, CI73) &gt; 0, SUM(CI61, CI73), "")</f>
        <v/>
      </c>
      <c r="CJ74" s="62" t="str">
        <f t="shared" ref="CJ74" si="468">IF(SUM(CJ61, CJ73) &gt; 0, SUM(CJ61, CJ73), "")</f>
        <v/>
      </c>
      <c r="CK74" s="62" t="str">
        <f t="shared" ref="CK74" si="469">IF(SUM(CK61, CK73) &gt; 0, SUM(CK61, CK73), "")</f>
        <v/>
      </c>
      <c r="CL74" s="62" t="str">
        <f t="shared" ref="CL74" si="470">IF(SUM(CL61, CL73) &gt; 0, SUM(CL61, CL73), "")</f>
        <v/>
      </c>
      <c r="CM74" s="62" t="str">
        <f t="shared" ref="CM74" si="471">IF(SUM(CM61, CM73) &gt; 0, SUM(CM61, CM73), "")</f>
        <v/>
      </c>
      <c r="CN74" s="62" t="str">
        <f t="shared" ref="CN74:CO74" si="472">IF(SUM(CN61, CN73) &gt; 0, SUM(CN61, CN73), "")</f>
        <v/>
      </c>
      <c r="CO74" s="62" t="str">
        <f t="shared" si="472"/>
        <v/>
      </c>
      <c r="CP74" s="62"/>
      <c r="CQ74" s="63" t="str">
        <f t="shared" ref="CQ74" si="473">IF(SUM(CQ61, CQ73) &gt; 0, SUM(CQ61, CQ73), "")</f>
        <v/>
      </c>
      <c r="CR74" s="65" t="str">
        <f t="shared" ref="CR74" si="474">IF(SUM(CR61, CR73) &gt; 0, SUM(CR61, CR73), "")</f>
        <v/>
      </c>
      <c r="CS74" s="62" t="str">
        <f t="shared" ref="CS74" si="475">IF(SUM(CS61, CS73) &gt; 0, SUM(CS61, CS73), "")</f>
        <v/>
      </c>
      <c r="CT74" s="62" t="str">
        <f t="shared" ref="CT74" si="476">IF(SUM(CT61, CT73) &gt; 0, SUM(CT61, CT73), "")</f>
        <v/>
      </c>
      <c r="CU74" s="62" t="str">
        <f t="shared" ref="CU74" si="477">IF(SUM(CU61, CU73) &gt; 0, SUM(CU61, CU73), "")</f>
        <v/>
      </c>
      <c r="CV74" s="62" t="str">
        <f t="shared" ref="CV74" si="478">IF(SUM(CV61, CV73) &gt; 0, SUM(CV61, CV73), "")</f>
        <v/>
      </c>
      <c r="CW74" s="62"/>
      <c r="CX74" s="62"/>
      <c r="CY74" s="62" t="str">
        <f t="shared" ref="CY74" si="479">IF(SUM(CY61, CY73) &gt; 0, SUM(CY61, CY73), "")</f>
        <v/>
      </c>
      <c r="CZ74" s="63" t="str">
        <f t="shared" ref="CZ74" si="480">IF(SUM(CZ61, CZ73) &gt; 0, SUM(CZ61, CZ73), "")</f>
        <v/>
      </c>
      <c r="DA74" s="65" t="str">
        <f t="shared" ref="DA74" si="481">IF(SUM(DA61, DA73) &gt; 0, SUM(DA61, DA73), "")</f>
        <v/>
      </c>
      <c r="DB74" s="62" t="str">
        <f t="shared" ref="DB74" si="482">IF(SUM(DB61, DB73) &gt; 0, SUM(DB61, DB73), "")</f>
        <v/>
      </c>
      <c r="DC74" s="62" t="str">
        <f t="shared" ref="DC74" si="483">IF(SUM(DC61, DC73) &gt; 0, SUM(DC61, DC73), "")</f>
        <v/>
      </c>
      <c r="DD74" s="62" t="str">
        <f t="shared" ref="DD74" si="484">IF(SUM(DD61, DD73) &gt; 0, SUM(DD61, DD73), "")</f>
        <v/>
      </c>
      <c r="DE74" s="62" t="str">
        <f t="shared" ref="DE74" si="485">IF(SUM(DE61, DE73) &gt; 0, SUM(DE61, DE73), "")</f>
        <v/>
      </c>
      <c r="DF74" s="62" t="str">
        <f t="shared" ref="DF74" si="486">IF(SUM(DF61, DF73) &gt; 0, SUM(DF61, DF73), "")</f>
        <v/>
      </c>
      <c r="DG74" s="62"/>
      <c r="DH74" s="62"/>
      <c r="DI74" s="63" t="str">
        <f t="shared" ref="DI74" si="487">IF(SUM(DI61, DI73) &gt; 0, SUM(DI61, DI73), "")</f>
        <v/>
      </c>
      <c r="DJ74" s="65" t="str">
        <f t="shared" ref="DJ74" si="488">IF(SUM(DJ61, DJ73) &gt; 0, SUM(DJ61, DJ73), "")</f>
        <v/>
      </c>
      <c r="DK74" s="62" t="str">
        <f t="shared" ref="DK74" si="489">IF(SUM(DK61, DK73) &gt; 0, SUM(DK61, DK73), "")</f>
        <v/>
      </c>
      <c r="DL74" s="62" t="str">
        <f t="shared" ref="DL74" si="490">IF(SUM(DL61, DL73) &gt; 0, SUM(DL61, DL73), "")</f>
        <v/>
      </c>
      <c r="DM74" s="62" t="str">
        <f t="shared" ref="DM74" si="491">IF(SUM(DM61, DM73) &gt; 0, SUM(DM61, DM73), "")</f>
        <v/>
      </c>
      <c r="DN74" s="62" t="str">
        <f t="shared" ref="DN74" si="492">IF(SUM(DN61, DN73) &gt; 0, SUM(DN61, DN73), "")</f>
        <v/>
      </c>
      <c r="DO74" s="62" t="str">
        <f t="shared" ref="DO74" si="493">IF(SUM(DO61, DO73) &gt; 0, SUM(DO61, DO73), "")</f>
        <v/>
      </c>
      <c r="DP74" s="63" t="str">
        <f t="shared" ref="DP74" si="494">IF(SUM(DP61, DP73) &gt; 0, SUM(DP61, DP73), "")</f>
        <v/>
      </c>
      <c r="DQ74" s="65" t="str">
        <f t="shared" ref="DQ74" si="495">IF(SUM(DQ61, DQ73) &gt; 0, SUM(DQ61, DQ73), "")</f>
        <v/>
      </c>
      <c r="DR74" s="62" t="str">
        <f t="shared" ref="DR74" si="496">IF(SUM(DR61, DR73) &gt; 0, SUM(DR61, DR73), "")</f>
        <v/>
      </c>
      <c r="DS74" s="62" t="str">
        <f t="shared" ref="DS74" si="497">IF(SUM(DS61, DS73) &gt; 0, SUM(DS61, DS73), "")</f>
        <v/>
      </c>
      <c r="DT74" s="62" t="str">
        <f t="shared" ref="DT74" si="498">IF(SUM(DT61, DT73) &gt; 0, SUM(DT61, DT73), "")</f>
        <v/>
      </c>
      <c r="DU74" s="62" t="str">
        <f t="shared" ref="DU74" si="499">IF(SUM(DU61, DU73) &gt; 0, SUM(DU61, DU73), "")</f>
        <v/>
      </c>
      <c r="DV74" s="62" t="str">
        <f t="shared" ref="DV74" si="500">IF(SUM(DV61, DV73) &gt; 0, SUM(DV61, DV73), "")</f>
        <v/>
      </c>
      <c r="DW74" s="63" t="str">
        <f t="shared" ref="DW74" si="501">IF(SUM(DW61, DW73) &gt; 0, SUM(DW61, DW73), "")</f>
        <v/>
      </c>
      <c r="DX74" s="65" t="str">
        <f t="shared" ref="DX74" si="502">IF(SUM(DX61, DX73) &gt; 0, SUM(DX61, DX73), "")</f>
        <v/>
      </c>
      <c r="DY74" s="62" t="str">
        <f t="shared" ref="DY74" si="503">IF(SUM(DY61, DY73) &gt; 0, SUM(DY61, DY73), "")</f>
        <v/>
      </c>
      <c r="DZ74" s="62" t="str">
        <f t="shared" ref="DZ74" si="504">IF(SUM(DZ61, DZ73) &gt; 0, SUM(DZ61, DZ73), "")</f>
        <v/>
      </c>
      <c r="EA74" s="62" t="str">
        <f t="shared" ref="EA74" si="505">IF(SUM(EA61, EA73) &gt; 0, SUM(EA61, EA73), "")</f>
        <v/>
      </c>
      <c r="EB74" s="62" t="str">
        <f t="shared" ref="EB74" si="506">IF(SUM(EB61, EB73) &gt; 0, SUM(EB61, EB73), "")</f>
        <v/>
      </c>
      <c r="EC74" s="62" t="str">
        <f t="shared" ref="EC74" si="507">IF(SUM(EC61, EC73) &gt; 0, SUM(EC61, EC73), "")</f>
        <v/>
      </c>
      <c r="ED74" s="63" t="str">
        <f t="shared" ref="ED74" si="508">IF(SUM(ED61, ED73) &gt; 0, SUM(ED61, ED73), "")</f>
        <v/>
      </c>
      <c r="EE74" s="65" t="str">
        <f t="shared" ref="EE74" si="509">IF(SUM(EE61, EE73) &gt; 0, SUM(EE61, EE73), "")</f>
        <v/>
      </c>
      <c r="EF74" s="62" t="str">
        <f t="shared" ref="EF74" si="510">IF(SUM(EF61, EF73) &gt; 0, SUM(EF61, EF73), "")</f>
        <v/>
      </c>
      <c r="EG74" s="62" t="str">
        <f t="shared" ref="EG74" si="511">IF(SUM(EG61, EG73) &gt; 0, SUM(EG61, EG73), "")</f>
        <v/>
      </c>
      <c r="EH74" s="62" t="str">
        <f t="shared" ref="EH74" si="512">IF(SUM(EH61, EH73) &gt; 0, SUM(EH61, EH73), "")</f>
        <v/>
      </c>
      <c r="EI74" s="62" t="str">
        <f t="shared" ref="EI74" si="513">IF(SUM(EI61, EI73) &gt; 0, SUM(EI61, EI73), "")</f>
        <v/>
      </c>
      <c r="EJ74" s="62" t="str">
        <f t="shared" ref="EJ74" si="514">IF(SUM(EJ61, EJ73) &gt; 0, SUM(EJ61, EJ73), "")</f>
        <v/>
      </c>
      <c r="EK74" s="63" t="str">
        <f t="shared" ref="EK74" si="515">IF(SUM(EK61, EK73) &gt; 0, SUM(EK61, EK73), "")</f>
        <v/>
      </c>
      <c r="EL74" s="65" t="str">
        <f t="shared" ref="EL74" si="516">IF(SUM(EL61, EL73) &gt; 0, SUM(EL61, EL73), "")</f>
        <v/>
      </c>
      <c r="EM74" s="62" t="str">
        <f t="shared" ref="EM74" si="517">IF(SUM(EM61, EM73) &gt; 0, SUM(EM61, EM73), "")</f>
        <v/>
      </c>
      <c r="EN74" s="62" t="str">
        <f t="shared" ref="EN74" si="518">IF(SUM(EN61, EN73) &gt; 0, SUM(EN61, EN73), "")</f>
        <v/>
      </c>
      <c r="EO74" s="62" t="str">
        <f t="shared" ref="EO74" si="519">IF(SUM(EO61, EO73) &gt; 0, SUM(EO61, EO73), "")</f>
        <v/>
      </c>
      <c r="EP74" s="62" t="str">
        <f t="shared" ref="EP74" si="520">IF(SUM(EP61, EP73) &gt; 0, SUM(EP61, EP73), "")</f>
        <v/>
      </c>
      <c r="EQ74" s="62" t="str">
        <f t="shared" ref="EQ74" si="521">IF(SUM(EQ61, EQ73) &gt; 0, SUM(EQ61, EQ73), "")</f>
        <v/>
      </c>
      <c r="ER74" s="63" t="str">
        <f t="shared" ref="ER74" si="522">IF(SUM(ER61, ER73) &gt; 0, SUM(ER61, ER73), "")</f>
        <v/>
      </c>
      <c r="ES74" s="65" t="str">
        <f t="shared" ref="ES74" si="523">IF(SUM(ES61, ES73) &gt; 0, SUM(ES61, ES73), "")</f>
        <v/>
      </c>
      <c r="ET74" s="62" t="str">
        <f t="shared" ref="ET74" si="524">IF(SUM(ET61, ET73) &gt; 0, SUM(ET61, ET73), "")</f>
        <v/>
      </c>
      <c r="EU74" s="62" t="str">
        <f t="shared" ref="EU74" si="525">IF(SUM(EU61, EU73) &gt; 0, SUM(EU61, EU73), "")</f>
        <v/>
      </c>
      <c r="EV74" s="62" t="str">
        <f t="shared" ref="EV74" si="526">IF(SUM(EV61, EV73) &gt; 0, SUM(EV61, EV73), "")</f>
        <v/>
      </c>
      <c r="EW74" s="62" t="str">
        <f t="shared" ref="EW74" si="527">IF(SUM(EW61, EW73) &gt; 0, SUM(EW61, EW73), "")</f>
        <v/>
      </c>
      <c r="EX74" s="62" t="str">
        <f t="shared" ref="EX74" si="528">IF(SUM(EX61, EX73) &gt; 0, SUM(EX61, EX73), "")</f>
        <v/>
      </c>
      <c r="EY74" s="63" t="str">
        <f t="shared" ref="EY74" si="529">IF(SUM(EY61, EY73) &gt; 0, SUM(EY61, EY73), "")</f>
        <v/>
      </c>
      <c r="EZ74" s="65" t="str">
        <f t="shared" ref="EZ74" si="530">IF(SUM(EZ61, EZ73) &gt; 0, SUM(EZ61, EZ73), "")</f>
        <v/>
      </c>
      <c r="FA74" s="62" t="str">
        <f t="shared" ref="FA74" si="531">IF(SUM(FA61, FA73) &gt; 0, SUM(FA61, FA73), "")</f>
        <v/>
      </c>
      <c r="FB74" s="62" t="str">
        <f t="shared" ref="FB74" si="532">IF(SUM(FB61, FB73) &gt; 0, SUM(FB61, FB73), "")</f>
        <v/>
      </c>
      <c r="FC74" s="62" t="str">
        <f t="shared" ref="FC74" si="533">IF(SUM(FC61, FC73) &gt; 0, SUM(FC61, FC73), "")</f>
        <v/>
      </c>
      <c r="FD74" s="62" t="str">
        <f t="shared" ref="FD74" si="534">IF(SUM(FD61, FD73) &gt; 0, SUM(FD61, FD73), "")</f>
        <v/>
      </c>
      <c r="FE74" s="62" t="str">
        <f t="shared" ref="FE74" si="535">IF(SUM(FE61, FE73) &gt; 0, SUM(FE61, FE73), "")</f>
        <v/>
      </c>
      <c r="FF74" s="63" t="str">
        <f t="shared" ref="FF74" si="536">IF(SUM(FF61, FF73) &gt; 0, SUM(FF61, FF73), "")</f>
        <v/>
      </c>
      <c r="FG74" s="65" t="str">
        <f t="shared" ref="FG74" si="537">IF(SUM(FG61, FG73) &gt; 0, SUM(FG61, FG73), "")</f>
        <v/>
      </c>
      <c r="FH74" s="62" t="str">
        <f t="shared" ref="FH74" si="538">IF(SUM(FH61, FH73) &gt; 0, SUM(FH61, FH73), "")</f>
        <v/>
      </c>
      <c r="FI74" s="62" t="str">
        <f t="shared" ref="FI74" si="539">IF(SUM(FI61, FI73) &gt; 0, SUM(FI61, FI73), "")</f>
        <v/>
      </c>
      <c r="FJ74" s="62" t="str">
        <f t="shared" ref="FJ74" si="540">IF(SUM(FJ61, FJ73) &gt; 0, SUM(FJ61, FJ73), "")</f>
        <v/>
      </c>
      <c r="FK74" s="62" t="str">
        <f t="shared" ref="FK74" si="541">IF(SUM(FK61, FK73) &gt; 0, SUM(FK61, FK73), "")</f>
        <v/>
      </c>
      <c r="FL74" s="62" t="str">
        <f t="shared" ref="FL74" si="542">IF(SUM(FL61, FL73) &gt; 0, SUM(FL61, FL73), "")</f>
        <v/>
      </c>
      <c r="FM74" s="63" t="str">
        <f t="shared" ref="FM74" si="543">IF(SUM(FM61, FM73) &gt; 0, SUM(FM61, FM73), "")</f>
        <v/>
      </c>
      <c r="FN74" s="65" t="str">
        <f t="shared" ref="FN74" si="544">IF(SUM(FN61, FN73) &gt; 0, SUM(FN61, FN73), "")</f>
        <v/>
      </c>
      <c r="FO74" s="62" t="str">
        <f t="shared" ref="FO74" si="545">IF(SUM(FO61, FO73) &gt; 0, SUM(FO61, FO73), "")</f>
        <v/>
      </c>
      <c r="FP74" s="62" t="str">
        <f t="shared" ref="FP74" si="546">IF(SUM(FP61, FP73) &gt; 0, SUM(FP61, FP73), "")</f>
        <v/>
      </c>
      <c r="FQ74" s="62" t="str">
        <f t="shared" ref="FQ74" si="547">IF(SUM(FQ61, FQ73) &gt; 0, SUM(FQ61, FQ73), "")</f>
        <v/>
      </c>
      <c r="FR74" s="62" t="str">
        <f t="shared" ref="FR74" si="548">IF(SUM(FR61, FR73) &gt; 0, SUM(FR61, FR73), "")</f>
        <v/>
      </c>
      <c r="FS74" s="62" t="str">
        <f t="shared" ref="FS74" si="549">IF(SUM(FS61, FS73) &gt; 0, SUM(FS61, FS73), "")</f>
        <v/>
      </c>
      <c r="FT74" s="63" t="str">
        <f t="shared" ref="FT74" si="550">IF(SUM(FT61, FT73) &gt; 0, SUM(FT61, FT73), "")</f>
        <v/>
      </c>
      <c r="FU74" s="65" t="str">
        <f t="shared" ref="FU74" si="551">IF(SUM(FU61, FU73) &gt; 0, SUM(FU61, FU73), "")</f>
        <v/>
      </c>
      <c r="FV74" s="62" t="str">
        <f t="shared" ref="FV74" si="552">IF(SUM(FV61, FV73) &gt; 0, SUM(FV61, FV73), "")</f>
        <v/>
      </c>
      <c r="FW74" s="62" t="str">
        <f t="shared" ref="FW74" si="553">IF(SUM(FW61, FW73) &gt; 0, SUM(FW61, FW73), "")</f>
        <v/>
      </c>
      <c r="FX74" s="62" t="str">
        <f t="shared" ref="FX74" si="554">IF(SUM(FX61, FX73) &gt; 0, SUM(FX61, FX73), "")</f>
        <v/>
      </c>
      <c r="FY74" s="62" t="str">
        <f t="shared" ref="FY74" si="555">IF(SUM(FY61, FY73) &gt; 0, SUM(FY61, FY73), "")</f>
        <v/>
      </c>
      <c r="FZ74" s="62" t="str">
        <f t="shared" ref="FZ74" si="556">IF(SUM(FZ61, FZ73) &gt; 0, SUM(FZ61, FZ73), "")</f>
        <v/>
      </c>
      <c r="GA74" s="63" t="str">
        <f t="shared" ref="GA74" si="557">IF(SUM(GA61, GA73) &gt; 0, SUM(GA61, GA73), "")</f>
        <v/>
      </c>
      <c r="GB74" s="65" t="str">
        <f t="shared" ref="GB74" si="558">IF(SUM(GB61, GB73) &gt; 0, SUM(GB61, GB73), "")</f>
        <v/>
      </c>
      <c r="GC74" s="62" t="str">
        <f t="shared" ref="GC74" si="559">IF(SUM(GC61, GC73) &gt; 0, SUM(GC61, GC73), "")</f>
        <v/>
      </c>
      <c r="GD74" s="62" t="str">
        <f t="shared" ref="GD74" si="560">IF(SUM(GD61, GD73) &gt; 0, SUM(GD61, GD73), "")</f>
        <v/>
      </c>
      <c r="GE74" s="62" t="str">
        <f t="shared" ref="GE74" si="561">IF(SUM(GE61, GE73) &gt; 0, SUM(GE61, GE73), "")</f>
        <v/>
      </c>
      <c r="GF74" s="62" t="str">
        <f t="shared" ref="GF74" si="562">IF(SUM(GF61, GF73) &gt; 0, SUM(GF61, GF73), "")</f>
        <v/>
      </c>
      <c r="GG74" s="62" t="str">
        <f t="shared" ref="GG74" si="563">IF(SUM(GG61, GG73) &gt; 0, SUM(GG61, GG73), "")</f>
        <v/>
      </c>
      <c r="GH74" s="63" t="str">
        <f t="shared" ref="GH74" si="564">IF(SUM(GH61, GH73) &gt; 0, SUM(GH61, GH73), "")</f>
        <v/>
      </c>
      <c r="GI74" s="65" t="str">
        <f t="shared" ref="GI74" si="565">IF(SUM(GI61, GI73) &gt; 0, SUM(GI61, GI73), "")</f>
        <v/>
      </c>
      <c r="GJ74" s="62" t="str">
        <f t="shared" ref="GJ74" si="566">IF(SUM(GJ61, GJ73) &gt; 0, SUM(GJ61, GJ73), "")</f>
        <v/>
      </c>
      <c r="GK74" s="62" t="str">
        <f t="shared" ref="GK74" si="567">IF(SUM(GK61, GK73) &gt; 0, SUM(GK61, GK73), "")</f>
        <v/>
      </c>
      <c r="GL74" s="62" t="str">
        <f t="shared" ref="GL74" si="568">IF(SUM(GL61, GL73) &gt; 0, SUM(GL61, GL73), "")</f>
        <v/>
      </c>
      <c r="GM74" s="62" t="str">
        <f t="shared" ref="GM74" si="569">IF(SUM(GM61, GM73) &gt; 0, SUM(GM61, GM73), "")</f>
        <v/>
      </c>
      <c r="GN74" s="62" t="str">
        <f t="shared" ref="GN74" si="570">IF(SUM(GN61, GN73) &gt; 0, SUM(GN61, GN73), "")</f>
        <v/>
      </c>
      <c r="GO74" s="63" t="str">
        <f t="shared" ref="GO74" si="571">IF(SUM(GO61, GO73) &gt; 0, SUM(GO61, GO73), "")</f>
        <v/>
      </c>
      <c r="GP74" s="65" t="str">
        <f t="shared" ref="GP74" si="572">IF(SUM(GP61, GP73) &gt; 0, SUM(GP61, GP73), "")</f>
        <v/>
      </c>
      <c r="GQ74" s="62" t="str">
        <f t="shared" ref="GQ74" si="573">IF(SUM(GQ61, GQ73) &gt; 0, SUM(GQ61, GQ73), "")</f>
        <v/>
      </c>
      <c r="GR74" s="62" t="str">
        <f t="shared" ref="GR74" si="574">IF(SUM(GR61, GR73) &gt; 0, SUM(GR61, GR73), "")</f>
        <v/>
      </c>
      <c r="GS74" s="62" t="str">
        <f t="shared" ref="GS74" si="575">IF(SUM(GS61, GS73) &gt; 0, SUM(GS61, GS73), "")</f>
        <v/>
      </c>
      <c r="GT74" s="62" t="str">
        <f t="shared" ref="GT74" si="576">IF(SUM(GT61, GT73) &gt; 0, SUM(GT61, GT73), "")</f>
        <v/>
      </c>
      <c r="GU74" s="62" t="str">
        <f t="shared" ref="GU74" si="577">IF(SUM(GU61, GU73) &gt; 0, SUM(GU61, GU73), "")</f>
        <v/>
      </c>
      <c r="GV74" s="63" t="str">
        <f t="shared" ref="GV74" si="578">IF(SUM(GV61, GV73) &gt; 0, SUM(GV61, GV73), "")</f>
        <v/>
      </c>
      <c r="GW74" s="65" t="str">
        <f t="shared" ref="GW74" si="579">IF(SUM(GW61, GW73) &gt; 0, SUM(GW61, GW73), "")</f>
        <v/>
      </c>
      <c r="GX74" s="62" t="str">
        <f t="shared" ref="GX74" si="580">IF(SUM(GX61, GX73) &gt; 0, SUM(GX61, GX73), "")</f>
        <v/>
      </c>
      <c r="GY74" s="62" t="str">
        <f t="shared" ref="GY74" si="581">IF(SUM(GY61, GY73) &gt; 0, SUM(GY61, GY73), "")</f>
        <v/>
      </c>
      <c r="GZ74" s="62" t="str">
        <f t="shared" ref="GZ74" si="582">IF(SUM(GZ61, GZ73) &gt; 0, SUM(GZ61, GZ73), "")</f>
        <v/>
      </c>
      <c r="HA74" s="62" t="str">
        <f t="shared" ref="HA74" si="583">IF(SUM(HA61, HA73) &gt; 0, SUM(HA61, HA73), "")</f>
        <v/>
      </c>
      <c r="HB74" s="62" t="str">
        <f t="shared" ref="HB74" si="584">IF(SUM(HB61, HB73) &gt; 0, SUM(HB61, HB73), "")</f>
        <v/>
      </c>
      <c r="HC74" s="63" t="str">
        <f t="shared" ref="HC74" si="585">IF(SUM(HC61, HC73) &gt; 0, SUM(HC61, HC73), "")</f>
        <v/>
      </c>
      <c r="HD74" s="65" t="str">
        <f t="shared" ref="HD74" si="586">IF(SUM(HD61, HD73) &gt; 0, SUM(HD61, HD73), "")</f>
        <v/>
      </c>
      <c r="HE74" s="62" t="str">
        <f t="shared" ref="HE74" si="587">IF(SUM(HE61, HE73) &gt; 0, SUM(HE61, HE73), "")</f>
        <v/>
      </c>
      <c r="HF74" s="62" t="str">
        <f t="shared" ref="HF74" si="588">IF(SUM(HF61, HF73) &gt; 0, SUM(HF61, HF73), "")</f>
        <v/>
      </c>
      <c r="HG74" s="62" t="str">
        <f t="shared" ref="HG74" si="589">IF(SUM(HG61, HG73) &gt; 0, SUM(HG61, HG73), "")</f>
        <v/>
      </c>
      <c r="HH74" s="62" t="str">
        <f t="shared" ref="HH74" si="590">IF(SUM(HH61, HH73) &gt; 0, SUM(HH61, HH73), "")</f>
        <v/>
      </c>
      <c r="HI74" s="62" t="str">
        <f t="shared" ref="HI74" si="591">IF(SUM(HI61, HI73) &gt; 0, SUM(HI61, HI73), "")</f>
        <v/>
      </c>
      <c r="HJ74" s="63" t="str">
        <f t="shared" ref="HJ74" si="592">IF(SUM(HJ61, HJ73) &gt; 0, SUM(HJ61, HJ73), "")</f>
        <v/>
      </c>
      <c r="HK74" s="65" t="str">
        <f t="shared" ref="HK74" si="593">IF(SUM(HK61, HK73) &gt; 0, SUM(HK61, HK73), "")</f>
        <v/>
      </c>
      <c r="HL74" s="62" t="str">
        <f t="shared" ref="HL74" si="594">IF(SUM(HL61, HL73) &gt; 0, SUM(HL61, HL73), "")</f>
        <v/>
      </c>
      <c r="HM74" s="62" t="str">
        <f t="shared" ref="HM74" si="595">IF(SUM(HM61, HM73) &gt; 0, SUM(HM61, HM73), "")</f>
        <v/>
      </c>
      <c r="HN74" s="62" t="str">
        <f t="shared" ref="HN74" si="596">IF(SUM(HN61, HN73) &gt; 0, SUM(HN61, HN73), "")</f>
        <v/>
      </c>
      <c r="HO74" s="62" t="str">
        <f t="shared" ref="HO74" si="597">IF(SUM(HO61, HO73) &gt; 0, SUM(HO61, HO73), "")</f>
        <v/>
      </c>
      <c r="HP74" s="62" t="str">
        <f t="shared" ref="HP74" si="598">IF(SUM(HP61, HP73) &gt; 0, SUM(HP61, HP73), "")</f>
        <v/>
      </c>
      <c r="HQ74" s="63" t="str">
        <f t="shared" ref="HQ74" si="599">IF(SUM(HQ61, HQ73) &gt; 0, SUM(HQ61, HQ73), "")</f>
        <v/>
      </c>
      <c r="HR74" s="65" t="str">
        <f t="shared" ref="HR74" si="600">IF(SUM(HR61, HR73) &gt; 0, SUM(HR61, HR73), "")</f>
        <v/>
      </c>
      <c r="HS74" s="62" t="str">
        <f t="shared" ref="HS74" si="601">IF(SUM(HS61, HS73) &gt; 0, SUM(HS61, HS73), "")</f>
        <v/>
      </c>
      <c r="HT74" s="62" t="str">
        <f t="shared" ref="HT74" si="602">IF(SUM(HT61, HT73) &gt; 0, SUM(HT61, HT73), "")</f>
        <v/>
      </c>
      <c r="HU74" s="62" t="str">
        <f t="shared" ref="HU74" si="603">IF(SUM(HU61, HU73) &gt; 0, SUM(HU61, HU73), "")</f>
        <v/>
      </c>
      <c r="HV74" s="62" t="str">
        <f t="shared" ref="HV74" si="604">IF(SUM(HV61, HV73) &gt; 0, SUM(HV61, HV73), "")</f>
        <v/>
      </c>
      <c r="HW74" s="62" t="str">
        <f t="shared" ref="HW74" si="605">IF(SUM(HW61, HW73) &gt; 0, SUM(HW61, HW73), "")</f>
        <v/>
      </c>
      <c r="HX74" s="63" t="str">
        <f t="shared" ref="HX74" si="606">IF(SUM(HX61, HX73) &gt; 0, SUM(HX61, HX73), "")</f>
        <v/>
      </c>
      <c r="HY74" s="65" t="str">
        <f t="shared" ref="HY74" si="607">IF(SUM(HY61, HY73) &gt; 0, SUM(HY61, HY73), "")</f>
        <v/>
      </c>
      <c r="HZ74" s="62" t="str">
        <f t="shared" ref="HZ74" si="608">IF(SUM(HZ61, HZ73) &gt; 0, SUM(HZ61, HZ73), "")</f>
        <v/>
      </c>
      <c r="IA74" s="62" t="str">
        <f t="shared" ref="IA74" si="609">IF(SUM(IA61, IA73) &gt; 0, SUM(IA61, IA73), "")</f>
        <v/>
      </c>
      <c r="IB74" s="62" t="str">
        <f t="shared" ref="IB74" si="610">IF(SUM(IB61, IB73) &gt; 0, SUM(IB61, IB73), "")</f>
        <v/>
      </c>
      <c r="IC74" s="62" t="str">
        <f t="shared" ref="IC74" si="611">IF(SUM(IC61, IC73) &gt; 0, SUM(IC61, IC73), "")</f>
        <v/>
      </c>
      <c r="ID74" s="62" t="str">
        <f t="shared" ref="ID74" si="612">IF(SUM(ID61, ID73) &gt; 0, SUM(ID61, ID73), "")</f>
        <v/>
      </c>
      <c r="IE74" s="63" t="str">
        <f t="shared" ref="IE74" si="613">IF(SUM(IE61, IE73) &gt; 0, SUM(IE61, IE73), "")</f>
        <v/>
      </c>
      <c r="IF74" s="65" t="str">
        <f t="shared" ref="IF74" si="614">IF(SUM(IF61, IF73) &gt; 0, SUM(IF61, IF73), "")</f>
        <v/>
      </c>
      <c r="IG74" s="62" t="str">
        <f t="shared" ref="IG74" si="615">IF(SUM(IG61, IG73) &gt; 0, SUM(IG61, IG73), "")</f>
        <v/>
      </c>
      <c r="IH74" s="62" t="str">
        <f t="shared" ref="IH74" si="616">IF(SUM(IH61, IH73) &gt; 0, SUM(IH61, IH73), "")</f>
        <v/>
      </c>
      <c r="II74" s="62" t="str">
        <f t="shared" ref="II74" si="617">IF(SUM(II61, II73) &gt; 0, SUM(II61, II73), "")</f>
        <v/>
      </c>
      <c r="IJ74" s="62" t="str">
        <f t="shared" ref="IJ74" si="618">IF(SUM(IJ61, IJ73) &gt; 0, SUM(IJ61, IJ73), "")</f>
        <v/>
      </c>
      <c r="IK74" s="62" t="str">
        <f t="shared" ref="IK74" si="619">IF(SUM(IK61, IK73) &gt; 0, SUM(IK61, IK73), "")</f>
        <v/>
      </c>
      <c r="IL74" s="63" t="str">
        <f t="shared" ref="IL74" si="620">IF(SUM(IL61, IL73) &gt; 0, SUM(IL61, IL73), "")</f>
        <v/>
      </c>
      <c r="IM74" s="65" t="str">
        <f t="shared" ref="IM74" si="621">IF(SUM(IM61, IM73) &gt; 0, SUM(IM61, IM73), "")</f>
        <v/>
      </c>
      <c r="IN74" s="62" t="str">
        <f t="shared" ref="IN74" si="622">IF(SUM(IN61, IN73) &gt; 0, SUM(IN61, IN73), "")</f>
        <v/>
      </c>
      <c r="IO74" s="62" t="str">
        <f t="shared" ref="IO74" si="623">IF(SUM(IO61, IO73) &gt; 0, SUM(IO61, IO73), "")</f>
        <v/>
      </c>
      <c r="IP74" s="62" t="str">
        <f t="shared" ref="IP74" si="624">IF(SUM(IP61, IP73) &gt; 0, SUM(IP61, IP73), "")</f>
        <v/>
      </c>
      <c r="IQ74" s="62" t="str">
        <f t="shared" ref="IQ74" si="625">IF(SUM(IQ61, IQ73) &gt; 0, SUM(IQ61, IQ73), "")</f>
        <v/>
      </c>
      <c r="IR74" s="62" t="str">
        <f t="shared" ref="IR74" si="626">IF(SUM(IR61, IR73) &gt; 0, SUM(IR61, IR73), "")</f>
        <v/>
      </c>
      <c r="IS74" s="63" t="str">
        <f t="shared" ref="IS74" si="627">IF(SUM(IS61, IS73) &gt; 0, SUM(IS61, IS73), "")</f>
        <v/>
      </c>
      <c r="IT74" s="65" t="str">
        <f t="shared" ref="IT74" si="628">IF(SUM(IT61, IT73) &gt; 0, SUM(IT61, IT73), "")</f>
        <v/>
      </c>
      <c r="IU74" s="62" t="str">
        <f t="shared" ref="IU74" si="629">IF(SUM(IU61, IU73) &gt; 0, SUM(IU61, IU73), "")</f>
        <v/>
      </c>
      <c r="IV74" s="62" t="str">
        <f t="shared" ref="IV74" si="630">IF(SUM(IV61, IV73) &gt; 0, SUM(IV61, IV73), "")</f>
        <v/>
      </c>
      <c r="IW74" s="62" t="str">
        <f t="shared" ref="IW74" si="631">IF(SUM(IW61, IW73) &gt; 0, SUM(IW61, IW73), "")</f>
        <v/>
      </c>
      <c r="IX74" s="62" t="str">
        <f t="shared" ref="IX74" si="632">IF(SUM(IX61, IX73) &gt; 0, SUM(IX61, IX73), "")</f>
        <v/>
      </c>
      <c r="IY74" s="62" t="str">
        <f t="shared" ref="IY74" si="633">IF(SUM(IY61, IY73) &gt; 0, SUM(IY61, IY73), "")</f>
        <v/>
      </c>
      <c r="IZ74" s="63" t="str">
        <f t="shared" ref="IZ74" si="634">IF(SUM(IZ61, IZ73) &gt; 0, SUM(IZ61, IZ73), "")</f>
        <v/>
      </c>
      <c r="JA74" s="65" t="str">
        <f t="shared" ref="JA74" si="635">IF(SUM(JA61, JA73) &gt; 0, SUM(JA61, JA73), "")</f>
        <v/>
      </c>
      <c r="JB74" s="62" t="str">
        <f t="shared" ref="JB74" si="636">IF(SUM(JB61, JB73) &gt; 0, SUM(JB61, JB73), "")</f>
        <v/>
      </c>
      <c r="JC74" s="62" t="str">
        <f t="shared" ref="JC74" si="637">IF(SUM(JC61, JC73) &gt; 0, SUM(JC61, JC73), "")</f>
        <v/>
      </c>
      <c r="JD74" s="62" t="str">
        <f t="shared" ref="JD74" si="638">IF(SUM(JD61, JD73) &gt; 0, SUM(JD61, JD73), "")</f>
        <v/>
      </c>
      <c r="JE74" s="62" t="str">
        <f t="shared" ref="JE74" si="639">IF(SUM(JE61, JE73) &gt; 0, SUM(JE61, JE73), "")</f>
        <v/>
      </c>
      <c r="JF74" s="62" t="str">
        <f t="shared" ref="JF74" si="640">IF(SUM(JF61, JF73) &gt; 0, SUM(JF61, JF73), "")</f>
        <v/>
      </c>
      <c r="JG74" s="63" t="str">
        <f t="shared" ref="JG74" si="641">IF(SUM(JG61, JG73) &gt; 0, SUM(JG61, JG73), "")</f>
        <v/>
      </c>
      <c r="JH74" s="65" t="str">
        <f t="shared" ref="JH74" si="642">IF(SUM(JH61, JH73) &gt; 0, SUM(JH61, JH73), "")</f>
        <v/>
      </c>
      <c r="JI74" s="62" t="str">
        <f t="shared" ref="JI74" si="643">IF(SUM(JI61, JI73) &gt; 0, SUM(JI61, JI73), "")</f>
        <v/>
      </c>
      <c r="JJ74" s="62" t="str">
        <f t="shared" ref="JJ74" si="644">IF(SUM(JJ61, JJ73) &gt; 0, SUM(JJ61, JJ73), "")</f>
        <v/>
      </c>
      <c r="JK74" s="62" t="str">
        <f t="shared" ref="JK74" si="645">IF(SUM(JK61, JK73) &gt; 0, SUM(JK61, JK73), "")</f>
        <v/>
      </c>
      <c r="JL74" s="62" t="str">
        <f t="shared" ref="JL74" si="646">IF(SUM(JL61, JL73) &gt; 0, SUM(JL61, JL73), "")</f>
        <v/>
      </c>
      <c r="JM74" s="62" t="str">
        <f t="shared" ref="JM74" si="647">IF(SUM(JM61, JM73) &gt; 0, SUM(JM61, JM73), "")</f>
        <v/>
      </c>
      <c r="JN74" s="63" t="str">
        <f t="shared" ref="JN74" si="648">IF(SUM(JN61, JN73) &gt; 0, SUM(JN61, JN73), "")</f>
        <v/>
      </c>
      <c r="JO74" s="65" t="str">
        <f t="shared" ref="JO74" si="649">IF(SUM(JO61, JO73) &gt; 0, SUM(JO61, JO73), "")</f>
        <v/>
      </c>
      <c r="JP74" s="62" t="str">
        <f t="shared" ref="JP74" si="650">IF(SUM(JP61, JP73) &gt; 0, SUM(JP61, JP73), "")</f>
        <v/>
      </c>
      <c r="JQ74" s="62" t="str">
        <f t="shared" ref="JQ74" si="651">IF(SUM(JQ61, JQ73) &gt; 0, SUM(JQ61, JQ73), "")</f>
        <v/>
      </c>
      <c r="JR74" s="62" t="str">
        <f t="shared" ref="JR74" si="652">IF(SUM(JR61, JR73) &gt; 0, SUM(JR61, JR73), "")</f>
        <v/>
      </c>
      <c r="JS74" s="62" t="str">
        <f t="shared" ref="JS74" si="653">IF(SUM(JS61, JS73) &gt; 0, SUM(JS61, JS73), "")</f>
        <v/>
      </c>
      <c r="JT74" s="62" t="str">
        <f t="shared" ref="JT74" si="654">IF(SUM(JT61, JT73) &gt; 0, SUM(JT61, JT73), "")</f>
        <v/>
      </c>
      <c r="JU74" s="63" t="str">
        <f t="shared" ref="JU74" si="655">IF(SUM(JU61, JU73) &gt; 0, SUM(JU61, JU73), "")</f>
        <v/>
      </c>
      <c r="JV74" s="65" t="str">
        <f t="shared" ref="JV74" si="656">IF(SUM(JV61, JV73) &gt; 0, SUM(JV61, JV73), "")</f>
        <v/>
      </c>
      <c r="JW74" s="62" t="str">
        <f t="shared" ref="JW74" si="657">IF(SUM(JW61, JW73) &gt; 0, SUM(JW61, JW73), "")</f>
        <v/>
      </c>
      <c r="JX74" s="62" t="str">
        <f t="shared" ref="JX74" si="658">IF(SUM(JX61, JX73) &gt; 0, SUM(JX61, JX73), "")</f>
        <v/>
      </c>
      <c r="JY74" s="62" t="str">
        <f t="shared" ref="JY74" si="659">IF(SUM(JY61, JY73) &gt; 0, SUM(JY61, JY73), "")</f>
        <v/>
      </c>
      <c r="JZ74" s="62" t="str">
        <f t="shared" ref="JZ74" si="660">IF(SUM(JZ61, JZ73) &gt; 0, SUM(JZ61, JZ73), "")</f>
        <v/>
      </c>
      <c r="KA74" s="62" t="str">
        <f t="shared" ref="KA74" si="661">IF(SUM(KA61, KA73) &gt; 0, SUM(KA61, KA73), "")</f>
        <v/>
      </c>
      <c r="KB74" s="63" t="str">
        <f t="shared" ref="KB74" si="662">IF(SUM(KB61, KB73) &gt; 0, SUM(KB61, KB73), "")</f>
        <v/>
      </c>
      <c r="KC74" s="65" t="str">
        <f t="shared" ref="KC74" si="663">IF(SUM(KC61, KC73) &gt; 0, SUM(KC61, KC73), "")</f>
        <v/>
      </c>
      <c r="KD74" s="62" t="str">
        <f t="shared" ref="KD74" si="664">IF(SUM(KD61, KD73) &gt; 0, SUM(KD61, KD73), "")</f>
        <v/>
      </c>
      <c r="KE74" s="62" t="str">
        <f t="shared" ref="KE74" si="665">IF(SUM(KE61, KE73) &gt; 0, SUM(KE61, KE73), "")</f>
        <v/>
      </c>
      <c r="KF74" s="62" t="str">
        <f t="shared" ref="KF74" si="666">IF(SUM(KF61, KF73) &gt; 0, SUM(KF61, KF73), "")</f>
        <v/>
      </c>
      <c r="KG74" s="62" t="str">
        <f t="shared" ref="KG74" si="667">IF(SUM(KG61, KG73) &gt; 0, SUM(KG61, KG73), "")</f>
        <v/>
      </c>
      <c r="KH74" s="62" t="str">
        <f t="shared" ref="KH74" si="668">IF(SUM(KH61, KH73) &gt; 0, SUM(KH61, KH73), "")</f>
        <v/>
      </c>
      <c r="KI74" s="63" t="str">
        <f t="shared" ref="KI74" si="669">IF(SUM(KI61, KI73) &gt; 0, SUM(KI61, KI73), "")</f>
        <v/>
      </c>
      <c r="KJ74" s="65" t="str">
        <f t="shared" ref="KJ74" si="670">IF(SUM(KJ61, KJ73) &gt; 0, SUM(KJ61, KJ73), "")</f>
        <v/>
      </c>
      <c r="KK74" s="62" t="str">
        <f t="shared" ref="KK74" si="671">IF(SUM(KK61, KK73) &gt; 0, SUM(KK61, KK73), "")</f>
        <v/>
      </c>
      <c r="KL74" s="62" t="str">
        <f t="shared" ref="KL74" si="672">IF(SUM(KL61, KL73) &gt; 0, SUM(KL61, KL73), "")</f>
        <v/>
      </c>
      <c r="KM74" s="62" t="str">
        <f t="shared" ref="KM74" si="673">IF(SUM(KM61, KM73) &gt; 0, SUM(KM61, KM73), "")</f>
        <v/>
      </c>
      <c r="KN74" s="62" t="str">
        <f t="shared" ref="KN74" si="674">IF(SUM(KN61, KN73) &gt; 0, SUM(KN61, KN73), "")</f>
        <v/>
      </c>
      <c r="KO74" s="62" t="str">
        <f t="shared" ref="KO74" si="675">IF(SUM(KO61, KO73) &gt; 0, SUM(KO61, KO73), "")</f>
        <v/>
      </c>
      <c r="KP74" s="63" t="str">
        <f t="shared" ref="KP74" si="676">IF(SUM(KP61, KP73) &gt; 0, SUM(KP61, KP73), "")</f>
        <v/>
      </c>
      <c r="KQ74" s="65" t="str">
        <f t="shared" ref="KQ74" si="677">IF(SUM(KQ61, KQ73) &gt; 0, SUM(KQ61, KQ73), "")</f>
        <v/>
      </c>
      <c r="KR74" s="62" t="str">
        <f t="shared" ref="KR74" si="678">IF(SUM(KR61, KR73) &gt; 0, SUM(KR61, KR73), "")</f>
        <v/>
      </c>
      <c r="KS74" s="62" t="str">
        <f t="shared" ref="KS74" si="679">IF(SUM(KS61, KS73) &gt; 0, SUM(KS61, KS73), "")</f>
        <v/>
      </c>
      <c r="KT74" s="62" t="str">
        <f t="shared" ref="KT74" si="680">IF(SUM(KT61, KT73) &gt; 0, SUM(KT61, KT73), "")</f>
        <v/>
      </c>
      <c r="KU74" s="62" t="str">
        <f t="shared" ref="KU74" si="681">IF(SUM(KU61, KU73) &gt; 0, SUM(KU61, KU73), "")</f>
        <v/>
      </c>
      <c r="KV74" s="62" t="str">
        <f t="shared" ref="KV74" si="682">IF(SUM(KV61, KV73) &gt; 0, SUM(KV61, KV73), "")</f>
        <v/>
      </c>
      <c r="KW74" s="63" t="str">
        <f t="shared" ref="KW74" si="683">IF(SUM(KW61, KW73) &gt; 0, SUM(KW61, KW73), "")</f>
        <v/>
      </c>
      <c r="KX74" s="65" t="str">
        <f t="shared" ref="KX74" si="684">IF(SUM(KX61, KX73) &gt; 0, SUM(KX61, KX73), "")</f>
        <v/>
      </c>
      <c r="KY74" s="62" t="str">
        <f t="shared" ref="KY74" si="685">IF(SUM(KY61, KY73) &gt; 0, SUM(KY61, KY73), "")</f>
        <v/>
      </c>
      <c r="KZ74" s="62" t="str">
        <f t="shared" ref="KZ74" si="686">IF(SUM(KZ61, KZ73) &gt; 0, SUM(KZ61, KZ73), "")</f>
        <v/>
      </c>
      <c r="LA74" s="62" t="str">
        <f t="shared" ref="LA74" si="687">IF(SUM(LA61, LA73) &gt; 0, SUM(LA61, LA73), "")</f>
        <v/>
      </c>
      <c r="LB74" s="62" t="str">
        <f t="shared" ref="LB74" si="688">IF(SUM(LB61, LB73) &gt; 0, SUM(LB61, LB73), "")</f>
        <v/>
      </c>
      <c r="LC74" s="62" t="str">
        <f t="shared" ref="LC74" si="689">IF(SUM(LC61, LC73) &gt; 0, SUM(LC61, LC73), "")</f>
        <v/>
      </c>
      <c r="LD74" s="63" t="str">
        <f t="shared" ref="LD74" si="690">IF(SUM(LD61, LD73) &gt; 0, SUM(LD61, LD73), "")</f>
        <v/>
      </c>
      <c r="LE74" s="65" t="str">
        <f t="shared" ref="LE74" si="691">IF(SUM(LE61, LE73) &gt; 0, SUM(LE61, LE73), "")</f>
        <v/>
      </c>
      <c r="LF74" s="62" t="str">
        <f t="shared" ref="LF74" si="692">IF(SUM(LF61, LF73) &gt; 0, SUM(LF61, LF73), "")</f>
        <v/>
      </c>
      <c r="LG74" s="62" t="str">
        <f t="shared" ref="LG74" si="693">IF(SUM(LG61, LG73) &gt; 0, SUM(LG61, LG73), "")</f>
        <v/>
      </c>
      <c r="LH74" s="62" t="str">
        <f t="shared" ref="LH74" si="694">IF(SUM(LH61, LH73) &gt; 0, SUM(LH61, LH73), "")</f>
        <v/>
      </c>
      <c r="LI74" s="62" t="str">
        <f t="shared" ref="LI74" si="695">IF(SUM(LI61, LI73) &gt; 0, SUM(LI61, LI73), "")</f>
        <v/>
      </c>
      <c r="LJ74" s="62" t="str">
        <f t="shared" ref="LJ74" si="696">IF(SUM(LJ61, LJ73) &gt; 0, SUM(LJ61, LJ73), "")</f>
        <v/>
      </c>
      <c r="LK74" s="63" t="str">
        <f t="shared" ref="LK74" si="697">IF(SUM(LK61, LK73) &gt; 0, SUM(LK61, LK73), "")</f>
        <v/>
      </c>
      <c r="LL74" s="65" t="str">
        <f t="shared" ref="LL74" si="698">IF(SUM(LL61, LL73) &gt; 0, SUM(LL61, LL73), "")</f>
        <v/>
      </c>
      <c r="LM74" s="62" t="str">
        <f t="shared" ref="LM74" si="699">IF(SUM(LM61, LM73) &gt; 0, SUM(LM61, LM73), "")</f>
        <v/>
      </c>
      <c r="LN74" s="62" t="str">
        <f t="shared" ref="LN74" si="700">IF(SUM(LN61, LN73) &gt; 0, SUM(LN61, LN73), "")</f>
        <v/>
      </c>
      <c r="LO74" s="62" t="str">
        <f t="shared" ref="LO74" si="701">IF(SUM(LO61, LO73) &gt; 0, SUM(LO61, LO73), "")</f>
        <v/>
      </c>
      <c r="LP74" s="62" t="str">
        <f t="shared" ref="LP74" si="702">IF(SUM(LP61, LP73) &gt; 0, SUM(LP61, LP73), "")</f>
        <v/>
      </c>
      <c r="LQ74" s="62" t="str">
        <f t="shared" ref="LQ74" si="703">IF(SUM(LQ61, LQ73) &gt; 0, SUM(LQ61, LQ73), "")</f>
        <v/>
      </c>
      <c r="LR74" s="63" t="str">
        <f t="shared" ref="LR74" si="704">IF(SUM(LR61, LR73) &gt; 0, SUM(LR61, LR73), "")</f>
        <v/>
      </c>
      <c r="LS74" s="65" t="str">
        <f t="shared" ref="LS74" si="705">IF(SUM(LS61, LS73) &gt; 0, SUM(LS61, LS73), "")</f>
        <v/>
      </c>
      <c r="LT74" s="62" t="str">
        <f t="shared" ref="LT74" si="706">IF(SUM(LT61, LT73) &gt; 0, SUM(LT61, LT73), "")</f>
        <v/>
      </c>
      <c r="LU74" s="62" t="str">
        <f t="shared" ref="LU74" si="707">IF(SUM(LU61, LU73) &gt; 0, SUM(LU61, LU73), "")</f>
        <v/>
      </c>
      <c r="LV74" s="62" t="str">
        <f t="shared" ref="LV74" si="708">IF(SUM(LV61, LV73) &gt; 0, SUM(LV61, LV73), "")</f>
        <v/>
      </c>
      <c r="LW74" s="62" t="str">
        <f t="shared" ref="LW74" si="709">IF(SUM(LW61, LW73) &gt; 0, SUM(LW61, LW73), "")</f>
        <v/>
      </c>
      <c r="LX74" s="62" t="str">
        <f t="shared" ref="LX74" si="710">IF(SUM(LX61, LX73) &gt; 0, SUM(LX61, LX73), "")</f>
        <v/>
      </c>
      <c r="LY74" s="63" t="str">
        <f t="shared" ref="LY74" si="711">IF(SUM(LY61, LY73) &gt; 0, SUM(LY61, LY73), "")</f>
        <v/>
      </c>
      <c r="LZ74" s="65" t="str">
        <f t="shared" ref="LZ74" si="712">IF(SUM(LZ61, LZ73) &gt; 0, SUM(LZ61, LZ73), "")</f>
        <v/>
      </c>
      <c r="MA74" s="62" t="str">
        <f t="shared" ref="MA74" si="713">IF(SUM(MA61, MA73) &gt; 0, SUM(MA61, MA73), "")</f>
        <v/>
      </c>
      <c r="MB74" s="62" t="str">
        <f t="shared" ref="MB74" si="714">IF(SUM(MB61, MB73) &gt; 0, SUM(MB61, MB73), "")</f>
        <v/>
      </c>
      <c r="MC74" s="62" t="str">
        <f t="shared" ref="MC74" si="715">IF(SUM(MC61, MC73) &gt; 0, SUM(MC61, MC73), "")</f>
        <v/>
      </c>
      <c r="MD74" s="62" t="str">
        <f t="shared" ref="MD74" si="716">IF(SUM(MD61, MD73) &gt; 0, SUM(MD61, MD73), "")</f>
        <v/>
      </c>
      <c r="ME74" s="62" t="str">
        <f t="shared" ref="ME74" si="717">IF(SUM(ME61, ME73) &gt; 0, SUM(ME61, ME73), "")</f>
        <v/>
      </c>
      <c r="MF74" s="63" t="str">
        <f t="shared" ref="MF74" si="718">IF(SUM(MF61, MF73) &gt; 0, SUM(MF61, MF73), "")</f>
        <v/>
      </c>
    </row>
    <row r="75" spans="1:344" ht="7.5" customHeight="1" x14ac:dyDescent="0.25">
      <c r="A75" s="8"/>
      <c r="B75" s="8"/>
      <c r="C75" s="8"/>
      <c r="D75" s="8"/>
      <c r="E75" s="8"/>
      <c r="F75" s="10"/>
      <c r="G75" s="19"/>
      <c r="H75" s="19"/>
      <c r="I75" s="8"/>
      <c r="J75" s="8"/>
      <c r="K75" s="8"/>
      <c r="L75" s="8"/>
      <c r="M75" s="8"/>
      <c r="N75" s="8"/>
      <c r="O75" s="9"/>
      <c r="P75" s="8"/>
      <c r="Q75" s="8"/>
      <c r="R75" s="9"/>
      <c r="S75" s="7"/>
      <c r="Z75" s="7"/>
      <c r="AG75" s="7"/>
      <c r="AN75" s="7"/>
      <c r="AU75" s="7"/>
      <c r="BB75" s="7"/>
      <c r="BI75" s="7"/>
      <c r="BP75" s="7"/>
      <c r="BY75" s="7"/>
      <c r="CH75" s="7"/>
      <c r="CQ75" s="7"/>
      <c r="CZ75" s="7"/>
      <c r="DI75" s="7"/>
      <c r="DP75" s="7"/>
      <c r="DW75" s="7"/>
      <c r="ED75" s="7"/>
      <c r="EK75" s="7"/>
      <c r="ER75" s="7"/>
      <c r="EY75" s="7"/>
      <c r="FF75" s="7"/>
      <c r="FM75" s="7"/>
      <c r="FT75" s="7"/>
      <c r="GA75" s="7"/>
      <c r="GH75" s="7"/>
      <c r="GO75" s="7"/>
      <c r="GV75" s="7"/>
      <c r="HC75" s="7"/>
      <c r="HJ75" s="7"/>
      <c r="HQ75" s="7"/>
      <c r="HX75" s="7"/>
      <c r="IE75" s="7"/>
      <c r="IL75" s="7"/>
      <c r="IS75" s="7"/>
      <c r="IZ75" s="7"/>
      <c r="JG75" s="7"/>
      <c r="JN75" s="7"/>
      <c r="JU75" s="7"/>
      <c r="KB75" s="7"/>
      <c r="KI75" s="7"/>
      <c r="KP75" s="7"/>
      <c r="KW75" s="7"/>
      <c r="LD75" s="7"/>
      <c r="LK75" s="7"/>
      <c r="LR75" s="7"/>
      <c r="LY75" s="7"/>
      <c r="MF75" s="7"/>
    </row>
    <row r="76" spans="1:344" x14ac:dyDescent="0.25">
      <c r="A76" s="11" t="s">
        <v>24</v>
      </c>
      <c r="B76" s="11"/>
      <c r="C76" s="11"/>
      <c r="D76" s="11"/>
      <c r="E76" s="11"/>
      <c r="F76" s="13"/>
      <c r="G76" s="40"/>
      <c r="H76" s="40"/>
      <c r="I76" s="11"/>
      <c r="J76" s="11"/>
      <c r="K76" s="11"/>
      <c r="L76" s="11"/>
      <c r="M76" s="11"/>
      <c r="N76" s="11"/>
      <c r="O76" s="12"/>
      <c r="P76" s="11"/>
      <c r="Q76" s="11"/>
      <c r="R76" s="12"/>
      <c r="S76" s="12"/>
      <c r="T76" s="11"/>
      <c r="U76" s="11"/>
      <c r="V76" s="11"/>
      <c r="W76" s="11"/>
      <c r="X76" s="11"/>
      <c r="Y76" s="11"/>
      <c r="Z76" s="12"/>
      <c r="AA76" s="11"/>
      <c r="AB76" s="11"/>
      <c r="AC76" s="11"/>
      <c r="AD76" s="11"/>
      <c r="AE76" s="11"/>
      <c r="AF76" s="11"/>
      <c r="AG76" s="12"/>
      <c r="AH76" s="11"/>
      <c r="AI76" s="11"/>
      <c r="AJ76" s="11"/>
      <c r="AK76" s="11"/>
      <c r="AL76" s="11"/>
      <c r="AM76" s="11"/>
      <c r="AN76" s="12"/>
      <c r="AO76" s="11"/>
      <c r="AP76" s="11"/>
      <c r="AQ76" s="11"/>
      <c r="AR76" s="11"/>
      <c r="AS76" s="11"/>
      <c r="AT76" s="11"/>
      <c r="AU76" s="12"/>
      <c r="AV76" s="11"/>
      <c r="AW76" s="11"/>
      <c r="AX76" s="11"/>
      <c r="AY76" s="11"/>
      <c r="AZ76" s="11"/>
      <c r="BA76" s="11"/>
      <c r="BB76" s="12"/>
      <c r="BC76" s="11"/>
      <c r="BD76" s="11"/>
      <c r="BE76" s="11"/>
      <c r="BF76" s="11"/>
      <c r="BG76" s="11"/>
      <c r="BH76" s="11"/>
      <c r="BI76" s="12"/>
      <c r="BJ76" s="11"/>
      <c r="BK76" s="11"/>
      <c r="BL76" s="11"/>
      <c r="BM76" s="11"/>
      <c r="BN76" s="11"/>
      <c r="BO76" s="11"/>
      <c r="BP76" s="12"/>
      <c r="BQ76" s="11"/>
      <c r="BR76" s="11"/>
      <c r="BS76" s="11"/>
      <c r="BT76" s="11"/>
      <c r="BU76" s="11"/>
      <c r="BV76" s="11"/>
      <c r="BW76" s="11"/>
      <c r="BX76" s="11"/>
      <c r="BY76" s="12"/>
      <c r="BZ76" s="11"/>
      <c r="CA76" s="11"/>
      <c r="CB76" s="11"/>
      <c r="CC76" s="11"/>
      <c r="CD76" s="11"/>
      <c r="CE76" s="11"/>
      <c r="CF76" s="11"/>
      <c r="CG76" s="11"/>
      <c r="CH76" s="12"/>
      <c r="CI76" s="11"/>
      <c r="CJ76" s="11"/>
      <c r="CK76" s="11"/>
      <c r="CL76" s="11"/>
      <c r="CM76" s="11"/>
      <c r="CN76" s="11"/>
      <c r="CO76" s="11"/>
      <c r="CP76" s="11"/>
      <c r="CQ76" s="12"/>
      <c r="CR76" s="11"/>
      <c r="CS76" s="11"/>
      <c r="CT76" s="11"/>
      <c r="CU76" s="11"/>
      <c r="CV76" s="11"/>
      <c r="CW76" s="11"/>
      <c r="CX76" s="11"/>
      <c r="CY76" s="11"/>
      <c r="CZ76" s="12"/>
      <c r="DA76" s="11"/>
      <c r="DB76" s="11"/>
      <c r="DC76" s="11"/>
      <c r="DD76" s="11"/>
      <c r="DE76" s="11"/>
      <c r="DF76" s="11"/>
      <c r="DG76" s="11"/>
      <c r="DH76" s="11"/>
      <c r="DI76" s="12"/>
      <c r="DJ76" s="11"/>
      <c r="DK76" s="11"/>
      <c r="DL76" s="11"/>
      <c r="DM76" s="11"/>
      <c r="DN76" s="11"/>
      <c r="DO76" s="11"/>
      <c r="DP76" s="12"/>
      <c r="DQ76" s="11"/>
      <c r="DR76" s="11"/>
      <c r="DS76" s="11"/>
      <c r="DT76" s="11"/>
      <c r="DU76" s="11"/>
      <c r="DV76" s="11"/>
      <c r="DW76" s="12"/>
      <c r="DX76" s="11"/>
      <c r="DY76" s="11"/>
      <c r="DZ76" s="11"/>
      <c r="EA76" s="11"/>
      <c r="EB76" s="11"/>
      <c r="EC76" s="11"/>
      <c r="ED76" s="12"/>
      <c r="EE76" s="11"/>
      <c r="EF76" s="11"/>
      <c r="EG76" s="11"/>
      <c r="EH76" s="11"/>
      <c r="EI76" s="11"/>
      <c r="EJ76" s="11"/>
      <c r="EK76" s="12"/>
      <c r="EL76" s="11"/>
      <c r="EM76" s="11"/>
      <c r="EN76" s="11"/>
      <c r="EO76" s="11"/>
      <c r="EP76" s="11"/>
      <c r="EQ76" s="11"/>
      <c r="ER76" s="12"/>
      <c r="ES76" s="11"/>
      <c r="ET76" s="11"/>
      <c r="EU76" s="11"/>
      <c r="EV76" s="11"/>
      <c r="EW76" s="11"/>
      <c r="EX76" s="11"/>
      <c r="EY76" s="12"/>
      <c r="EZ76" s="11"/>
      <c r="FA76" s="11"/>
      <c r="FB76" s="11"/>
      <c r="FC76" s="11"/>
      <c r="FD76" s="11"/>
      <c r="FE76" s="11"/>
      <c r="FF76" s="12"/>
      <c r="FG76" s="11"/>
      <c r="FH76" s="11"/>
      <c r="FI76" s="11"/>
      <c r="FJ76" s="11"/>
      <c r="FK76" s="11"/>
      <c r="FL76" s="11"/>
      <c r="FM76" s="12"/>
      <c r="FN76" s="11"/>
      <c r="FO76" s="11"/>
      <c r="FP76" s="11"/>
      <c r="FQ76" s="11"/>
      <c r="FR76" s="11"/>
      <c r="FS76" s="11"/>
      <c r="FT76" s="12"/>
      <c r="FU76" s="11"/>
      <c r="FV76" s="11"/>
      <c r="FW76" s="11"/>
      <c r="FX76" s="11"/>
      <c r="FY76" s="11"/>
      <c r="FZ76" s="11"/>
      <c r="GA76" s="12"/>
      <c r="GB76" s="11"/>
      <c r="GC76" s="11"/>
      <c r="GD76" s="11"/>
      <c r="GE76" s="11"/>
      <c r="GF76" s="11"/>
      <c r="GG76" s="11"/>
      <c r="GH76" s="12"/>
      <c r="GI76" s="11"/>
      <c r="GJ76" s="11"/>
      <c r="GK76" s="11"/>
      <c r="GL76" s="11"/>
      <c r="GM76" s="11"/>
      <c r="GN76" s="11"/>
      <c r="GO76" s="12"/>
      <c r="GP76" s="11"/>
      <c r="GQ76" s="11"/>
      <c r="GR76" s="11"/>
      <c r="GS76" s="11"/>
      <c r="GT76" s="11"/>
      <c r="GU76" s="11"/>
      <c r="GV76" s="12"/>
      <c r="GW76" s="11"/>
      <c r="GX76" s="11"/>
      <c r="GY76" s="11"/>
      <c r="GZ76" s="11"/>
      <c r="HA76" s="11"/>
      <c r="HB76" s="11"/>
      <c r="HC76" s="12"/>
      <c r="HD76" s="11"/>
      <c r="HE76" s="11"/>
      <c r="HF76" s="11"/>
      <c r="HG76" s="11"/>
      <c r="HH76" s="11"/>
      <c r="HI76" s="11"/>
      <c r="HJ76" s="12"/>
      <c r="HK76" s="11"/>
      <c r="HL76" s="11"/>
      <c r="HM76" s="11"/>
      <c r="HN76" s="11"/>
      <c r="HO76" s="11"/>
      <c r="HP76" s="11"/>
      <c r="HQ76" s="12"/>
      <c r="HR76" s="11"/>
      <c r="HS76" s="11"/>
      <c r="HT76" s="11"/>
      <c r="HU76" s="11"/>
      <c r="HV76" s="11"/>
      <c r="HW76" s="11"/>
      <c r="HX76" s="12"/>
      <c r="HY76" s="11"/>
      <c r="HZ76" s="11"/>
      <c r="IA76" s="11"/>
      <c r="IB76" s="11"/>
      <c r="IC76" s="11"/>
      <c r="ID76" s="11"/>
      <c r="IE76" s="12"/>
      <c r="IF76" s="11"/>
      <c r="IG76" s="11"/>
      <c r="IH76" s="11"/>
      <c r="II76" s="11"/>
      <c r="IJ76" s="11"/>
      <c r="IK76" s="11"/>
      <c r="IL76" s="12"/>
      <c r="IM76" s="11"/>
      <c r="IN76" s="11"/>
      <c r="IO76" s="11"/>
      <c r="IP76" s="11"/>
      <c r="IQ76" s="11"/>
      <c r="IR76" s="11"/>
      <c r="IS76" s="12"/>
      <c r="IT76" s="11"/>
      <c r="IU76" s="11"/>
      <c r="IV76" s="11"/>
      <c r="IW76" s="11"/>
      <c r="IX76" s="11"/>
      <c r="IY76" s="11"/>
      <c r="IZ76" s="12"/>
      <c r="JA76" s="11"/>
      <c r="JB76" s="11"/>
      <c r="JC76" s="11"/>
      <c r="JD76" s="11"/>
      <c r="JE76" s="11"/>
      <c r="JF76" s="11"/>
      <c r="JG76" s="12"/>
      <c r="JH76" s="11"/>
      <c r="JI76" s="11"/>
      <c r="JJ76" s="11"/>
      <c r="JK76" s="11"/>
      <c r="JL76" s="11"/>
      <c r="JM76" s="11"/>
      <c r="JN76" s="12"/>
      <c r="JO76" s="11"/>
      <c r="JP76" s="11"/>
      <c r="JQ76" s="11"/>
      <c r="JR76" s="11"/>
      <c r="JS76" s="11"/>
      <c r="JT76" s="11"/>
      <c r="JU76" s="12"/>
      <c r="JV76" s="11"/>
      <c r="JW76" s="11"/>
      <c r="JX76" s="11"/>
      <c r="JY76" s="11"/>
      <c r="JZ76" s="11"/>
      <c r="KA76" s="11"/>
      <c r="KB76" s="12"/>
      <c r="KC76" s="11"/>
      <c r="KD76" s="11"/>
      <c r="KE76" s="11"/>
      <c r="KF76" s="11"/>
      <c r="KG76" s="11"/>
      <c r="KH76" s="11"/>
      <c r="KI76" s="12"/>
      <c r="KJ76" s="11"/>
      <c r="KK76" s="11"/>
      <c r="KL76" s="11"/>
      <c r="KM76" s="11"/>
      <c r="KN76" s="11"/>
      <c r="KO76" s="11"/>
      <c r="KP76" s="12"/>
      <c r="KQ76" s="11"/>
      <c r="KR76" s="11"/>
      <c r="KS76" s="11"/>
      <c r="KT76" s="11"/>
      <c r="KU76" s="11"/>
      <c r="KV76" s="11"/>
      <c r="KW76" s="12"/>
      <c r="KX76" s="11"/>
      <c r="KY76" s="11"/>
      <c r="KZ76" s="11"/>
      <c r="LA76" s="11"/>
      <c r="LB76" s="11"/>
      <c r="LC76" s="11"/>
      <c r="LD76" s="12"/>
      <c r="LE76" s="11"/>
      <c r="LF76" s="11"/>
      <c r="LG76" s="11"/>
      <c r="LH76" s="11"/>
      <c r="LI76" s="11"/>
      <c r="LJ76" s="11"/>
      <c r="LK76" s="12"/>
      <c r="LL76" s="11"/>
      <c r="LM76" s="11"/>
      <c r="LN76" s="11"/>
      <c r="LO76" s="11"/>
      <c r="LP76" s="11"/>
      <c r="LQ76" s="11"/>
      <c r="LR76" s="12"/>
      <c r="LS76" s="11"/>
      <c r="LT76" s="11"/>
      <c r="LU76" s="11"/>
      <c r="LV76" s="11"/>
      <c r="LW76" s="11"/>
      <c r="LX76" s="11"/>
      <c r="LY76" s="12"/>
      <c r="LZ76" s="11"/>
      <c r="MA76" s="11"/>
      <c r="MB76" s="11"/>
      <c r="MC76" s="11"/>
      <c r="MD76" s="11"/>
      <c r="ME76" s="11"/>
      <c r="MF76" s="12"/>
    </row>
    <row r="77" spans="1:344" x14ac:dyDescent="0.25">
      <c r="A77" s="8" t="s">
        <v>23</v>
      </c>
      <c r="B77" s="8"/>
      <c r="C77" s="8"/>
      <c r="D77" s="8"/>
      <c r="E77" s="8"/>
      <c r="F77" s="10"/>
      <c r="G77" s="19"/>
      <c r="H77" s="19"/>
      <c r="I77" s="8"/>
      <c r="J77" s="8"/>
      <c r="K77" s="8"/>
      <c r="L77" s="8"/>
      <c r="M77" s="8"/>
      <c r="N77" s="8"/>
      <c r="O77" s="9"/>
      <c r="P77" s="8">
        <f>IF(SUM(S77:MF77) &gt; 0, SUM(S77:MF77), "")</f>
        <v>36</v>
      </c>
      <c r="Q77" s="109">
        <f t="shared" ref="Q77:Q82" si="719">IF(SUM(S77:XFD77) &gt; 0, SUM(S77:XFD77) / $P$83 * 100, "")</f>
        <v>100</v>
      </c>
      <c r="R77" s="84"/>
      <c r="S77" s="7">
        <v>1</v>
      </c>
      <c r="U77">
        <v>1</v>
      </c>
      <c r="V77">
        <v>1</v>
      </c>
      <c r="X77">
        <v>1</v>
      </c>
      <c r="Z77" s="7"/>
      <c r="AB77">
        <v>1</v>
      </c>
      <c r="AD77">
        <v>1</v>
      </c>
      <c r="AE77">
        <v>1</v>
      </c>
      <c r="AG77" s="7"/>
      <c r="AI77">
        <v>1</v>
      </c>
      <c r="AK77">
        <v>1</v>
      </c>
      <c r="AL77">
        <v>1</v>
      </c>
      <c r="AN77" s="7"/>
      <c r="AP77">
        <v>1</v>
      </c>
      <c r="AR77">
        <v>1</v>
      </c>
      <c r="AS77">
        <v>1</v>
      </c>
      <c r="AU77" s="7"/>
      <c r="AW77">
        <v>1</v>
      </c>
      <c r="AX77">
        <v>1</v>
      </c>
      <c r="AY77">
        <v>1</v>
      </c>
      <c r="AZ77">
        <v>1</v>
      </c>
      <c r="BB77" s="7"/>
      <c r="BD77">
        <v>1</v>
      </c>
      <c r="BF77">
        <v>1</v>
      </c>
      <c r="BG77">
        <v>1</v>
      </c>
      <c r="BI77" s="7"/>
      <c r="BK77">
        <v>1</v>
      </c>
      <c r="BM77">
        <v>1</v>
      </c>
      <c r="BN77">
        <v>1</v>
      </c>
      <c r="BP77" s="7">
        <v>1</v>
      </c>
      <c r="BR77">
        <v>1</v>
      </c>
      <c r="BT77">
        <v>1</v>
      </c>
      <c r="BW77">
        <v>1</v>
      </c>
      <c r="BY77" s="7"/>
      <c r="CC77">
        <v>1</v>
      </c>
      <c r="CF77">
        <v>1</v>
      </c>
      <c r="CH77" s="7"/>
      <c r="CL77">
        <v>1</v>
      </c>
      <c r="CO77">
        <v>1</v>
      </c>
      <c r="CQ77" s="7"/>
      <c r="CS77">
        <v>1</v>
      </c>
      <c r="CU77">
        <v>1</v>
      </c>
      <c r="CV77">
        <v>1</v>
      </c>
      <c r="CX77">
        <v>1</v>
      </c>
      <c r="CZ77" s="7"/>
      <c r="DB77">
        <v>1</v>
      </c>
      <c r="DI77" s="7"/>
      <c r="DP77" s="7"/>
      <c r="DW77" s="7"/>
      <c r="ED77" s="7"/>
      <c r="EK77" s="7"/>
      <c r="ER77" s="7"/>
      <c r="EY77" s="7"/>
      <c r="FF77" s="7"/>
      <c r="FM77" s="7"/>
      <c r="FT77" s="7"/>
      <c r="GA77" s="7"/>
      <c r="GH77" s="7"/>
      <c r="GO77" s="7"/>
      <c r="GV77" s="7"/>
      <c r="HC77" s="7"/>
      <c r="HJ77" s="7"/>
      <c r="HQ77" s="7"/>
      <c r="HX77" s="7"/>
      <c r="IE77" s="7"/>
      <c r="IL77" s="7"/>
      <c r="IS77" s="7"/>
      <c r="IZ77" s="7"/>
      <c r="JG77" s="7"/>
      <c r="JN77" s="7"/>
      <c r="JU77" s="7"/>
      <c r="KB77" s="7"/>
      <c r="KI77" s="7"/>
      <c r="KP77" s="7"/>
      <c r="KW77" s="7"/>
      <c r="LD77" s="7"/>
      <c r="LK77" s="7"/>
      <c r="LR77" s="7"/>
      <c r="LY77" s="7"/>
      <c r="MF77" s="7"/>
    </row>
    <row r="78" spans="1:344" x14ac:dyDescent="0.25">
      <c r="A78" s="8" t="s">
        <v>22</v>
      </c>
      <c r="B78" s="8"/>
      <c r="C78" s="8"/>
      <c r="D78" s="8"/>
      <c r="E78" s="8"/>
      <c r="F78" s="10"/>
      <c r="G78" s="19"/>
      <c r="H78" s="19"/>
      <c r="I78" s="8"/>
      <c r="J78" s="8"/>
      <c r="K78" s="8"/>
      <c r="L78" s="8"/>
      <c r="M78" s="8"/>
      <c r="N78" s="8"/>
      <c r="O78" s="9"/>
      <c r="P78" s="8" t="str">
        <f>IF(SUM(S78:MF78) &gt; 0, SUM(S78:MF78), "")</f>
        <v/>
      </c>
      <c r="Q78" s="109" t="str">
        <f t="shared" si="719"/>
        <v/>
      </c>
      <c r="R78" s="84"/>
      <c r="S78" s="7"/>
      <c r="Z78" s="7"/>
      <c r="AG78" s="7"/>
      <c r="AN78" s="7"/>
      <c r="AU78" s="7"/>
      <c r="BB78" s="7"/>
      <c r="BI78" s="7"/>
      <c r="BP78" s="7"/>
      <c r="BY78" s="7"/>
      <c r="CH78" s="7"/>
      <c r="CQ78" s="7"/>
      <c r="CZ78" s="7"/>
      <c r="DI78" s="7"/>
      <c r="DP78" s="7"/>
      <c r="DW78" s="7"/>
      <c r="ED78" s="7"/>
      <c r="EK78" s="7"/>
      <c r="ER78" s="7"/>
      <c r="EY78" s="7"/>
      <c r="FF78" s="7"/>
      <c r="FM78" s="7"/>
      <c r="FT78" s="7"/>
      <c r="GA78" s="7"/>
      <c r="GH78" s="7"/>
      <c r="GO78" s="7"/>
      <c r="GV78" s="7"/>
      <c r="HC78" s="7"/>
      <c r="HJ78" s="7"/>
      <c r="HQ78" s="7"/>
      <c r="HX78" s="7"/>
      <c r="IE78" s="7"/>
      <c r="IL78" s="7"/>
      <c r="IS78" s="7"/>
      <c r="IZ78" s="7"/>
      <c r="JG78" s="7"/>
      <c r="JN78" s="7"/>
      <c r="JU78" s="7"/>
      <c r="KB78" s="7"/>
      <c r="KI78" s="7"/>
      <c r="KP78" s="7"/>
      <c r="KW78" s="7"/>
      <c r="LD78" s="7"/>
      <c r="LK78" s="7"/>
      <c r="LR78" s="7"/>
      <c r="LY78" s="7"/>
      <c r="MF78" s="7"/>
    </row>
    <row r="79" spans="1:344" x14ac:dyDescent="0.25">
      <c r="A79" s="8" t="s">
        <v>21</v>
      </c>
      <c r="B79" s="8"/>
      <c r="C79" s="8"/>
      <c r="D79" s="8"/>
      <c r="E79" s="8"/>
      <c r="F79" s="10"/>
      <c r="G79" s="19"/>
      <c r="H79" s="19"/>
      <c r="I79" s="8"/>
      <c r="J79" s="8"/>
      <c r="K79" s="8"/>
      <c r="L79" s="8"/>
      <c r="M79" s="8"/>
      <c r="N79" s="8"/>
      <c r="O79" s="9"/>
      <c r="P79" s="8" t="str">
        <f>IF(SUM(S79:MF79) &gt; 0, SUM(S79:MF79), "")</f>
        <v/>
      </c>
      <c r="Q79" s="109" t="str">
        <f t="shared" si="719"/>
        <v/>
      </c>
      <c r="R79" s="84"/>
      <c r="S79" s="7"/>
      <c r="Z79" s="7"/>
      <c r="AG79" s="7"/>
      <c r="AN79" s="7"/>
      <c r="AU79" s="7"/>
      <c r="BB79" s="7"/>
      <c r="BI79" s="7"/>
      <c r="BP79" s="7"/>
      <c r="BY79" s="7"/>
      <c r="CH79" s="7"/>
      <c r="CQ79" s="7"/>
      <c r="CZ79" s="7"/>
      <c r="DI79" s="7"/>
      <c r="DP79" s="7"/>
      <c r="DW79" s="7"/>
      <c r="ED79" s="7"/>
      <c r="EK79" s="7"/>
      <c r="ER79" s="7"/>
      <c r="EY79" s="7"/>
      <c r="FF79" s="7"/>
      <c r="FM79" s="7"/>
      <c r="FT79" s="7"/>
      <c r="GA79" s="7"/>
      <c r="GH79" s="7"/>
      <c r="GO79" s="7"/>
      <c r="GV79" s="7"/>
      <c r="HC79" s="7"/>
      <c r="HJ79" s="7"/>
      <c r="HQ79" s="7"/>
      <c r="HX79" s="7"/>
      <c r="IE79" s="7"/>
      <c r="IL79" s="7"/>
      <c r="IS79" s="7"/>
      <c r="IZ79" s="7"/>
      <c r="JG79" s="7"/>
      <c r="JN79" s="7"/>
      <c r="JU79" s="7"/>
      <c r="KB79" s="7"/>
      <c r="KI79" s="7"/>
      <c r="KP79" s="7"/>
      <c r="KW79" s="7"/>
      <c r="LD79" s="7"/>
      <c r="LK79" s="7"/>
      <c r="LR79" s="7"/>
      <c r="LY79" s="7"/>
      <c r="MF79" s="7"/>
    </row>
    <row r="80" spans="1:344" x14ac:dyDescent="0.25">
      <c r="A80" s="8" t="s">
        <v>20</v>
      </c>
      <c r="B80" s="8"/>
      <c r="C80" s="8"/>
      <c r="D80" s="8"/>
      <c r="E80" s="8"/>
      <c r="F80" s="10"/>
      <c r="G80" s="19"/>
      <c r="H80" s="19"/>
      <c r="I80" s="8"/>
      <c r="J80" s="8"/>
      <c r="K80" s="8"/>
      <c r="L80" s="8"/>
      <c r="M80" s="8"/>
      <c r="N80" s="8"/>
      <c r="O80" s="9"/>
      <c r="P80" s="8" t="str">
        <f>IF(SUM(S80:MF80) &gt; 0, SUM(S80:MF80), "")</f>
        <v/>
      </c>
      <c r="Q80" s="109" t="str">
        <f t="shared" si="719"/>
        <v/>
      </c>
      <c r="R80" s="84"/>
      <c r="S80" s="7"/>
      <c r="Z80" s="7"/>
      <c r="AG80" s="7"/>
      <c r="AN80" s="7"/>
      <c r="AU80" s="7"/>
      <c r="BB80" s="7"/>
      <c r="BI80" s="7"/>
      <c r="BP80" s="7"/>
      <c r="BY80" s="7"/>
      <c r="CH80" s="7"/>
      <c r="CQ80" s="7"/>
      <c r="CZ80" s="7"/>
      <c r="DI80" s="7"/>
      <c r="DP80" s="7"/>
      <c r="DW80" s="7"/>
      <c r="ED80" s="7"/>
      <c r="EK80" s="7"/>
      <c r="ER80" s="7"/>
      <c r="EY80" s="7"/>
      <c r="FF80" s="7"/>
      <c r="FM80" s="7"/>
      <c r="FT80" s="7"/>
      <c r="GA80" s="7"/>
      <c r="GH80" s="7"/>
      <c r="GO80" s="7"/>
      <c r="GV80" s="7"/>
      <c r="HC80" s="7"/>
      <c r="HJ80" s="7"/>
      <c r="HQ80" s="7"/>
      <c r="HX80" s="7"/>
      <c r="IE80" s="7"/>
      <c r="IL80" s="7"/>
      <c r="IS80" s="7"/>
      <c r="IZ80" s="7"/>
      <c r="JG80" s="7"/>
      <c r="JN80" s="7"/>
      <c r="JU80" s="7"/>
      <c r="KB80" s="7"/>
      <c r="KI80" s="7"/>
      <c r="KP80" s="7"/>
      <c r="KW80" s="7"/>
      <c r="LD80" s="7"/>
      <c r="LK80" s="7"/>
      <c r="LR80" s="7"/>
      <c r="LY80" s="7"/>
      <c r="MF80" s="7"/>
    </row>
    <row r="81" spans="1:344" x14ac:dyDescent="0.25">
      <c r="A81" s="8" t="s">
        <v>19</v>
      </c>
      <c r="B81" s="8"/>
      <c r="C81" s="8"/>
      <c r="D81" s="8"/>
      <c r="E81" s="8"/>
      <c r="F81" s="10"/>
      <c r="G81" s="19"/>
      <c r="H81" s="19"/>
      <c r="I81" s="8"/>
      <c r="J81" s="8"/>
      <c r="K81" s="8"/>
      <c r="L81" s="8"/>
      <c r="M81" s="8"/>
      <c r="N81" s="8"/>
      <c r="O81" s="9"/>
      <c r="P81" s="8">
        <f>IF(SUM(S81:MF81) &gt; 0, SUM(S81:MF81), "")</f>
        <v>5</v>
      </c>
      <c r="Q81" s="109">
        <f t="shared" si="719"/>
        <v>13.888888888888889</v>
      </c>
      <c r="R81" s="84"/>
      <c r="S81" s="7"/>
      <c r="Z81" s="7"/>
      <c r="AG81" s="7"/>
      <c r="AK81">
        <v>1</v>
      </c>
      <c r="AN81" s="7"/>
      <c r="AU81" s="7"/>
      <c r="AW81">
        <v>1</v>
      </c>
      <c r="AY81">
        <v>1</v>
      </c>
      <c r="BB81" s="7"/>
      <c r="BF81">
        <v>1</v>
      </c>
      <c r="BI81" s="7"/>
      <c r="BN81">
        <v>1</v>
      </c>
      <c r="BP81" s="7"/>
      <c r="BY81" s="7"/>
      <c r="CH81" s="7"/>
      <c r="CQ81" s="7"/>
      <c r="CZ81" s="7"/>
      <c r="DI81" s="7"/>
      <c r="DP81" s="7"/>
      <c r="DW81" s="7"/>
      <c r="ED81" s="7"/>
      <c r="EK81" s="7"/>
      <c r="ER81" s="7"/>
      <c r="EY81" s="7"/>
      <c r="FF81" s="7"/>
      <c r="FM81" s="7"/>
      <c r="FT81" s="7"/>
      <c r="GA81" s="7"/>
      <c r="GH81" s="7"/>
      <c r="GO81" s="7"/>
      <c r="GV81" s="7"/>
      <c r="HC81" s="7"/>
      <c r="HJ81" s="7"/>
      <c r="HQ81" s="7"/>
      <c r="HX81" s="7"/>
      <c r="IE81" s="7"/>
      <c r="IL81" s="7"/>
      <c r="IS81" s="7"/>
      <c r="IZ81" s="7"/>
      <c r="JG81" s="7"/>
      <c r="JN81" s="7"/>
      <c r="JU81" s="7"/>
      <c r="KB81" s="7"/>
      <c r="KI81" s="7"/>
      <c r="KP81" s="7"/>
      <c r="KW81" s="7"/>
      <c r="LD81" s="7"/>
      <c r="LK81" s="7"/>
      <c r="LR81" s="7"/>
      <c r="LY81" s="7"/>
      <c r="MF81" s="7"/>
    </row>
    <row r="82" spans="1:344" ht="5.25" customHeight="1" x14ac:dyDescent="0.25">
      <c r="A82" s="8"/>
      <c r="B82" s="8"/>
      <c r="C82" s="8"/>
      <c r="D82" s="8"/>
      <c r="E82" s="8"/>
      <c r="F82" s="10"/>
      <c r="G82" s="19"/>
      <c r="H82" s="19"/>
      <c r="I82" s="8"/>
      <c r="J82" s="8"/>
      <c r="K82" s="8"/>
      <c r="L82" s="8"/>
      <c r="M82" s="8"/>
      <c r="N82" s="8"/>
      <c r="O82" s="9"/>
      <c r="P82" s="8" t="str">
        <f>IF(SUM(R82:MF82) &gt; 0, SUM(R82:MF82), "")</f>
        <v/>
      </c>
      <c r="Q82" s="109" t="str">
        <f t="shared" si="719"/>
        <v/>
      </c>
      <c r="R82" s="9"/>
      <c r="S82" s="7"/>
      <c r="Z82" s="7"/>
      <c r="AG82" s="7"/>
      <c r="AN82" s="7"/>
      <c r="AU82" s="7"/>
      <c r="BB82" s="7"/>
      <c r="BI82" s="7"/>
      <c r="BP82" s="7"/>
      <c r="BY82" s="7"/>
      <c r="CH82" s="7"/>
      <c r="CQ82" s="7"/>
      <c r="CZ82" s="7"/>
      <c r="DI82" s="7"/>
      <c r="DP82" s="7"/>
      <c r="DW82" s="7"/>
      <c r="ED82" s="7"/>
      <c r="EK82" s="7"/>
      <c r="ER82" s="7"/>
      <c r="EY82" s="7"/>
      <c r="FF82" s="7"/>
      <c r="FM82" s="7"/>
      <c r="FT82" s="7"/>
      <c r="GA82" s="7"/>
      <c r="GH82" s="7"/>
      <c r="GO82" s="7"/>
      <c r="GV82" s="7"/>
      <c r="HC82" s="7"/>
      <c r="HJ82" s="7"/>
      <c r="HQ82" s="7"/>
      <c r="HX82" s="7"/>
      <c r="IE82" s="7"/>
      <c r="IL82" s="7"/>
      <c r="IS82" s="7"/>
      <c r="IZ82" s="7"/>
      <c r="JG82" s="7"/>
      <c r="JN82" s="7"/>
      <c r="JU82" s="7"/>
      <c r="KB82" s="7"/>
      <c r="KI82" s="7"/>
      <c r="KP82" s="7"/>
      <c r="KW82" s="7"/>
      <c r="LD82" s="7"/>
      <c r="LK82" s="7"/>
      <c r="LR82" s="7"/>
      <c r="LY82" s="7"/>
      <c r="MF82" s="7"/>
    </row>
    <row r="83" spans="1:344" x14ac:dyDescent="0.25">
      <c r="A83" s="6" t="s">
        <v>18</v>
      </c>
      <c r="B83" s="3"/>
      <c r="C83" s="3"/>
      <c r="D83" s="3"/>
      <c r="E83" s="3"/>
      <c r="F83" s="5"/>
      <c r="G83" s="3"/>
      <c r="H83" s="3"/>
      <c r="I83" s="3"/>
      <c r="J83" s="3"/>
      <c r="K83" s="3"/>
      <c r="L83" s="3"/>
      <c r="M83" s="3"/>
      <c r="N83" s="3"/>
      <c r="O83" s="4"/>
      <c r="P83" s="3">
        <f>SUM(S83:MF83)</f>
        <v>36</v>
      </c>
      <c r="Q83" s="3"/>
      <c r="R83" s="4"/>
      <c r="S83" s="4">
        <v>1</v>
      </c>
      <c r="T83" s="3"/>
      <c r="U83" s="3">
        <v>1</v>
      </c>
      <c r="V83" s="3">
        <v>1</v>
      </c>
      <c r="W83" s="3"/>
      <c r="X83" s="3">
        <v>1</v>
      </c>
      <c r="Y83" s="3"/>
      <c r="Z83" s="4"/>
      <c r="AA83" s="3"/>
      <c r="AB83" s="3">
        <v>1</v>
      </c>
      <c r="AC83" s="3"/>
      <c r="AD83" s="3">
        <v>1</v>
      </c>
      <c r="AE83" s="3">
        <v>1</v>
      </c>
      <c r="AF83" s="3"/>
      <c r="AG83" s="4"/>
      <c r="AH83" s="3"/>
      <c r="AI83" s="3">
        <v>1</v>
      </c>
      <c r="AJ83" s="3"/>
      <c r="AK83" s="3">
        <v>1</v>
      </c>
      <c r="AL83" s="3">
        <v>1</v>
      </c>
      <c r="AM83" s="3"/>
      <c r="AN83" s="4"/>
      <c r="AO83" s="3"/>
      <c r="AP83" s="3">
        <v>1</v>
      </c>
      <c r="AQ83" s="3"/>
      <c r="AR83" s="3">
        <v>1</v>
      </c>
      <c r="AS83" s="3">
        <v>1</v>
      </c>
      <c r="AT83" s="3"/>
      <c r="AU83" s="4"/>
      <c r="AV83" s="3"/>
      <c r="AW83" s="3">
        <v>1</v>
      </c>
      <c r="AX83" s="3">
        <v>1</v>
      </c>
      <c r="AY83" s="3">
        <v>1</v>
      </c>
      <c r="AZ83" s="3">
        <v>1</v>
      </c>
      <c r="BA83" s="3"/>
      <c r="BB83" s="4"/>
      <c r="BC83" s="3"/>
      <c r="BD83" s="3">
        <v>1</v>
      </c>
      <c r="BE83" s="3"/>
      <c r="BF83" s="3">
        <v>1</v>
      </c>
      <c r="BG83" s="3">
        <v>1</v>
      </c>
      <c r="BH83" s="3"/>
      <c r="BI83" s="4"/>
      <c r="BJ83" s="3"/>
      <c r="BK83" s="3">
        <v>1</v>
      </c>
      <c r="BL83" s="3"/>
      <c r="BM83" s="3">
        <v>1</v>
      </c>
      <c r="BN83" s="3">
        <v>1</v>
      </c>
      <c r="BO83" s="3"/>
      <c r="BP83" s="4">
        <v>1</v>
      </c>
      <c r="BQ83" s="3"/>
      <c r="BR83" s="3">
        <v>1</v>
      </c>
      <c r="BS83" s="3"/>
      <c r="BT83" s="3">
        <v>1</v>
      </c>
      <c r="BU83" s="3"/>
      <c r="BV83" s="3"/>
      <c r="BW83" s="3">
        <v>1</v>
      </c>
      <c r="BX83" s="3"/>
      <c r="BY83" s="4"/>
      <c r="BZ83" s="3"/>
      <c r="CA83" s="3"/>
      <c r="CB83" s="3"/>
      <c r="CC83" s="3">
        <v>1</v>
      </c>
      <c r="CD83" s="3"/>
      <c r="CE83" s="3"/>
      <c r="CF83" s="3">
        <v>1</v>
      </c>
      <c r="CG83" s="3"/>
      <c r="CH83" s="4"/>
      <c r="CI83" s="3"/>
      <c r="CJ83" s="3"/>
      <c r="CK83" s="3"/>
      <c r="CL83" s="3">
        <v>1</v>
      </c>
      <c r="CM83" s="3"/>
      <c r="CN83" s="3"/>
      <c r="CO83" s="3">
        <v>1</v>
      </c>
      <c r="CP83" s="3"/>
      <c r="CQ83" s="4"/>
      <c r="CR83" s="3"/>
      <c r="CS83" s="3">
        <v>1</v>
      </c>
      <c r="CT83" s="3"/>
      <c r="CU83" s="3">
        <v>1</v>
      </c>
      <c r="CV83" s="3">
        <v>1</v>
      </c>
      <c r="CW83" s="3"/>
      <c r="CX83" s="3">
        <v>1</v>
      </c>
      <c r="CY83" s="3"/>
      <c r="CZ83" s="4"/>
      <c r="DA83" s="3"/>
      <c r="DB83" s="3">
        <v>1</v>
      </c>
      <c r="DC83" s="3"/>
      <c r="DD83" s="3"/>
      <c r="DE83" s="3"/>
      <c r="DF83" s="3"/>
      <c r="DG83" s="3"/>
      <c r="DH83" s="3"/>
      <c r="DI83" s="4"/>
      <c r="DJ83" s="3"/>
      <c r="DK83" s="3"/>
      <c r="DL83" s="3"/>
      <c r="DM83" s="3"/>
      <c r="DN83" s="3"/>
      <c r="DO83" s="3"/>
      <c r="DP83" s="4"/>
      <c r="DQ83" s="3"/>
      <c r="DR83" s="3"/>
      <c r="DS83" s="3"/>
      <c r="DT83" s="3"/>
      <c r="DU83" s="3"/>
      <c r="DV83" s="3"/>
      <c r="DW83" s="4"/>
      <c r="DX83" s="3"/>
      <c r="DY83" s="3"/>
      <c r="DZ83" s="3"/>
      <c r="EA83" s="3"/>
      <c r="EB83" s="3"/>
      <c r="EC83" s="3"/>
      <c r="ED83" s="4"/>
      <c r="EE83" s="3"/>
      <c r="EF83" s="3"/>
      <c r="EG83" s="3"/>
      <c r="EH83" s="3"/>
      <c r="EI83" s="3"/>
      <c r="EJ83" s="3"/>
      <c r="EK83" s="4"/>
      <c r="EL83" s="3"/>
      <c r="EM83" s="3"/>
      <c r="EN83" s="3"/>
      <c r="EO83" s="3"/>
      <c r="EP83" s="3"/>
      <c r="EQ83" s="3"/>
      <c r="ER83" s="4"/>
      <c r="ES83" s="3"/>
      <c r="ET83" s="3"/>
      <c r="EU83" s="3"/>
      <c r="EV83" s="3"/>
      <c r="EW83" s="3"/>
      <c r="EX83" s="3"/>
      <c r="EY83" s="4"/>
      <c r="EZ83" s="3"/>
      <c r="FA83" s="3"/>
      <c r="FB83" s="3"/>
      <c r="FC83" s="3"/>
      <c r="FD83" s="3"/>
      <c r="FE83" s="3"/>
      <c r="FF83" s="4"/>
      <c r="FG83" s="3"/>
      <c r="FH83" s="3"/>
      <c r="FI83" s="3"/>
      <c r="FJ83" s="3"/>
      <c r="FK83" s="3"/>
      <c r="FL83" s="3"/>
      <c r="FM83" s="4"/>
      <c r="FN83" s="3"/>
      <c r="FO83" s="3"/>
      <c r="FP83" s="3"/>
      <c r="FQ83" s="3"/>
      <c r="FR83" s="3"/>
      <c r="FS83" s="3"/>
      <c r="FT83" s="4"/>
      <c r="FU83" s="3"/>
      <c r="FV83" s="3"/>
      <c r="FW83" s="3"/>
      <c r="FX83" s="3"/>
      <c r="FY83" s="3"/>
      <c r="FZ83" s="3"/>
      <c r="GA83" s="4"/>
      <c r="GB83" s="3"/>
      <c r="GC83" s="3"/>
      <c r="GD83" s="3"/>
      <c r="GE83" s="3"/>
      <c r="GF83" s="3"/>
      <c r="GG83" s="3"/>
      <c r="GH83" s="4"/>
      <c r="GI83" s="3"/>
      <c r="GJ83" s="3"/>
      <c r="GK83" s="3"/>
      <c r="GL83" s="3"/>
      <c r="GM83" s="3"/>
      <c r="GN83" s="3"/>
      <c r="GO83" s="4"/>
      <c r="GP83" s="3"/>
      <c r="GQ83" s="3"/>
      <c r="GR83" s="3"/>
      <c r="GS83" s="3"/>
      <c r="GT83" s="3"/>
      <c r="GU83" s="3"/>
      <c r="GV83" s="4"/>
      <c r="GW83" s="3"/>
      <c r="GX83" s="3"/>
      <c r="GY83" s="3"/>
      <c r="GZ83" s="3"/>
      <c r="HA83" s="3"/>
      <c r="HB83" s="3"/>
      <c r="HC83" s="4"/>
      <c r="HD83" s="3"/>
      <c r="HE83" s="3"/>
      <c r="HF83" s="3"/>
      <c r="HG83" s="3"/>
      <c r="HH83" s="3"/>
      <c r="HI83" s="3"/>
      <c r="HJ83" s="4"/>
      <c r="HK83" s="3"/>
      <c r="HL83" s="3"/>
      <c r="HM83" s="3"/>
      <c r="HN83" s="3"/>
      <c r="HO83" s="3"/>
      <c r="HP83" s="3"/>
      <c r="HQ83" s="4"/>
      <c r="HR83" s="3"/>
      <c r="HS83" s="3"/>
      <c r="HT83" s="3"/>
      <c r="HU83" s="3"/>
      <c r="HV83" s="3"/>
      <c r="HW83" s="3"/>
      <c r="HX83" s="4"/>
      <c r="HY83" s="3"/>
      <c r="HZ83" s="3"/>
      <c r="IA83" s="3"/>
      <c r="IB83" s="3"/>
      <c r="IC83" s="3"/>
      <c r="ID83" s="3"/>
      <c r="IE83" s="4"/>
      <c r="IF83" s="3"/>
      <c r="IG83" s="3"/>
      <c r="IH83" s="3"/>
      <c r="II83" s="3"/>
      <c r="IJ83" s="3"/>
      <c r="IK83" s="3"/>
      <c r="IL83" s="4"/>
      <c r="IM83" s="3"/>
      <c r="IN83" s="3"/>
      <c r="IO83" s="3"/>
      <c r="IP83" s="3"/>
      <c r="IQ83" s="3"/>
      <c r="IR83" s="3"/>
      <c r="IS83" s="4"/>
      <c r="IT83" s="3"/>
      <c r="IU83" s="3"/>
      <c r="IV83" s="3"/>
      <c r="IW83" s="3"/>
      <c r="IX83" s="3"/>
      <c r="IY83" s="3"/>
      <c r="IZ83" s="4"/>
      <c r="JA83" s="3"/>
      <c r="JB83" s="3"/>
      <c r="JC83" s="3"/>
      <c r="JD83" s="3"/>
      <c r="JE83" s="3"/>
      <c r="JF83" s="3"/>
      <c r="JG83" s="4"/>
      <c r="JH83" s="3"/>
      <c r="JI83" s="3"/>
      <c r="JJ83" s="3"/>
      <c r="JK83" s="3"/>
      <c r="JL83" s="3"/>
      <c r="JM83" s="3"/>
      <c r="JN83" s="4"/>
      <c r="JO83" s="3"/>
      <c r="JP83" s="3"/>
      <c r="JQ83" s="3"/>
      <c r="JR83" s="3"/>
      <c r="JS83" s="3"/>
      <c r="JT83" s="3"/>
      <c r="JU83" s="4"/>
      <c r="JV83" s="3"/>
      <c r="JW83" s="3"/>
      <c r="JX83" s="3"/>
      <c r="JY83" s="3"/>
      <c r="JZ83" s="3"/>
      <c r="KA83" s="3"/>
      <c r="KB83" s="4"/>
      <c r="KC83" s="3"/>
      <c r="KD83" s="3"/>
      <c r="KE83" s="3"/>
      <c r="KF83" s="3"/>
      <c r="KG83" s="3"/>
      <c r="KH83" s="3"/>
      <c r="KI83" s="4"/>
      <c r="KJ83" s="3"/>
      <c r="KK83" s="3"/>
      <c r="KL83" s="3"/>
      <c r="KM83" s="3"/>
      <c r="KN83" s="3"/>
      <c r="KO83" s="3"/>
      <c r="KP83" s="4"/>
      <c r="KQ83" s="3"/>
      <c r="KR83" s="3"/>
      <c r="KS83" s="3"/>
      <c r="KT83" s="3"/>
      <c r="KU83" s="3"/>
      <c r="KV83" s="3"/>
      <c r="KW83" s="4"/>
      <c r="KX83" s="3"/>
      <c r="KY83" s="3"/>
      <c r="KZ83" s="3"/>
      <c r="LA83" s="3"/>
      <c r="LB83" s="3"/>
      <c r="LC83" s="3"/>
      <c r="LD83" s="4"/>
      <c r="LE83" s="3"/>
      <c r="LF83" s="3"/>
      <c r="LG83" s="3"/>
      <c r="LH83" s="3"/>
      <c r="LI83" s="3"/>
      <c r="LJ83" s="3"/>
      <c r="LK83" s="4"/>
      <c r="LL83" s="3"/>
      <c r="LM83" s="3"/>
      <c r="LN83" s="3"/>
      <c r="LO83" s="3"/>
      <c r="LP83" s="3"/>
      <c r="LQ83" s="3"/>
      <c r="LR83" s="4"/>
      <c r="LS83" s="3"/>
      <c r="LT83" s="3"/>
      <c r="LU83" s="3"/>
      <c r="LV83" s="3"/>
      <c r="LW83" s="3"/>
      <c r="LX83" s="3"/>
      <c r="LY83" s="4"/>
      <c r="LZ83" s="3"/>
      <c r="MA83" s="3"/>
      <c r="MB83" s="3"/>
      <c r="MC83" s="3"/>
      <c r="MD83" s="3"/>
      <c r="ME83" s="3"/>
      <c r="MF83" s="4"/>
    </row>
    <row r="85" spans="1:344" x14ac:dyDescent="0.25">
      <c r="B85" t="s">
        <v>200</v>
      </c>
      <c r="C85" t="s">
        <v>201</v>
      </c>
      <c r="D85" t="s">
        <v>202</v>
      </c>
      <c r="E85" t="s">
        <v>203</v>
      </c>
      <c r="F85" t="s">
        <v>208</v>
      </c>
      <c r="G85" t="s">
        <v>204</v>
      </c>
      <c r="H85" t="s">
        <v>205</v>
      </c>
      <c r="I85" t="s">
        <v>48</v>
      </c>
      <c r="J85" t="s">
        <v>414</v>
      </c>
      <c r="K85" t="s">
        <v>206</v>
      </c>
      <c r="L85" t="s">
        <v>207</v>
      </c>
    </row>
    <row r="86" spans="1:344" ht="15" customHeight="1" x14ac:dyDescent="0.25">
      <c r="A86" t="s">
        <v>17</v>
      </c>
      <c r="B86" t="s">
        <v>145</v>
      </c>
      <c r="C86">
        <v>7</v>
      </c>
      <c r="D86">
        <v>26</v>
      </c>
      <c r="E86">
        <v>32</v>
      </c>
      <c r="F86">
        <v>1</v>
      </c>
      <c r="G86" t="s">
        <v>15</v>
      </c>
      <c r="H86" t="s">
        <v>13</v>
      </c>
      <c r="I86" t="s">
        <v>188</v>
      </c>
      <c r="J86" t="s">
        <v>189</v>
      </c>
      <c r="K86" t="s">
        <v>415</v>
      </c>
      <c r="L86" s="51" t="str">
        <f>FindEnd(S33:MF33)</f>
        <v>DI</v>
      </c>
      <c r="N86" s="101"/>
      <c r="O86" s="102"/>
      <c r="P86" s="102"/>
      <c r="Q86" s="102"/>
      <c r="R86" s="103"/>
      <c r="S86" s="102"/>
      <c r="V86" s="34"/>
    </row>
    <row r="87" spans="1:344" x14ac:dyDescent="0.25">
      <c r="B87" t="s">
        <v>148</v>
      </c>
      <c r="C87">
        <v>41</v>
      </c>
      <c r="D87">
        <v>58</v>
      </c>
      <c r="E87">
        <v>61</v>
      </c>
      <c r="F87">
        <v>35</v>
      </c>
      <c r="G87" t="s">
        <v>15</v>
      </c>
      <c r="H87" t="s">
        <v>13</v>
      </c>
      <c r="I87" t="s">
        <v>188</v>
      </c>
      <c r="K87" t="s">
        <v>105</v>
      </c>
      <c r="L87" s="51" t="str">
        <f>FindEnd(S60:MF60)</f>
        <v>BY</v>
      </c>
    </row>
    <row r="88" spans="1:344" x14ac:dyDescent="0.25">
      <c r="B88" t="s">
        <v>16</v>
      </c>
      <c r="C88">
        <v>67</v>
      </c>
      <c r="D88">
        <v>70</v>
      </c>
      <c r="E88">
        <v>73</v>
      </c>
      <c r="F88">
        <v>62</v>
      </c>
      <c r="G88" t="s">
        <v>15</v>
      </c>
      <c r="H88" t="s">
        <v>13</v>
      </c>
      <c r="I88" t="s">
        <v>188</v>
      </c>
      <c r="K88" t="s">
        <v>105</v>
      </c>
      <c r="L88" s="51" t="str">
        <f>FindEnd(S72:MF72)</f>
        <v>BY</v>
      </c>
    </row>
    <row r="89" spans="1:344" x14ac:dyDescent="0.25">
      <c r="F89" s="106" t="s">
        <v>410</v>
      </c>
      <c r="K89" s="51"/>
    </row>
    <row r="90" spans="1:344" x14ac:dyDescent="0.25">
      <c r="K90" s="51"/>
    </row>
    <row r="91" spans="1:344" x14ac:dyDescent="0.25">
      <c r="K91" s="51"/>
    </row>
    <row r="92" spans="1:344" x14ac:dyDescent="0.25">
      <c r="K92" s="51"/>
    </row>
    <row r="94" spans="1:344" hidden="1" x14ac:dyDescent="0.25">
      <c r="A94" s="8" t="s">
        <v>112</v>
      </c>
      <c r="B94" s="8" t="s">
        <v>111</v>
      </c>
      <c r="C94" s="8" t="s">
        <v>110</v>
      </c>
      <c r="D94" s="8" t="s">
        <v>109</v>
      </c>
      <c r="E94" s="18">
        <v>40099</v>
      </c>
    </row>
    <row r="95" spans="1:344" hidden="1" x14ac:dyDescent="0.25">
      <c r="A95" s="8" t="s">
        <v>83</v>
      </c>
      <c r="B95" s="8"/>
      <c r="C95" s="8" t="s">
        <v>105</v>
      </c>
      <c r="D95" s="8" t="s">
        <v>104</v>
      </c>
      <c r="E95" s="18">
        <v>39365</v>
      </c>
    </row>
    <row r="96" spans="1:344" hidden="1" x14ac:dyDescent="0.25">
      <c r="A96" s="8" t="s">
        <v>103</v>
      </c>
      <c r="B96" s="8"/>
      <c r="C96" s="8" t="s">
        <v>102</v>
      </c>
      <c r="D96" s="8" t="s">
        <v>101</v>
      </c>
      <c r="E96" s="18">
        <v>39705</v>
      </c>
    </row>
    <row r="97" spans="1:5" hidden="1" x14ac:dyDescent="0.25">
      <c r="A97" s="8" t="s">
        <v>86</v>
      </c>
      <c r="B97" s="8"/>
      <c r="C97" s="8" t="s">
        <v>100</v>
      </c>
      <c r="D97" s="8" t="s">
        <v>97</v>
      </c>
      <c r="E97" s="18">
        <v>39386</v>
      </c>
    </row>
    <row r="98" spans="1:5" hidden="1" x14ac:dyDescent="0.25">
      <c r="A98" s="8" t="s">
        <v>99</v>
      </c>
      <c r="B98" s="8"/>
      <c r="C98" s="8" t="s">
        <v>98</v>
      </c>
      <c r="D98" s="8" t="s">
        <v>97</v>
      </c>
      <c r="E98" s="18">
        <v>39386</v>
      </c>
    </row>
    <row r="99" spans="1:5" hidden="1" x14ac:dyDescent="0.25">
      <c r="A99" s="8" t="s">
        <v>96</v>
      </c>
      <c r="B99" s="8" t="s">
        <v>95</v>
      </c>
      <c r="C99" s="8" t="s">
        <v>94</v>
      </c>
      <c r="D99" s="8" t="s">
        <v>93</v>
      </c>
      <c r="E99" s="18">
        <v>39590</v>
      </c>
    </row>
    <row r="100" spans="1:5" x14ac:dyDescent="0.25">
      <c r="A100" s="8" t="s">
        <v>72</v>
      </c>
      <c r="B100" s="8"/>
      <c r="C100" s="8" t="s">
        <v>71</v>
      </c>
      <c r="D100" s="8" t="s">
        <v>70</v>
      </c>
      <c r="E100" s="18">
        <v>40754</v>
      </c>
    </row>
    <row r="101" spans="1:5" x14ac:dyDescent="0.25">
      <c r="A101" s="8" t="s">
        <v>69</v>
      </c>
      <c r="B101" s="8"/>
      <c r="C101" s="8" t="s">
        <v>68</v>
      </c>
      <c r="D101" s="8" t="s">
        <v>67</v>
      </c>
      <c r="E101" s="18"/>
    </row>
    <row r="102" spans="1:5" x14ac:dyDescent="0.25">
      <c r="A102" s="8" t="s">
        <v>66</v>
      </c>
      <c r="B102" s="8" t="s">
        <v>65</v>
      </c>
      <c r="C102" s="8" t="s">
        <v>64</v>
      </c>
      <c r="D102" s="8" t="s">
        <v>63</v>
      </c>
      <c r="E102" s="18">
        <v>39713</v>
      </c>
    </row>
    <row r="103" spans="1:5" x14ac:dyDescent="0.25">
      <c r="A103" s="8" t="s">
        <v>61</v>
      </c>
      <c r="B103" s="8"/>
      <c r="C103" s="8" t="s">
        <v>60</v>
      </c>
      <c r="D103" s="8" t="s">
        <v>59</v>
      </c>
      <c r="E103" s="18"/>
    </row>
    <row r="104" spans="1:5" x14ac:dyDescent="0.25">
      <c r="A104" s="8" t="s">
        <v>58</v>
      </c>
      <c r="B104" s="8"/>
      <c r="C104" s="8" t="s">
        <v>57</v>
      </c>
      <c r="D104" s="8"/>
      <c r="E104" s="18"/>
    </row>
    <row r="105" spans="1:5" x14ac:dyDescent="0.25">
      <c r="A105" s="8" t="s">
        <v>56</v>
      </c>
      <c r="B105" s="8"/>
      <c r="C105" s="8" t="s">
        <v>14</v>
      </c>
      <c r="D105" s="8"/>
      <c r="E105" s="18"/>
    </row>
    <row r="106" spans="1:5" x14ac:dyDescent="0.25">
      <c r="A106" s="8" t="s">
        <v>55</v>
      </c>
      <c r="B106" s="8"/>
      <c r="C106" s="31" t="s">
        <v>54</v>
      </c>
      <c r="D106" s="8"/>
      <c r="E106" s="18"/>
    </row>
    <row r="107" spans="1:5" x14ac:dyDescent="0.25">
      <c r="A107" s="8" t="s">
        <v>53</v>
      </c>
      <c r="B107" s="8"/>
      <c r="C107" s="31" t="s">
        <v>52</v>
      </c>
      <c r="D107" s="8"/>
      <c r="E107" s="18"/>
    </row>
    <row r="108" spans="1:5" x14ac:dyDescent="0.25">
      <c r="A108" s="8" t="s">
        <v>51</v>
      </c>
      <c r="B108" s="8"/>
      <c r="C108" s="31" t="s">
        <v>50</v>
      </c>
      <c r="D108" s="8"/>
      <c r="E108" s="18"/>
    </row>
  </sheetData>
  <dataConsolidate/>
  <mergeCells count="12">
    <mergeCell ref="A63:E64"/>
    <mergeCell ref="P63:P64"/>
    <mergeCell ref="R63:R64"/>
    <mergeCell ref="R2:R3"/>
    <mergeCell ref="A2:E3"/>
    <mergeCell ref="P2:P3"/>
    <mergeCell ref="A36:E37"/>
    <mergeCell ref="P36:P37"/>
    <mergeCell ref="R36:R37"/>
    <mergeCell ref="Q2:Q3"/>
    <mergeCell ref="Q36:Q37"/>
    <mergeCell ref="Q63:Q64"/>
  </mergeCells>
  <pageMargins left="0.7" right="0.7" top="0.75" bottom="0.75" header="0.3" footer="0.3"/>
  <pageSetup paperSize="9" orientation="portrait" r:id="rId1"/>
  <ignoredErrors>
    <ignoredError sqref="BY7 BY9:BY11 BX7:BX11 BY25:BY26 CH8:CH11 CH7 CG8:CG11 CG7 BX25:BX26 CH19:CH21 CH13:CH14 CG13:CG14 CG23 CG15:CG17 CG18:CG21 CG25:CG26 CH23 CH15:CH16 CH18 CH17 CH25:CH26 CG12:CH12 CG24:CH24 BX13:BX16 BY13:BY16 BX12:BY12 BX24 BX23 BY23:BY24 CP24:CP26 CP20:CP21 CP23:CQ23 CQ20:CQ21 CQ24:CQ26 BY20 BX20 BX17:BY19 BX21:BY21 BX22:CQ22 DH7:DI9 CY20:CY26 CZ20:CZ26 CZ18 CY18 CZ11:CZ16 CY11:CY16 CQ11:CQ15 CP11:CP15 CZ8:CZ9 CY8:CY9 CQ18:CQ19 CQ8:CQ9 CP16:CQ17 CP7:CQ7 CP8:CP9 CP18:CP19 CR7:CZ7 CR19:CZ19 CP10:CZ10 CR8:CX9 CR17:CZ17 CR11:CX15 CR16:CX16 CR18:CX18 DH13:DI26 DI12 DH11:DI11" numberStoredAsText="1"/>
    <ignoredError sqref="P29 Q7 CZ32 Q32" formula="1"/>
    <ignoredError sqref="DI61:MF61 AI61:CV71 DJ63:MF63 DJ62:MF62 DI65:MF83 CY64 DI64:MF64 AI73:CV76 AI72:BL72 BN72:CV72 AI78:CV82 AI77:CR77 CT77 AI83:CR83 CT83 DA64:DF64 CY65:DF76 DA62:DF62 DA63:DF63 CY61:DF61 CY78:DF82 CY77:DA77 DC77:DF77 CY83:DA83 DC83:DF83"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85</xdr:row>
                    <xdr:rowOff>28575</xdr:rowOff>
                  </from>
                  <to>
                    <xdr:col>0</xdr:col>
                    <xdr:colOff>676275</xdr:colOff>
                    <xdr:row>87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89</xdr:row>
                    <xdr:rowOff>28575</xdr:rowOff>
                  </from>
                  <to>
                    <xdr:col>9</xdr:col>
                    <xdr:colOff>47625</xdr:colOff>
                    <xdr:row>90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94"/>
  <sheetViews>
    <sheetView workbookViewId="0">
      <selection activeCell="B7" sqref="B7"/>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5">
        <v>44057</v>
      </c>
      <c r="B7" s="74" t="s">
        <v>426</v>
      </c>
      <c r="C7" s="74"/>
      <c r="D7" s="73"/>
    </row>
    <row r="8" spans="1:4" ht="60" x14ac:dyDescent="0.25">
      <c r="A8" s="72"/>
      <c r="B8" s="76" t="s">
        <v>427</v>
      </c>
      <c r="C8" s="74"/>
      <c r="D8" s="73"/>
    </row>
    <row r="9" spans="1:4" x14ac:dyDescent="0.25">
      <c r="A9" s="75">
        <v>44056</v>
      </c>
      <c r="B9" s="74" t="s">
        <v>424</v>
      </c>
      <c r="C9" s="74"/>
      <c r="D9" s="73"/>
    </row>
    <row r="10" spans="1:4" x14ac:dyDescent="0.25">
      <c r="A10" s="72"/>
      <c r="B10" s="73" t="s">
        <v>425</v>
      </c>
      <c r="C10" s="74"/>
      <c r="D10" s="73"/>
    </row>
    <row r="11" spans="1:4" x14ac:dyDescent="0.25">
      <c r="A11" s="75">
        <v>44054</v>
      </c>
      <c r="B11" s="74" t="s">
        <v>422</v>
      </c>
      <c r="C11" s="74"/>
      <c r="D11" s="73"/>
    </row>
    <row r="12" spans="1:4" ht="75" x14ac:dyDescent="0.25">
      <c r="A12" s="72"/>
      <c r="B12" s="76" t="s">
        <v>423</v>
      </c>
      <c r="C12" s="74"/>
      <c r="D12" s="73"/>
    </row>
    <row r="13" spans="1:4" x14ac:dyDescent="0.25">
      <c r="A13" s="72"/>
      <c r="B13" s="73"/>
      <c r="C13" s="74"/>
      <c r="D13" s="73"/>
    </row>
    <row r="14" spans="1:4" x14ac:dyDescent="0.25">
      <c r="A14" s="75">
        <v>44052</v>
      </c>
      <c r="B14" s="74" t="s">
        <v>349</v>
      </c>
      <c r="C14" s="74"/>
      <c r="D14" s="73"/>
    </row>
    <row r="15" spans="1:4" ht="90" x14ac:dyDescent="0.25">
      <c r="A15" s="72"/>
      <c r="B15" s="76" t="s">
        <v>417</v>
      </c>
      <c r="C15" s="74"/>
      <c r="D15" s="73"/>
    </row>
    <row r="16" spans="1:4" x14ac:dyDescent="0.25">
      <c r="A16" s="75">
        <v>44050</v>
      </c>
      <c r="B16" s="74" t="s">
        <v>404</v>
      </c>
      <c r="C16" s="74"/>
      <c r="D16" s="73"/>
    </row>
    <row r="17" spans="1:4" ht="90" x14ac:dyDescent="0.25">
      <c r="A17" s="72"/>
      <c r="B17" s="76" t="s">
        <v>407</v>
      </c>
      <c r="C17" s="74"/>
      <c r="D17" s="73"/>
    </row>
    <row r="18" spans="1:4" x14ac:dyDescent="0.25">
      <c r="A18" s="75">
        <v>44049</v>
      </c>
      <c r="B18" s="74" t="s">
        <v>409</v>
      </c>
      <c r="C18" s="74"/>
      <c r="D18" s="73"/>
    </row>
    <row r="19" spans="1:4" ht="75" x14ac:dyDescent="0.25">
      <c r="A19" s="72"/>
      <c r="B19" s="76" t="s">
        <v>408</v>
      </c>
      <c r="C19" s="74"/>
      <c r="D19" s="73"/>
    </row>
    <row r="20" spans="1:4" x14ac:dyDescent="0.25">
      <c r="A20" s="75">
        <v>44047</v>
      </c>
      <c r="B20" s="74" t="s">
        <v>404</v>
      </c>
      <c r="C20" s="74"/>
      <c r="D20" s="73"/>
    </row>
    <row r="21" spans="1:4" ht="90" x14ac:dyDescent="0.25">
      <c r="A21" s="72"/>
      <c r="B21" s="76" t="s">
        <v>405</v>
      </c>
      <c r="C21" s="74"/>
      <c r="D21" s="73"/>
    </row>
    <row r="22" spans="1:4" x14ac:dyDescent="0.25">
      <c r="A22" s="72"/>
      <c r="B22" s="73"/>
      <c r="C22" s="74"/>
      <c r="D22" s="73"/>
    </row>
    <row r="23" spans="1:4" x14ac:dyDescent="0.25">
      <c r="A23" s="75">
        <v>44045</v>
      </c>
      <c r="B23" s="74" t="s">
        <v>402</v>
      </c>
      <c r="C23" s="74"/>
      <c r="D23" s="73"/>
    </row>
    <row r="24" spans="1:4" ht="60" x14ac:dyDescent="0.25">
      <c r="A24" s="72"/>
      <c r="B24" s="76" t="s">
        <v>403</v>
      </c>
      <c r="C24" s="74"/>
      <c r="D24" s="73"/>
    </row>
    <row r="25" spans="1:4" x14ac:dyDescent="0.25">
      <c r="A25" s="75">
        <v>44042</v>
      </c>
      <c r="B25" s="74" t="s">
        <v>398</v>
      </c>
      <c r="C25" s="74"/>
      <c r="D25" s="73"/>
    </row>
    <row r="26" spans="1:4" ht="45" x14ac:dyDescent="0.25">
      <c r="A26" s="72"/>
      <c r="B26" s="76" t="s">
        <v>397</v>
      </c>
      <c r="C26" s="74"/>
      <c r="D26" s="73"/>
    </row>
    <row r="27" spans="1:4" x14ac:dyDescent="0.25">
      <c r="A27" s="72"/>
      <c r="B27" s="73"/>
      <c r="C27" s="74"/>
      <c r="D27" s="73"/>
    </row>
    <row r="28" spans="1:4" x14ac:dyDescent="0.25">
      <c r="A28" s="75">
        <v>44038</v>
      </c>
      <c r="B28" s="74" t="s">
        <v>393</v>
      </c>
      <c r="C28" s="74"/>
      <c r="D28" s="73"/>
    </row>
    <row r="29" spans="1:4" ht="60" x14ac:dyDescent="0.25">
      <c r="A29" s="72"/>
      <c r="B29" s="76" t="s">
        <v>394</v>
      </c>
      <c r="C29" s="74"/>
      <c r="D29" s="73"/>
    </row>
    <row r="30" spans="1:4" x14ac:dyDescent="0.25">
      <c r="A30" s="75">
        <v>44035</v>
      </c>
      <c r="B30" s="74" t="s">
        <v>380</v>
      </c>
      <c r="C30" s="74"/>
      <c r="D30" s="73"/>
    </row>
    <row r="31" spans="1:4" ht="45" x14ac:dyDescent="0.25">
      <c r="A31" s="72"/>
      <c r="B31" s="76" t="s">
        <v>379</v>
      </c>
      <c r="C31" s="74"/>
      <c r="D31" s="73"/>
    </row>
    <row r="32" spans="1:4" x14ac:dyDescent="0.25">
      <c r="A32" s="72"/>
      <c r="B32" s="73"/>
      <c r="C32" s="74"/>
      <c r="D32" s="73"/>
    </row>
    <row r="33" spans="1:4" x14ac:dyDescent="0.25">
      <c r="A33" s="75">
        <v>44031</v>
      </c>
      <c r="B33" s="74" t="s">
        <v>376</v>
      </c>
      <c r="C33" s="74"/>
      <c r="D33" s="74" t="s">
        <v>378</v>
      </c>
    </row>
    <row r="34" spans="1:4" ht="30" x14ac:dyDescent="0.25">
      <c r="A34" s="72"/>
      <c r="B34" s="76" t="s">
        <v>377</v>
      </c>
      <c r="C34" s="74"/>
      <c r="D34" s="73" t="s">
        <v>350</v>
      </c>
    </row>
    <row r="35" spans="1:4" x14ac:dyDescent="0.25">
      <c r="A35" s="75">
        <v>44028</v>
      </c>
      <c r="B35" s="74" t="s">
        <v>355</v>
      </c>
      <c r="C35" s="74"/>
      <c r="D35" s="73"/>
    </row>
    <row r="36" spans="1:4" x14ac:dyDescent="0.25">
      <c r="A36" s="72"/>
      <c r="B36" s="73" t="s">
        <v>356</v>
      </c>
      <c r="C36" s="74"/>
      <c r="D36" s="73"/>
    </row>
    <row r="37" spans="1:4" x14ac:dyDescent="0.25">
      <c r="A37" s="75">
        <v>44026</v>
      </c>
      <c r="B37" s="74" t="s">
        <v>353</v>
      </c>
      <c r="C37" s="74"/>
      <c r="D37" s="73"/>
    </row>
    <row r="38" spans="1:4" x14ac:dyDescent="0.25">
      <c r="A38" s="72"/>
      <c r="B38" s="73" t="s">
        <v>7</v>
      </c>
      <c r="C38" s="74"/>
      <c r="D38" s="73"/>
    </row>
    <row r="39" spans="1:4" x14ac:dyDescent="0.25">
      <c r="A39" s="72"/>
      <c r="B39" s="73"/>
      <c r="C39" s="74"/>
      <c r="D39" s="73"/>
    </row>
    <row r="40" spans="1:4" x14ac:dyDescent="0.25">
      <c r="A40" s="75">
        <v>44024</v>
      </c>
      <c r="B40" s="74" t="s">
        <v>349</v>
      </c>
      <c r="C40" s="74"/>
      <c r="D40" s="74" t="s">
        <v>352</v>
      </c>
    </row>
    <row r="41" spans="1:4" ht="30" x14ac:dyDescent="0.25">
      <c r="A41" s="72"/>
      <c r="B41" s="76" t="s">
        <v>357</v>
      </c>
      <c r="C41" s="74"/>
      <c r="D41" s="73" t="s">
        <v>350</v>
      </c>
    </row>
    <row r="42" spans="1:4" x14ac:dyDescent="0.25">
      <c r="A42" s="75">
        <v>44022</v>
      </c>
      <c r="B42" s="76"/>
      <c r="C42" s="74"/>
      <c r="D42" s="74" t="s">
        <v>353</v>
      </c>
    </row>
    <row r="43" spans="1:4" x14ac:dyDescent="0.25">
      <c r="A43" s="72"/>
      <c r="B43" s="76"/>
      <c r="C43" s="74"/>
      <c r="D43" s="73" t="s">
        <v>354</v>
      </c>
    </row>
    <row r="44" spans="1:4" x14ac:dyDescent="0.25">
      <c r="A44" s="75">
        <v>44021</v>
      </c>
      <c r="B44" s="74" t="s">
        <v>242</v>
      </c>
      <c r="C44" s="74"/>
      <c r="D44" s="74" t="s">
        <v>296</v>
      </c>
    </row>
    <row r="45" spans="1:4" x14ac:dyDescent="0.25">
      <c r="A45" s="72"/>
      <c r="B45" s="73" t="s">
        <v>348</v>
      </c>
      <c r="C45" s="74"/>
      <c r="D45" s="73" t="s">
        <v>347</v>
      </c>
    </row>
    <row r="46" spans="1:4" x14ac:dyDescent="0.25">
      <c r="A46" s="75">
        <v>44019</v>
      </c>
      <c r="B46" s="74" t="s">
        <v>242</v>
      </c>
      <c r="C46" s="74"/>
      <c r="D46" s="74" t="s">
        <v>296</v>
      </c>
    </row>
    <row r="47" spans="1:4" x14ac:dyDescent="0.25">
      <c r="A47" s="72"/>
      <c r="B47" s="73" t="s">
        <v>300</v>
      </c>
      <c r="C47" s="74"/>
      <c r="D47" s="73" t="s">
        <v>317</v>
      </c>
    </row>
    <row r="48" spans="1:4" x14ac:dyDescent="0.25">
      <c r="A48" s="72"/>
      <c r="B48" s="73"/>
      <c r="C48" s="74"/>
      <c r="D48" s="73"/>
    </row>
    <row r="49" spans="1:4" x14ac:dyDescent="0.25">
      <c r="A49" s="75">
        <v>44015</v>
      </c>
      <c r="B49" s="74" t="s">
        <v>246</v>
      </c>
      <c r="C49" s="74"/>
      <c r="D49" s="73"/>
    </row>
    <row r="50" spans="1:4" ht="75.75" customHeight="1" x14ac:dyDescent="0.25">
      <c r="A50" s="72"/>
      <c r="B50" s="76" t="s">
        <v>316</v>
      </c>
      <c r="C50" s="74"/>
      <c r="D50" s="73"/>
    </row>
    <row r="51" spans="1:4" x14ac:dyDescent="0.25">
      <c r="A51" s="75">
        <v>44014</v>
      </c>
      <c r="B51" s="74" t="s">
        <v>264</v>
      </c>
      <c r="C51" s="74"/>
      <c r="D51" s="74" t="s">
        <v>308</v>
      </c>
    </row>
    <row r="52" spans="1:4" ht="75" x14ac:dyDescent="0.25">
      <c r="A52" s="72"/>
      <c r="B52" s="76" t="s">
        <v>310</v>
      </c>
      <c r="C52" s="74"/>
      <c r="D52" s="76" t="s">
        <v>309</v>
      </c>
    </row>
    <row r="53" spans="1:4" x14ac:dyDescent="0.25">
      <c r="A53" s="75">
        <v>44012</v>
      </c>
      <c r="B53" s="74" t="s">
        <v>264</v>
      </c>
      <c r="C53" s="74"/>
      <c r="D53" s="74" t="s">
        <v>246</v>
      </c>
    </row>
    <row r="54" spans="1:4" ht="45" x14ac:dyDescent="0.25">
      <c r="A54" s="72"/>
      <c r="B54" s="76" t="s">
        <v>301</v>
      </c>
      <c r="C54" s="74"/>
      <c r="D54" s="73" t="s">
        <v>300</v>
      </c>
    </row>
    <row r="55" spans="1:4" x14ac:dyDescent="0.25">
      <c r="A55" s="72"/>
      <c r="B55" s="73"/>
      <c r="C55" s="74"/>
      <c r="D55" s="73"/>
    </row>
    <row r="56" spans="1:4" x14ac:dyDescent="0.25">
      <c r="A56" s="75">
        <v>44008</v>
      </c>
      <c r="B56" s="74" t="s">
        <v>216</v>
      </c>
      <c r="C56" s="74"/>
      <c r="D56" s="73"/>
    </row>
    <row r="57" spans="1:4" ht="105" x14ac:dyDescent="0.25">
      <c r="A57" s="72"/>
      <c r="B57" s="76" t="s">
        <v>297</v>
      </c>
      <c r="C57" s="74"/>
      <c r="D57" s="73"/>
    </row>
    <row r="58" spans="1:4" x14ac:dyDescent="0.25">
      <c r="A58" s="75">
        <v>44007</v>
      </c>
      <c r="B58" s="74" t="s">
        <v>295</v>
      </c>
      <c r="C58" s="74"/>
      <c r="D58" s="74" t="s">
        <v>296</v>
      </c>
    </row>
    <row r="59" spans="1:4" ht="60" x14ac:dyDescent="0.25">
      <c r="A59" s="72"/>
      <c r="B59" s="76" t="s">
        <v>292</v>
      </c>
      <c r="C59" s="74"/>
      <c r="D59" s="76" t="s">
        <v>266</v>
      </c>
    </row>
    <row r="60" spans="1:4" x14ac:dyDescent="0.25">
      <c r="A60" s="75">
        <v>44006</v>
      </c>
      <c r="B60" s="74" t="s">
        <v>290</v>
      </c>
      <c r="C60" s="74"/>
      <c r="D60" s="74" t="s">
        <v>291</v>
      </c>
    </row>
    <row r="61" spans="1:4" x14ac:dyDescent="0.25">
      <c r="A61" s="72"/>
      <c r="B61" s="73" t="s">
        <v>289</v>
      </c>
      <c r="C61" s="74"/>
      <c r="D61" s="73" t="s">
        <v>289</v>
      </c>
    </row>
    <row r="62" spans="1:4" x14ac:dyDescent="0.25">
      <c r="A62" s="75">
        <v>44005</v>
      </c>
      <c r="B62" s="74" t="s">
        <v>264</v>
      </c>
      <c r="C62" s="74"/>
      <c r="D62" s="74" t="s">
        <v>246</v>
      </c>
    </row>
    <row r="63" spans="1:4" ht="45" x14ac:dyDescent="0.25">
      <c r="A63" s="72"/>
      <c r="B63" s="73" t="s">
        <v>265</v>
      </c>
      <c r="C63" s="74"/>
      <c r="D63" s="76" t="s">
        <v>266</v>
      </c>
    </row>
    <row r="64" spans="1:4" x14ac:dyDescent="0.25">
      <c r="A64" s="72"/>
      <c r="B64" s="73"/>
      <c r="C64" s="74"/>
      <c r="D64" s="73"/>
    </row>
    <row r="65" spans="1:4" x14ac:dyDescent="0.25">
      <c r="A65" s="75">
        <v>44001</v>
      </c>
      <c r="B65" s="74" t="s">
        <v>246</v>
      </c>
      <c r="C65" s="74"/>
      <c r="D65" s="73"/>
    </row>
    <row r="66" spans="1:4" ht="135" x14ac:dyDescent="0.25">
      <c r="A66" s="72"/>
      <c r="B66" s="76" t="s">
        <v>262</v>
      </c>
      <c r="C66" s="74"/>
      <c r="D66" s="73"/>
    </row>
    <row r="67" spans="1:4" x14ac:dyDescent="0.25">
      <c r="A67" s="75">
        <v>44000</v>
      </c>
      <c r="B67" s="74" t="s">
        <v>242</v>
      </c>
      <c r="C67" s="74"/>
      <c r="D67" s="74" t="s">
        <v>259</v>
      </c>
    </row>
    <row r="68" spans="1:4" ht="105" x14ac:dyDescent="0.25">
      <c r="A68" s="72"/>
      <c r="B68" s="76" t="s">
        <v>261</v>
      </c>
      <c r="C68" s="74"/>
      <c r="D68" s="76" t="s">
        <v>260</v>
      </c>
    </row>
    <row r="69" spans="1:4" x14ac:dyDescent="0.25">
      <c r="A69" s="75">
        <v>43998</v>
      </c>
      <c r="B69" s="74" t="s">
        <v>213</v>
      </c>
      <c r="C69" s="74"/>
      <c r="D69" s="74" t="s">
        <v>256</v>
      </c>
    </row>
    <row r="70" spans="1:4" ht="120" x14ac:dyDescent="0.25">
      <c r="A70" s="72"/>
      <c r="B70" s="76" t="s">
        <v>257</v>
      </c>
      <c r="C70" s="74"/>
      <c r="D70" s="1" t="s">
        <v>258</v>
      </c>
    </row>
    <row r="71" spans="1:4" x14ac:dyDescent="0.25">
      <c r="A71" s="72"/>
      <c r="B71" s="73"/>
      <c r="C71" s="74"/>
      <c r="D71" s="73"/>
    </row>
    <row r="72" spans="1:4" x14ac:dyDescent="0.25">
      <c r="A72" s="75">
        <v>43994</v>
      </c>
      <c r="B72" s="74" t="s">
        <v>254</v>
      </c>
      <c r="C72" s="74"/>
      <c r="D72" s="73"/>
    </row>
    <row r="73" spans="1:4" ht="75" x14ac:dyDescent="0.25">
      <c r="A73" s="72"/>
      <c r="B73" s="76" t="s">
        <v>255</v>
      </c>
      <c r="C73" s="74"/>
      <c r="D73" s="73"/>
    </row>
    <row r="74" spans="1:4" x14ac:dyDescent="0.25">
      <c r="A74" s="75">
        <v>43993</v>
      </c>
      <c r="B74" s="74" t="s">
        <v>213</v>
      </c>
      <c r="C74" s="74"/>
      <c r="D74" s="74" t="s">
        <v>251</v>
      </c>
    </row>
    <row r="75" spans="1:4" ht="120" x14ac:dyDescent="0.25">
      <c r="A75" s="72"/>
      <c r="B75" s="69" t="s">
        <v>252</v>
      </c>
      <c r="C75" s="74"/>
      <c r="D75" s="76" t="s">
        <v>253</v>
      </c>
    </row>
    <row r="76" spans="1:4" x14ac:dyDescent="0.25">
      <c r="A76" s="75">
        <v>43991</v>
      </c>
      <c r="B76" s="74" t="s">
        <v>242</v>
      </c>
      <c r="C76" s="74"/>
      <c r="D76" s="74" t="s">
        <v>246</v>
      </c>
    </row>
    <row r="77" spans="1:4" ht="105" x14ac:dyDescent="0.25">
      <c r="A77" s="66"/>
      <c r="B77" s="67" t="s">
        <v>243</v>
      </c>
      <c r="C77" s="68"/>
      <c r="D77" s="69" t="s">
        <v>247</v>
      </c>
    </row>
    <row r="78" spans="1:4" x14ac:dyDescent="0.25">
      <c r="A78" s="66"/>
      <c r="B78" s="67"/>
      <c r="C78" s="68"/>
      <c r="D78" s="69"/>
    </row>
    <row r="79" spans="1:4" x14ac:dyDescent="0.25">
      <c r="A79" s="46">
        <v>43987</v>
      </c>
      <c r="B79" s="41" t="s">
        <v>213</v>
      </c>
    </row>
    <row r="80" spans="1:4" ht="195.75" customHeight="1" x14ac:dyDescent="0.25">
      <c r="B80" s="1" t="s">
        <v>215</v>
      </c>
    </row>
    <row r="81" spans="1:2" x14ac:dyDescent="0.25">
      <c r="A81" s="46">
        <v>43986</v>
      </c>
      <c r="B81" s="41" t="s">
        <v>216</v>
      </c>
    </row>
    <row r="82" spans="1:2" ht="165" customHeight="1" x14ac:dyDescent="0.25">
      <c r="B82" s="1" t="s">
        <v>214</v>
      </c>
    </row>
    <row r="83" spans="1:2" x14ac:dyDescent="0.25">
      <c r="A83" s="46">
        <v>43984</v>
      </c>
      <c r="B83" s="41" t="s">
        <v>223</v>
      </c>
    </row>
    <row r="84" spans="1:2" ht="120" x14ac:dyDescent="0.25">
      <c r="B84" s="1" t="s">
        <v>222</v>
      </c>
    </row>
    <row r="86" spans="1:2" x14ac:dyDescent="0.25">
      <c r="A86" s="46">
        <v>43980</v>
      </c>
      <c r="B86" s="41" t="s">
        <v>217</v>
      </c>
    </row>
    <row r="87" spans="1:2" ht="165" x14ac:dyDescent="0.25">
      <c r="B87" s="1" t="s">
        <v>221</v>
      </c>
    </row>
    <row r="88" spans="1:2" x14ac:dyDescent="0.25">
      <c r="A88" s="46">
        <v>43978</v>
      </c>
      <c r="B88" s="41" t="s">
        <v>220</v>
      </c>
    </row>
    <row r="89" spans="1:2" ht="120" x14ac:dyDescent="0.25">
      <c r="B89" s="1" t="s">
        <v>219</v>
      </c>
    </row>
    <row r="90" spans="1:2" x14ac:dyDescent="0.25">
      <c r="A90" s="46">
        <v>43977</v>
      </c>
      <c r="B90" s="41" t="s">
        <v>217</v>
      </c>
    </row>
    <row r="91" spans="1:2" ht="90" x14ac:dyDescent="0.25">
      <c r="B91" s="1" t="s">
        <v>218</v>
      </c>
    </row>
    <row r="93" spans="1:2" x14ac:dyDescent="0.25">
      <c r="A93" s="46">
        <v>43975</v>
      </c>
      <c r="B93" s="41" t="s">
        <v>198</v>
      </c>
    </row>
    <row r="94" spans="1:2" ht="60" x14ac:dyDescent="0.25">
      <c r="B94"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G9" sqref="G9"/>
    </sheetView>
  </sheetViews>
  <sheetFormatPr baseColWidth="10" defaultRowHeight="15" x14ac:dyDescent="0.25"/>
  <cols>
    <col min="2" max="2" width="4" customWidth="1"/>
    <col min="3" max="3" width="91.42578125" customWidth="1"/>
  </cols>
  <sheetData>
    <row r="1" spans="1:5" ht="30" x14ac:dyDescent="0.25">
      <c r="A1" s="52" t="s">
        <v>128</v>
      </c>
      <c r="B1" s="52" t="s">
        <v>157</v>
      </c>
      <c r="C1" s="1" t="s">
        <v>358</v>
      </c>
      <c r="E1" t="s">
        <v>359</v>
      </c>
    </row>
    <row r="2" spans="1:5" x14ac:dyDescent="0.25">
      <c r="A2" s="52" t="s">
        <v>151</v>
      </c>
      <c r="B2" s="52" t="s">
        <v>153</v>
      </c>
      <c r="C2" s="1" t="s">
        <v>311</v>
      </c>
      <c r="E2" t="s">
        <v>312</v>
      </c>
    </row>
    <row r="3" spans="1:5" ht="45" x14ac:dyDescent="0.25">
      <c r="A3" s="52" t="s">
        <v>20</v>
      </c>
      <c r="B3" s="52" t="s">
        <v>149</v>
      </c>
      <c r="C3" s="1" t="s">
        <v>313</v>
      </c>
    </row>
    <row r="4" spans="1:5" ht="30" x14ac:dyDescent="0.25">
      <c r="A4" s="52" t="s">
        <v>178</v>
      </c>
      <c r="B4" s="52" t="s">
        <v>179</v>
      </c>
      <c r="C4" s="1" t="s">
        <v>318</v>
      </c>
    </row>
    <row r="5" spans="1:5" ht="30" x14ac:dyDescent="0.25">
      <c r="A5" s="52" t="s">
        <v>120</v>
      </c>
      <c r="B5" s="52" t="s">
        <v>176</v>
      </c>
      <c r="C5" s="1" t="s">
        <v>228</v>
      </c>
    </row>
    <row r="6" spans="1:5" ht="45" x14ac:dyDescent="0.25">
      <c r="A6" s="52" t="s">
        <v>162</v>
      </c>
      <c r="B6" s="52" t="s">
        <v>163</v>
      </c>
      <c r="C6" s="1" t="s">
        <v>305</v>
      </c>
    </row>
    <row r="7" spans="1:5" hidden="1" x14ac:dyDescent="0.25">
      <c r="A7" s="52" t="s">
        <v>178</v>
      </c>
      <c r="B7" s="52" t="s">
        <v>180</v>
      </c>
    </row>
    <row r="8" spans="1:5" hidden="1" x14ac:dyDescent="0.25">
      <c r="A8" s="52" t="s">
        <v>172</v>
      </c>
      <c r="B8" s="52" t="s">
        <v>174</v>
      </c>
      <c r="C8" s="1" t="s">
        <v>229</v>
      </c>
      <c r="E8" t="s">
        <v>314</v>
      </c>
    </row>
    <row r="9" spans="1:5" ht="30" x14ac:dyDescent="0.25">
      <c r="A9" s="52" t="s">
        <v>125</v>
      </c>
      <c r="B9" s="52" t="s">
        <v>158</v>
      </c>
      <c r="C9" s="1" t="s">
        <v>304</v>
      </c>
      <c r="E9" t="s">
        <v>360</v>
      </c>
    </row>
    <row r="10" spans="1:5" ht="45" x14ac:dyDescent="0.25">
      <c r="A10" s="52" t="s">
        <v>226</v>
      </c>
      <c r="B10" s="52" t="s">
        <v>160</v>
      </c>
      <c r="C10" s="1" t="s">
        <v>306</v>
      </c>
    </row>
    <row r="11" spans="1:5" ht="30" x14ac:dyDescent="0.25">
      <c r="A11" s="52" t="s">
        <v>155</v>
      </c>
      <c r="B11" s="52" t="s">
        <v>156</v>
      </c>
      <c r="C11" s="1" t="s">
        <v>303</v>
      </c>
    </row>
    <row r="12" spans="1:5" ht="30" x14ac:dyDescent="0.25">
      <c r="A12" s="52" t="s">
        <v>227</v>
      </c>
      <c r="B12" s="52" t="s">
        <v>143</v>
      </c>
      <c r="C12" s="1" t="s">
        <v>361</v>
      </c>
    </row>
    <row r="13" spans="1:5" ht="30" x14ac:dyDescent="0.25">
      <c r="A13" s="52" t="s">
        <v>142</v>
      </c>
      <c r="B13" s="52" t="s">
        <v>140</v>
      </c>
      <c r="C13" s="1" t="s">
        <v>307</v>
      </c>
    </row>
    <row r="14" spans="1:5" hidden="1" x14ac:dyDescent="0.25">
      <c r="A14" s="52" t="s">
        <v>162</v>
      </c>
      <c r="B14" s="52" t="s">
        <v>187</v>
      </c>
    </row>
    <row r="15" spans="1:5" ht="30" x14ac:dyDescent="0.25">
      <c r="A15" s="52" t="s">
        <v>138</v>
      </c>
      <c r="B15" s="52" t="s">
        <v>136</v>
      </c>
      <c r="C15" s="1" t="s">
        <v>224</v>
      </c>
    </row>
    <row r="16" spans="1:5" ht="45" x14ac:dyDescent="0.25">
      <c r="A16" s="52" t="s">
        <v>134</v>
      </c>
      <c r="B16" s="52" t="s">
        <v>170</v>
      </c>
      <c r="C16" s="1" t="s">
        <v>362</v>
      </c>
      <c r="E16" t="s">
        <v>315</v>
      </c>
    </row>
    <row r="17" spans="1:3" ht="30" x14ac:dyDescent="0.25">
      <c r="A17" s="52" t="s">
        <v>125</v>
      </c>
      <c r="B17" s="52" t="s">
        <v>168</v>
      </c>
      <c r="C17" s="1" t="s">
        <v>302</v>
      </c>
    </row>
    <row r="18" spans="1:3" ht="30" x14ac:dyDescent="0.25">
      <c r="A18" s="52" t="s">
        <v>182</v>
      </c>
      <c r="B18" s="52" t="s">
        <v>184</v>
      </c>
      <c r="C18" s="1" t="s">
        <v>363</v>
      </c>
    </row>
    <row r="19" spans="1:3" hidden="1" x14ac:dyDescent="0.25">
      <c r="A19" s="52" t="s">
        <v>129</v>
      </c>
      <c r="B19" s="52" t="s">
        <v>165</v>
      </c>
    </row>
    <row r="20" spans="1:3" x14ac:dyDescent="0.25">
      <c r="A20" s="52" t="s">
        <v>132</v>
      </c>
      <c r="B20" s="52" t="s">
        <v>131</v>
      </c>
      <c r="C20"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53" t="s">
        <v>343</v>
      </c>
      <c r="B1" s="153"/>
    </row>
    <row r="2" spans="1:2" x14ac:dyDescent="0.25">
      <c r="A2" t="s">
        <v>342</v>
      </c>
    </row>
    <row r="3" spans="1:2" x14ac:dyDescent="0.25">
      <c r="A3" t="s">
        <v>346</v>
      </c>
    </row>
    <row r="4" spans="1:2" x14ac:dyDescent="0.25">
      <c r="A4" t="s">
        <v>340</v>
      </c>
    </row>
    <row r="5" spans="1:2" x14ac:dyDescent="0.25">
      <c r="A5" t="s">
        <v>341</v>
      </c>
    </row>
    <row r="7" spans="1:2" s="78" customFormat="1" ht="21" x14ac:dyDescent="0.35">
      <c r="A7" s="153" t="s">
        <v>344</v>
      </c>
      <c r="B7" s="153"/>
    </row>
    <row r="8" spans="1:2" ht="15.75" x14ac:dyDescent="0.25">
      <c r="A8" s="151" t="s">
        <v>335</v>
      </c>
      <c r="B8" s="151"/>
    </row>
    <row r="9" spans="1:2" x14ac:dyDescent="0.25">
      <c r="A9" t="s">
        <v>336</v>
      </c>
    </row>
    <row r="11" spans="1:2" ht="15.75" x14ac:dyDescent="0.25">
      <c r="A11" s="152" t="s">
        <v>332</v>
      </c>
      <c r="B11" s="152"/>
    </row>
    <row r="12" spans="1:2" ht="30" x14ac:dyDescent="0.25">
      <c r="A12" s="73" t="s">
        <v>319</v>
      </c>
      <c r="B12" s="76" t="s">
        <v>333</v>
      </c>
    </row>
    <row r="13" spans="1:2" ht="30" x14ac:dyDescent="0.25">
      <c r="A13" s="73" t="s">
        <v>320</v>
      </c>
      <c r="B13" s="76" t="s">
        <v>321</v>
      </c>
    </row>
    <row r="14" spans="1:2" ht="30" x14ac:dyDescent="0.25">
      <c r="A14" s="76" t="s">
        <v>339</v>
      </c>
      <c r="B14" s="73" t="s">
        <v>322</v>
      </c>
    </row>
    <row r="15" spans="1:2" x14ac:dyDescent="0.25">
      <c r="A15" s="73" t="s">
        <v>323</v>
      </c>
      <c r="B15" s="73" t="s">
        <v>324</v>
      </c>
    </row>
    <row r="16" spans="1:2" x14ac:dyDescent="0.25">
      <c r="A16" s="73"/>
      <c r="B16" s="73"/>
    </row>
    <row r="17" spans="1:2" x14ac:dyDescent="0.25">
      <c r="A17" s="73" t="s">
        <v>325</v>
      </c>
      <c r="B17" s="73" t="s">
        <v>326</v>
      </c>
    </row>
    <row r="18" spans="1:2" ht="30" x14ac:dyDescent="0.25">
      <c r="A18" s="76" t="s">
        <v>327</v>
      </c>
      <c r="B18" s="76" t="s">
        <v>328</v>
      </c>
    </row>
    <row r="19" spans="1:2" ht="30" x14ac:dyDescent="0.25">
      <c r="A19" s="76" t="s">
        <v>329</v>
      </c>
      <c r="B19" s="73" t="s">
        <v>330</v>
      </c>
    </row>
    <row r="20" spans="1:2" x14ac:dyDescent="0.25">
      <c r="A20" s="73"/>
      <c r="B20" s="73"/>
    </row>
    <row r="21" spans="1:2" ht="45" x14ac:dyDescent="0.25">
      <c r="A21" s="73" t="s">
        <v>331</v>
      </c>
      <c r="B21" s="76" t="s">
        <v>334</v>
      </c>
    </row>
    <row r="23" spans="1:2" ht="36" customHeight="1" x14ac:dyDescent="0.25">
      <c r="A23" s="150" t="s">
        <v>345</v>
      </c>
      <c r="B23" s="150"/>
    </row>
    <row r="25" spans="1:2" ht="15.75" x14ac:dyDescent="0.25">
      <c r="A25" s="151" t="s">
        <v>337</v>
      </c>
      <c r="B25" s="151"/>
    </row>
    <row r="26" spans="1:2" x14ac:dyDescent="0.25">
      <c r="A26" t="s">
        <v>338</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54" t="s">
        <v>298</v>
      </c>
      <c r="C5" s="155"/>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155"/>
      <c r="AE5" s="155"/>
      <c r="AF5" s="155"/>
      <c r="AG5" s="155"/>
      <c r="AH5" s="155"/>
      <c r="AI5" s="155"/>
      <c r="AJ5" s="155"/>
      <c r="AK5" s="155"/>
      <c r="AL5" s="155"/>
      <c r="AM5" s="155"/>
      <c r="AN5" s="155"/>
      <c r="AO5" s="155"/>
      <c r="AP5" s="155"/>
      <c r="AQ5" s="155"/>
      <c r="AR5" s="155"/>
      <c r="AS5" s="155"/>
      <c r="AT5" s="155"/>
      <c r="AU5" s="155"/>
      <c r="AV5" s="155"/>
      <c r="AW5" s="155"/>
      <c r="AX5" s="155"/>
      <c r="AY5" s="155"/>
      <c r="AZ5" s="155"/>
      <c r="BA5" s="155"/>
      <c r="BB5" s="155"/>
      <c r="BC5" s="155"/>
      <c r="BD5" s="155"/>
      <c r="BE5" s="155"/>
      <c r="BF5" s="155"/>
      <c r="BG5" s="155"/>
      <c r="BH5" s="155"/>
      <c r="BI5" s="155"/>
      <c r="BJ5" s="155"/>
      <c r="BK5" s="155"/>
      <c r="BL5" s="155"/>
      <c r="BM5" s="155"/>
      <c r="BN5" s="155"/>
      <c r="BO5" s="155"/>
      <c r="BP5" s="155"/>
      <c r="BQ5" s="155"/>
      <c r="BR5" s="155"/>
    </row>
    <row r="6" spans="1:70" x14ac:dyDescent="0.25">
      <c r="C6" s="2" t="s">
        <v>3</v>
      </c>
    </row>
    <row r="7" spans="1:70" ht="45" customHeight="1" x14ac:dyDescent="0.25">
      <c r="C7" s="154" t="s">
        <v>282</v>
      </c>
      <c r="D7" s="155"/>
      <c r="E7" s="155"/>
      <c r="F7" s="155"/>
      <c r="G7" s="155"/>
      <c r="H7" s="155"/>
      <c r="I7" s="155"/>
      <c r="J7" s="155"/>
      <c r="K7" s="155"/>
      <c r="L7" s="155"/>
      <c r="M7" s="155"/>
      <c r="N7" s="155"/>
      <c r="O7" s="155"/>
      <c r="P7" s="155"/>
      <c r="Q7" s="155"/>
      <c r="R7" s="155"/>
      <c r="S7" s="155"/>
      <c r="T7" s="155"/>
      <c r="U7" s="155"/>
      <c r="V7" s="155"/>
      <c r="W7" s="155"/>
      <c r="X7" s="155"/>
      <c r="Y7" s="155"/>
      <c r="Z7" s="155"/>
      <c r="AA7" s="155"/>
      <c r="AB7" s="155"/>
      <c r="AC7" s="155"/>
      <c r="AD7" s="155"/>
      <c r="AE7" s="155"/>
      <c r="AF7" s="155"/>
      <c r="AG7" s="155"/>
      <c r="AH7" s="155"/>
      <c r="AI7" s="155"/>
      <c r="AJ7" s="155"/>
      <c r="AK7" s="155"/>
      <c r="AL7" s="155"/>
      <c r="AM7" s="155"/>
      <c r="AN7" s="155"/>
      <c r="AO7" s="155"/>
      <c r="AP7" s="155"/>
      <c r="AQ7" s="155"/>
      <c r="AR7" s="155"/>
      <c r="AS7" s="155"/>
      <c r="AT7" s="155"/>
      <c r="AU7" s="155"/>
      <c r="AV7" s="155"/>
      <c r="AW7" s="155"/>
      <c r="AX7" s="155"/>
      <c r="AY7" s="155"/>
      <c r="AZ7" s="155"/>
      <c r="BA7" s="155"/>
      <c r="BB7" s="155"/>
      <c r="BC7" s="155"/>
      <c r="BD7" s="155"/>
      <c r="BE7" s="155"/>
      <c r="BF7" s="155"/>
      <c r="BG7" s="155"/>
      <c r="BH7" s="155"/>
      <c r="BI7" s="155"/>
      <c r="BJ7" s="155"/>
      <c r="BK7" s="155"/>
      <c r="BL7" s="155"/>
      <c r="BM7" s="155"/>
      <c r="BN7" s="155"/>
      <c r="BO7" s="155"/>
      <c r="BP7" s="155"/>
      <c r="BQ7" s="155"/>
      <c r="BR7" s="155"/>
    </row>
    <row r="8" spans="1:70" x14ac:dyDescent="0.25">
      <c r="C8" s="2" t="s">
        <v>4</v>
      </c>
    </row>
    <row r="9" spans="1:70" ht="75" customHeight="1" x14ac:dyDescent="0.25">
      <c r="C9" s="154" t="s">
        <v>275</v>
      </c>
      <c r="D9" s="155"/>
      <c r="E9" s="155"/>
      <c r="F9" s="155"/>
      <c r="G9" s="155"/>
      <c r="H9" s="155"/>
      <c r="I9" s="155"/>
      <c r="J9" s="155"/>
      <c r="K9" s="155"/>
      <c r="L9" s="155"/>
      <c r="M9" s="155"/>
      <c r="N9" s="155"/>
      <c r="O9" s="155"/>
      <c r="P9" s="155"/>
      <c r="Q9" s="155"/>
      <c r="R9" s="155"/>
      <c r="S9" s="155"/>
      <c r="T9" s="155"/>
      <c r="U9" s="155"/>
      <c r="V9" s="155"/>
      <c r="W9" s="155"/>
      <c r="X9" s="155"/>
      <c r="Y9" s="155"/>
      <c r="Z9" s="155"/>
      <c r="AA9" s="155"/>
      <c r="AB9" s="155"/>
      <c r="AC9" s="155"/>
      <c r="AD9" s="155"/>
      <c r="AE9" s="155"/>
      <c r="AF9" s="155"/>
      <c r="AG9" s="155"/>
      <c r="AH9" s="155"/>
      <c r="AI9" s="155"/>
      <c r="AJ9" s="155"/>
      <c r="AK9" s="155"/>
      <c r="AL9" s="155"/>
      <c r="AM9" s="155"/>
      <c r="AN9" s="155"/>
      <c r="AO9" s="155"/>
      <c r="AP9" s="155"/>
      <c r="AQ9" s="155"/>
      <c r="AR9" s="155"/>
      <c r="AS9" s="155"/>
      <c r="AT9" s="155"/>
      <c r="AU9" s="155"/>
      <c r="AV9" s="155"/>
      <c r="AW9" s="155"/>
      <c r="AX9" s="155"/>
      <c r="AY9" s="155"/>
      <c r="AZ9" s="155"/>
      <c r="BA9" s="155"/>
      <c r="BB9" s="155"/>
      <c r="BC9" s="155"/>
      <c r="BD9" s="155"/>
      <c r="BE9" s="155"/>
      <c r="BF9" s="155"/>
      <c r="BG9" s="155"/>
      <c r="BH9" s="155"/>
      <c r="BI9" s="155"/>
      <c r="BJ9" s="155"/>
      <c r="BK9" s="155"/>
      <c r="BL9" s="155"/>
      <c r="BM9" s="155"/>
      <c r="BN9" s="155"/>
      <c r="BO9" s="155"/>
      <c r="BP9" s="155"/>
      <c r="BQ9" s="155"/>
      <c r="BR9" s="155"/>
    </row>
    <row r="10" spans="1:70" x14ac:dyDescent="0.25">
      <c r="C10" s="2" t="s">
        <v>5</v>
      </c>
    </row>
    <row r="11" spans="1:70" ht="75" customHeight="1" x14ac:dyDescent="0.25">
      <c r="C11" s="154" t="s">
        <v>299</v>
      </c>
      <c r="D11" s="155"/>
      <c r="E11" s="155"/>
      <c r="F11" s="155"/>
      <c r="G11" s="155"/>
      <c r="H11" s="155"/>
      <c r="I11" s="155"/>
      <c r="J11" s="155"/>
      <c r="K11" s="155"/>
      <c r="L11" s="155"/>
      <c r="M11" s="155"/>
      <c r="N11" s="155"/>
      <c r="O11" s="155"/>
      <c r="P11" s="155"/>
      <c r="Q11" s="155"/>
      <c r="R11" s="155"/>
      <c r="S11" s="155"/>
      <c r="T11" s="155"/>
      <c r="U11" s="155"/>
      <c r="V11" s="155"/>
      <c r="W11" s="155"/>
      <c r="X11" s="155"/>
      <c r="Y11" s="155"/>
      <c r="Z11" s="155"/>
      <c r="AA11" s="155"/>
      <c r="AB11" s="155"/>
      <c r="AC11" s="155"/>
      <c r="AD11" s="155"/>
      <c r="AE11" s="155"/>
      <c r="AF11" s="155"/>
      <c r="AG11" s="155"/>
      <c r="AH11" s="155"/>
      <c r="AI11" s="155"/>
      <c r="AJ11" s="155"/>
      <c r="AK11" s="155"/>
      <c r="AL11" s="155"/>
      <c r="AM11" s="155"/>
      <c r="AN11" s="155"/>
      <c r="AO11" s="155"/>
      <c r="AP11" s="155"/>
      <c r="AQ11" s="155"/>
      <c r="AR11" s="155"/>
      <c r="AS11" s="155"/>
      <c r="AT11" s="155"/>
      <c r="AU11" s="155"/>
      <c r="AV11" s="155"/>
      <c r="AW11" s="155"/>
      <c r="AX11" s="155"/>
      <c r="AY11" s="155"/>
      <c r="AZ11" s="155"/>
      <c r="BA11" s="155"/>
      <c r="BB11" s="155"/>
      <c r="BC11" s="155"/>
      <c r="BD11" s="155"/>
      <c r="BE11" s="155"/>
      <c r="BF11" s="155"/>
      <c r="BG11" s="155"/>
      <c r="BH11" s="155"/>
      <c r="BI11" s="155"/>
      <c r="BJ11" s="155"/>
      <c r="BK11" s="155"/>
      <c r="BL11" s="155"/>
      <c r="BM11" s="155"/>
      <c r="BN11" s="155"/>
      <c r="BO11" s="155"/>
      <c r="BP11" s="155"/>
      <c r="BQ11" s="155"/>
      <c r="BR11" s="155"/>
    </row>
    <row r="12" spans="1:70" x14ac:dyDescent="0.25">
      <c r="C12" s="2" t="s">
        <v>6</v>
      </c>
    </row>
    <row r="13" spans="1:70" ht="90.75" customHeight="1" x14ac:dyDescent="0.25">
      <c r="C13" s="154" t="s">
        <v>286</v>
      </c>
      <c r="D13" s="155"/>
      <c r="E13" s="155"/>
      <c r="F13" s="155"/>
      <c r="G13" s="155"/>
      <c r="H13" s="155"/>
      <c r="I13" s="155"/>
      <c r="J13" s="155"/>
      <c r="K13" s="155"/>
      <c r="L13" s="155"/>
      <c r="M13" s="155"/>
      <c r="N13" s="155"/>
      <c r="O13" s="155"/>
      <c r="P13" s="155"/>
      <c r="Q13" s="155"/>
      <c r="R13" s="155"/>
      <c r="S13" s="155"/>
      <c r="T13" s="155"/>
      <c r="U13" s="155"/>
      <c r="V13" s="155"/>
      <c r="W13" s="155"/>
      <c r="X13" s="155"/>
      <c r="Y13" s="155"/>
      <c r="Z13" s="155"/>
      <c r="AA13" s="155"/>
      <c r="AB13" s="155"/>
      <c r="AC13" s="155"/>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5"/>
      <c r="BB13" s="155"/>
      <c r="BC13" s="155"/>
      <c r="BD13" s="155"/>
      <c r="BE13" s="155"/>
      <c r="BF13" s="155"/>
      <c r="BG13" s="155"/>
      <c r="BH13" s="155"/>
      <c r="BI13" s="155"/>
      <c r="BJ13" s="155"/>
      <c r="BK13" s="155"/>
      <c r="BL13" s="155"/>
      <c r="BM13" s="155"/>
      <c r="BN13" s="155"/>
      <c r="BO13" s="155"/>
      <c r="BP13" s="155"/>
      <c r="BQ13" s="155"/>
      <c r="BR13" s="155"/>
    </row>
    <row r="14" spans="1:70" x14ac:dyDescent="0.25">
      <c r="D14" s="2" t="s">
        <v>285</v>
      </c>
    </row>
    <row r="15" spans="1:70" ht="62.25" customHeight="1" x14ac:dyDescent="0.25">
      <c r="D15" s="154" t="s">
        <v>288</v>
      </c>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4"/>
      <c r="AC15" s="154"/>
      <c r="AD15" s="154"/>
      <c r="AE15" s="154"/>
      <c r="AF15" s="154"/>
      <c r="AG15" s="154"/>
      <c r="AH15" s="154"/>
      <c r="AI15" s="154"/>
      <c r="AJ15" s="154"/>
      <c r="AK15" s="154"/>
      <c r="AL15" s="154"/>
      <c r="AM15" s="154"/>
      <c r="AN15" s="154"/>
      <c r="AO15" s="154"/>
      <c r="AP15" s="154"/>
      <c r="AQ15" s="154"/>
      <c r="AR15" s="154"/>
      <c r="AS15" s="154"/>
      <c r="AT15" s="154"/>
      <c r="AU15" s="154"/>
      <c r="AV15" s="154"/>
      <c r="AW15" s="154"/>
      <c r="AX15" s="154"/>
      <c r="AY15" s="154"/>
      <c r="AZ15" s="154"/>
      <c r="BA15" s="154"/>
      <c r="BB15" s="154"/>
      <c r="BC15" s="154"/>
      <c r="BD15" s="154"/>
      <c r="BE15" s="154"/>
      <c r="BF15" s="154"/>
      <c r="BG15" s="154"/>
      <c r="BH15" s="154"/>
      <c r="BI15" s="154"/>
      <c r="BJ15" s="154"/>
      <c r="BK15" s="154"/>
      <c r="BL15" s="154"/>
      <c r="BM15" s="154"/>
      <c r="BN15" s="154"/>
      <c r="BO15" s="154"/>
      <c r="BP15" s="154"/>
      <c r="BQ15" s="154"/>
      <c r="BR15" s="154"/>
    </row>
    <row r="16" spans="1:70" x14ac:dyDescent="0.25">
      <c r="D16" s="2" t="s">
        <v>196</v>
      </c>
    </row>
    <row r="17" spans="1:70" ht="47.25" customHeight="1" x14ac:dyDescent="0.25">
      <c r="D17" s="154" t="s">
        <v>268</v>
      </c>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4"/>
      <c r="AC17" s="154"/>
      <c r="AD17" s="154"/>
      <c r="AE17" s="154"/>
      <c r="AF17" s="154"/>
      <c r="AG17" s="154"/>
      <c r="AH17" s="154"/>
      <c r="AI17" s="154"/>
      <c r="AJ17" s="154"/>
      <c r="AK17" s="154"/>
      <c r="AL17" s="154"/>
      <c r="AM17" s="154"/>
      <c r="AN17" s="154"/>
      <c r="AO17" s="154"/>
      <c r="AP17" s="154"/>
      <c r="AQ17" s="154"/>
      <c r="AR17" s="154"/>
      <c r="AS17" s="154"/>
      <c r="AT17" s="154"/>
      <c r="AU17" s="154"/>
      <c r="AV17" s="154"/>
      <c r="AW17" s="154"/>
      <c r="AX17" s="154"/>
      <c r="AY17" s="154"/>
      <c r="AZ17" s="154"/>
      <c r="BA17" s="154"/>
      <c r="BB17" s="154"/>
      <c r="BC17" s="154"/>
      <c r="BD17" s="154"/>
      <c r="BE17" s="154"/>
      <c r="BF17" s="154"/>
      <c r="BG17" s="154"/>
      <c r="BH17" s="154"/>
      <c r="BI17" s="154"/>
      <c r="BJ17" s="154"/>
      <c r="BK17" s="154"/>
      <c r="BL17" s="154"/>
      <c r="BM17" s="154"/>
      <c r="BN17" s="154"/>
      <c r="BO17" s="154"/>
      <c r="BP17" s="154"/>
      <c r="BQ17" s="154"/>
      <c r="BR17" s="154"/>
    </row>
    <row r="18" spans="1:70" ht="15.75" customHeight="1" x14ac:dyDescent="0.25">
      <c r="D18" s="156" t="s">
        <v>267</v>
      </c>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6"/>
      <c r="AC18" s="156"/>
      <c r="AD18" s="156"/>
      <c r="AE18" s="156"/>
      <c r="AF18" s="156"/>
      <c r="AG18" s="156"/>
      <c r="AH18" s="156"/>
      <c r="AI18" s="156"/>
      <c r="AJ18" s="156"/>
      <c r="AK18" s="156"/>
      <c r="AL18" s="156"/>
      <c r="AM18" s="156"/>
      <c r="AN18" s="156"/>
      <c r="AO18" s="156"/>
      <c r="AP18" s="156"/>
      <c r="AQ18" s="156"/>
      <c r="AR18" s="156"/>
      <c r="AS18" s="156"/>
      <c r="AT18" s="156"/>
      <c r="AU18" s="156"/>
      <c r="AV18" s="156"/>
      <c r="AW18" s="156"/>
      <c r="AX18" s="156"/>
      <c r="AY18" s="156"/>
      <c r="AZ18" s="156"/>
      <c r="BA18" s="156"/>
      <c r="BB18" s="156"/>
      <c r="BC18" s="156"/>
      <c r="BD18" s="156"/>
      <c r="BE18" s="156"/>
      <c r="BF18" s="156"/>
      <c r="BG18" s="156"/>
      <c r="BH18" s="156"/>
      <c r="BI18" s="156"/>
      <c r="BJ18" s="156"/>
      <c r="BK18" s="156"/>
      <c r="BL18" s="156"/>
      <c r="BM18" s="156"/>
      <c r="BN18" s="156"/>
      <c r="BO18" s="156"/>
      <c r="BP18" s="156"/>
      <c r="BQ18" s="156"/>
      <c r="BR18" s="156"/>
    </row>
    <row r="19" spans="1:70" ht="45.75" customHeight="1" x14ac:dyDescent="0.25">
      <c r="D19" s="154" t="s">
        <v>276</v>
      </c>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4"/>
      <c r="AC19" s="154"/>
      <c r="AD19" s="154"/>
      <c r="AE19" s="154"/>
      <c r="AF19" s="154"/>
      <c r="AG19" s="154"/>
      <c r="AH19" s="154"/>
      <c r="AI19" s="154"/>
      <c r="AJ19" s="154"/>
      <c r="AK19" s="154"/>
      <c r="AL19" s="154"/>
      <c r="AM19" s="154"/>
      <c r="AN19" s="154"/>
      <c r="AO19" s="154"/>
      <c r="AP19" s="154"/>
      <c r="AQ19" s="154"/>
      <c r="AR19" s="154"/>
      <c r="AS19" s="154"/>
      <c r="AT19" s="154"/>
      <c r="AU19" s="154"/>
      <c r="AV19" s="154"/>
      <c r="AW19" s="154"/>
      <c r="AX19" s="154"/>
      <c r="AY19" s="154"/>
      <c r="AZ19" s="154"/>
      <c r="BA19" s="154"/>
      <c r="BB19" s="154"/>
      <c r="BC19" s="154"/>
      <c r="BD19" s="154"/>
      <c r="BE19" s="154"/>
      <c r="BF19" s="154"/>
      <c r="BG19" s="154"/>
      <c r="BH19" s="154"/>
      <c r="BI19" s="154"/>
      <c r="BJ19" s="154"/>
      <c r="BK19" s="154"/>
      <c r="BL19" s="154"/>
      <c r="BM19" s="154"/>
      <c r="BN19" s="154"/>
      <c r="BO19" s="154"/>
      <c r="BP19" s="154"/>
      <c r="BQ19" s="154"/>
      <c r="BR19" s="154"/>
    </row>
    <row r="20" spans="1:70" ht="15.75" customHeight="1" x14ac:dyDescent="0.25">
      <c r="D20" s="156" t="s">
        <v>284</v>
      </c>
      <c r="E20" s="156"/>
      <c r="F20" s="156"/>
      <c r="G20" s="156"/>
      <c r="H20" s="156"/>
      <c r="I20" s="156"/>
      <c r="J20" s="156"/>
      <c r="K20" s="156"/>
      <c r="L20" s="156"/>
      <c r="M20" s="156"/>
      <c r="N20" s="156"/>
      <c r="O20" s="156"/>
      <c r="P20" s="156"/>
      <c r="Q20" s="156"/>
      <c r="R20" s="156"/>
      <c r="S20" s="156"/>
      <c r="T20" s="156"/>
      <c r="U20" s="156"/>
      <c r="V20" s="156"/>
      <c r="W20" s="156"/>
      <c r="X20" s="156"/>
      <c r="Y20" s="156"/>
      <c r="Z20" s="156"/>
      <c r="AA20" s="156"/>
      <c r="AB20" s="156"/>
      <c r="AC20" s="156"/>
      <c r="AD20" s="156"/>
      <c r="AE20" s="156"/>
      <c r="AF20" s="156"/>
      <c r="AG20" s="156"/>
      <c r="AH20" s="156"/>
      <c r="AI20" s="156"/>
      <c r="AJ20" s="156"/>
      <c r="AK20" s="156"/>
      <c r="AL20" s="156"/>
      <c r="AM20" s="156"/>
      <c r="AN20" s="156"/>
      <c r="AO20" s="156"/>
      <c r="AP20" s="156"/>
      <c r="AQ20" s="156"/>
      <c r="AR20" s="156"/>
      <c r="AS20" s="156"/>
      <c r="AT20" s="156"/>
      <c r="AU20" s="156"/>
      <c r="AV20" s="156"/>
      <c r="AW20" s="156"/>
      <c r="AX20" s="156"/>
      <c r="AY20" s="156"/>
      <c r="AZ20" s="156"/>
      <c r="BA20" s="156"/>
      <c r="BB20" s="156"/>
      <c r="BC20" s="156"/>
      <c r="BD20" s="156"/>
      <c r="BE20" s="156"/>
      <c r="BF20" s="156"/>
      <c r="BG20" s="156"/>
      <c r="BH20" s="156"/>
      <c r="BI20" s="156"/>
      <c r="BJ20" s="156"/>
      <c r="BK20" s="156"/>
      <c r="BL20" s="156"/>
      <c r="BM20" s="156"/>
      <c r="BN20" s="156"/>
      <c r="BO20" s="156"/>
      <c r="BP20" s="156"/>
      <c r="BQ20" s="156"/>
      <c r="BR20" s="156"/>
    </row>
    <row r="21" spans="1:70" ht="44.25" customHeight="1" x14ac:dyDescent="0.25">
      <c r="D21" s="154" t="s">
        <v>277</v>
      </c>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54"/>
      <c r="AJ21" s="154"/>
      <c r="AK21" s="154"/>
      <c r="AL21" s="154"/>
      <c r="AM21" s="154"/>
      <c r="AN21" s="154"/>
      <c r="AO21" s="154"/>
      <c r="AP21" s="154"/>
      <c r="AQ21" s="154"/>
      <c r="AR21" s="154"/>
      <c r="AS21" s="154"/>
      <c r="AT21" s="154"/>
      <c r="AU21" s="154"/>
      <c r="AV21" s="154"/>
      <c r="AW21" s="154"/>
      <c r="AX21" s="154"/>
      <c r="AY21" s="154"/>
      <c r="AZ21" s="154"/>
      <c r="BA21" s="154"/>
      <c r="BB21" s="154"/>
      <c r="BC21" s="154"/>
      <c r="BD21" s="154"/>
      <c r="BE21" s="154"/>
      <c r="BF21" s="154"/>
      <c r="BG21" s="154"/>
      <c r="BH21" s="154"/>
      <c r="BI21" s="154"/>
      <c r="BJ21" s="154"/>
      <c r="BK21" s="154"/>
      <c r="BL21" s="154"/>
      <c r="BM21" s="154"/>
      <c r="BN21" s="154"/>
      <c r="BO21" s="154"/>
      <c r="BP21" s="154"/>
      <c r="BQ21" s="154"/>
      <c r="BR21" s="154"/>
    </row>
    <row r="22" spans="1:70" x14ac:dyDescent="0.25">
      <c r="B22" s="2" t="s">
        <v>192</v>
      </c>
      <c r="C22" s="2"/>
    </row>
    <row r="23" spans="1:70" ht="69.75" customHeight="1" x14ac:dyDescent="0.25">
      <c r="B23" s="154" t="s">
        <v>269</v>
      </c>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4"/>
      <c r="AC23" s="154"/>
      <c r="AD23" s="154"/>
      <c r="AE23" s="154"/>
      <c r="AF23" s="154"/>
      <c r="AG23" s="154"/>
      <c r="AH23" s="154"/>
      <c r="AI23" s="154"/>
      <c r="AJ23" s="154"/>
      <c r="AK23" s="154"/>
      <c r="AL23" s="154"/>
      <c r="AM23" s="154"/>
      <c r="AN23" s="154"/>
      <c r="AO23" s="154"/>
      <c r="AP23" s="154"/>
      <c r="AQ23" s="154"/>
      <c r="AR23" s="154"/>
      <c r="AS23" s="154"/>
      <c r="AT23" s="154"/>
      <c r="AU23" s="154"/>
      <c r="AV23" s="154"/>
      <c r="AW23" s="154"/>
      <c r="AX23" s="154"/>
      <c r="AY23" s="154"/>
      <c r="AZ23" s="154"/>
      <c r="BA23" s="154"/>
      <c r="BB23" s="154"/>
      <c r="BC23" s="154"/>
      <c r="BD23" s="154"/>
      <c r="BE23" s="154"/>
      <c r="BF23" s="154"/>
      <c r="BG23" s="154"/>
      <c r="BH23" s="154"/>
      <c r="BI23" s="154"/>
      <c r="BJ23" s="154"/>
      <c r="BK23" s="154"/>
      <c r="BL23" s="154"/>
      <c r="BM23" s="154"/>
      <c r="BN23" s="154"/>
      <c r="BO23" s="154"/>
      <c r="BP23" s="154"/>
      <c r="BQ23" s="154"/>
      <c r="BR23" s="154"/>
    </row>
    <row r="24" spans="1:70" x14ac:dyDescent="0.25">
      <c r="C24" s="2" t="s">
        <v>193</v>
      </c>
    </row>
    <row r="25" spans="1:70" ht="204.75" customHeight="1" x14ac:dyDescent="0.25">
      <c r="C25" s="157" t="s">
        <v>211</v>
      </c>
      <c r="D25" s="157"/>
      <c r="E25" s="157"/>
      <c r="F25" s="157"/>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7"/>
      <c r="BH25" s="157"/>
      <c r="BI25" s="157"/>
      <c r="BJ25" s="157"/>
      <c r="BK25" s="157"/>
      <c r="BL25" s="157"/>
      <c r="BM25" s="157"/>
      <c r="BN25" s="157"/>
      <c r="BO25" s="157"/>
      <c r="BP25" s="157"/>
      <c r="BQ25" s="157"/>
      <c r="BR25" s="157"/>
    </row>
    <row r="26" spans="1:70" x14ac:dyDescent="0.25">
      <c r="C26" s="2" t="s">
        <v>194</v>
      </c>
    </row>
    <row r="27" spans="1:70" ht="244.5" customHeight="1" x14ac:dyDescent="0.25">
      <c r="A27" s="1"/>
      <c r="C27" s="157" t="s">
        <v>195</v>
      </c>
      <c r="D27" s="157"/>
      <c r="E27" s="157"/>
      <c r="F27" s="157"/>
      <c r="G27" s="157"/>
      <c r="H27" s="157"/>
      <c r="I27" s="157"/>
      <c r="J27" s="157"/>
      <c r="K27" s="157"/>
      <c r="L27" s="157"/>
      <c r="M27" s="157"/>
      <c r="N27" s="157"/>
      <c r="O27" s="157"/>
      <c r="P27" s="157"/>
      <c r="Q27" s="157"/>
      <c r="R27" s="157"/>
      <c r="S27" s="157"/>
      <c r="T27" s="157"/>
      <c r="U27" s="157"/>
      <c r="V27" s="157"/>
      <c r="W27" s="157"/>
      <c r="X27" s="157"/>
      <c r="Y27" s="157"/>
      <c r="Z27" s="157"/>
      <c r="AA27" s="157"/>
      <c r="AB27" s="157"/>
      <c r="AC27" s="157"/>
      <c r="AD27" s="157"/>
      <c r="AE27" s="157"/>
      <c r="AF27" s="157"/>
      <c r="AG27" s="157"/>
      <c r="AH27" s="157"/>
      <c r="AI27" s="157"/>
      <c r="AJ27" s="157"/>
      <c r="AK27" s="157"/>
      <c r="AL27" s="157"/>
      <c r="AM27" s="157"/>
      <c r="AN27" s="157"/>
      <c r="AO27" s="157"/>
      <c r="AP27" s="157"/>
      <c r="AQ27" s="157"/>
      <c r="AR27" s="157"/>
      <c r="AS27" s="157"/>
      <c r="AT27" s="157"/>
      <c r="AU27" s="157"/>
      <c r="AV27" s="157"/>
      <c r="AW27" s="157"/>
      <c r="AX27" s="157"/>
      <c r="AY27" s="157"/>
      <c r="AZ27" s="157"/>
      <c r="BA27" s="157"/>
      <c r="BB27" s="157"/>
      <c r="BC27" s="157"/>
      <c r="BD27" s="157"/>
      <c r="BE27" s="157"/>
      <c r="BF27" s="157"/>
      <c r="BG27" s="157"/>
      <c r="BH27" s="157"/>
      <c r="BI27" s="157"/>
      <c r="BJ27" s="157"/>
      <c r="BK27" s="157"/>
      <c r="BL27" s="157"/>
      <c r="BM27" s="157"/>
      <c r="BN27" s="157"/>
      <c r="BO27" s="157"/>
      <c r="BP27" s="157"/>
      <c r="BQ27" s="157"/>
      <c r="BR27" s="157"/>
    </row>
    <row r="28" spans="1:70" x14ac:dyDescent="0.25">
      <c r="B28" s="2" t="s">
        <v>270</v>
      </c>
      <c r="C28" s="43"/>
    </row>
    <row r="29" spans="1:70" ht="75" customHeight="1" x14ac:dyDescent="0.25">
      <c r="A29" s="1"/>
      <c r="B29" s="154" t="s">
        <v>281</v>
      </c>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4"/>
      <c r="AC29" s="154"/>
      <c r="AD29" s="154"/>
      <c r="AE29" s="154"/>
      <c r="AF29" s="154"/>
      <c r="AG29" s="154"/>
      <c r="AH29" s="154"/>
      <c r="AI29" s="154"/>
      <c r="AJ29" s="154"/>
      <c r="AK29" s="154"/>
      <c r="AL29" s="154"/>
      <c r="AM29" s="154"/>
      <c r="AN29" s="154"/>
      <c r="AO29" s="154"/>
      <c r="AP29" s="154"/>
      <c r="AQ29" s="154"/>
      <c r="AR29" s="154"/>
      <c r="AS29" s="154"/>
      <c r="AT29" s="154"/>
      <c r="AU29" s="154"/>
      <c r="AV29" s="154"/>
      <c r="AW29" s="154"/>
      <c r="AX29" s="154"/>
      <c r="AY29" s="154"/>
      <c r="AZ29" s="154"/>
      <c r="BA29" s="154"/>
      <c r="BB29" s="154"/>
      <c r="BC29" s="154"/>
      <c r="BD29" s="154"/>
      <c r="BE29" s="154"/>
      <c r="BF29" s="154"/>
      <c r="BG29" s="154"/>
      <c r="BH29" s="154"/>
      <c r="BI29" s="154"/>
      <c r="BJ29" s="154"/>
      <c r="BK29" s="154"/>
      <c r="BL29" s="154"/>
      <c r="BM29" s="154"/>
      <c r="BN29" s="154"/>
      <c r="BO29" s="154"/>
      <c r="BP29" s="154"/>
      <c r="BQ29" s="154"/>
      <c r="BR29" s="154"/>
    </row>
    <row r="30" spans="1:70" x14ac:dyDescent="0.25">
      <c r="C30" s="2" t="s">
        <v>274</v>
      </c>
    </row>
    <row r="31" spans="1:70" ht="46.5" customHeight="1" x14ac:dyDescent="0.25">
      <c r="A31" s="1"/>
      <c r="C31" s="157" t="s">
        <v>280</v>
      </c>
      <c r="D31" s="157"/>
      <c r="E31" s="157"/>
      <c r="F31" s="157"/>
      <c r="G31" s="157"/>
      <c r="H31" s="157"/>
      <c r="I31" s="157"/>
      <c r="J31" s="157"/>
      <c r="K31" s="157"/>
      <c r="L31" s="157"/>
      <c r="M31" s="157"/>
      <c r="N31" s="157"/>
      <c r="O31" s="157"/>
      <c r="P31" s="157"/>
      <c r="Q31" s="157"/>
      <c r="R31" s="157"/>
      <c r="S31" s="157"/>
      <c r="T31" s="157"/>
      <c r="U31" s="157"/>
      <c r="V31" s="157"/>
      <c r="W31" s="157"/>
      <c r="X31" s="157"/>
      <c r="Y31" s="157"/>
      <c r="Z31" s="157"/>
      <c r="AA31" s="157"/>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c r="BJ31" s="157"/>
      <c r="BK31" s="157"/>
      <c r="BL31" s="157"/>
      <c r="BM31" s="157"/>
      <c r="BN31" s="157"/>
      <c r="BO31" s="157"/>
      <c r="BP31" s="157"/>
      <c r="BQ31" s="157"/>
      <c r="BR31" s="157"/>
    </row>
    <row r="32" spans="1:70" ht="15.75" customHeight="1" x14ac:dyDescent="0.25">
      <c r="C32" s="156" t="s">
        <v>271</v>
      </c>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6"/>
      <c r="AC32" s="156"/>
      <c r="AD32" s="156"/>
      <c r="AE32" s="156"/>
      <c r="AF32" s="156"/>
      <c r="AG32" s="156"/>
      <c r="AH32" s="156"/>
      <c r="AI32" s="156"/>
      <c r="AJ32" s="156"/>
      <c r="AK32" s="156"/>
      <c r="AL32" s="156"/>
      <c r="AM32" s="156"/>
      <c r="AN32" s="156"/>
      <c r="AO32" s="156"/>
      <c r="AP32" s="156"/>
      <c r="AQ32" s="156"/>
      <c r="AR32" s="156"/>
      <c r="AS32" s="156"/>
      <c r="AT32" s="156"/>
      <c r="AU32" s="156"/>
      <c r="AV32" s="156"/>
      <c r="AW32" s="156"/>
      <c r="AX32" s="156"/>
      <c r="AY32" s="156"/>
      <c r="AZ32" s="156"/>
      <c r="BA32" s="156"/>
      <c r="BB32" s="156"/>
      <c r="BC32" s="156"/>
      <c r="BD32" s="156"/>
      <c r="BE32" s="156"/>
      <c r="BF32" s="156"/>
      <c r="BG32" s="156"/>
      <c r="BH32" s="156"/>
      <c r="BI32" s="156"/>
      <c r="BJ32" s="156"/>
      <c r="BK32" s="156"/>
      <c r="BL32" s="156"/>
      <c r="BM32" s="156"/>
      <c r="BN32" s="156"/>
      <c r="BO32" s="156"/>
      <c r="BP32" s="156"/>
      <c r="BQ32" s="156"/>
      <c r="BR32" s="156"/>
    </row>
    <row r="33" spans="1:70" ht="120" customHeight="1" x14ac:dyDescent="0.25">
      <c r="A33" s="43"/>
      <c r="C33" s="154" t="s">
        <v>273</v>
      </c>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4"/>
      <c r="AC33" s="154"/>
      <c r="AD33" s="154"/>
      <c r="AE33" s="154"/>
      <c r="AF33" s="154"/>
      <c r="AG33" s="154"/>
      <c r="AH33" s="154"/>
      <c r="AI33" s="154"/>
      <c r="AJ33" s="154"/>
      <c r="AK33" s="154"/>
      <c r="AL33" s="154"/>
      <c r="AM33" s="154"/>
      <c r="AN33" s="154"/>
      <c r="AO33" s="154"/>
      <c r="AP33" s="154"/>
      <c r="AQ33" s="154"/>
      <c r="AR33" s="154"/>
      <c r="AS33" s="154"/>
      <c r="AT33" s="154"/>
      <c r="AU33" s="154"/>
      <c r="AV33" s="154"/>
      <c r="AW33" s="154"/>
      <c r="AX33" s="154"/>
      <c r="AY33" s="154"/>
      <c r="AZ33" s="154"/>
      <c r="BA33" s="154"/>
      <c r="BB33" s="154"/>
      <c r="BC33" s="154"/>
      <c r="BD33" s="154"/>
      <c r="BE33" s="154"/>
      <c r="BF33" s="154"/>
      <c r="BG33" s="154"/>
      <c r="BH33" s="154"/>
      <c r="BI33" s="154"/>
      <c r="BJ33" s="154"/>
      <c r="BK33" s="154"/>
      <c r="BL33" s="154"/>
      <c r="BM33" s="154"/>
      <c r="BN33" s="154"/>
      <c r="BO33" s="154"/>
      <c r="BP33" s="154"/>
      <c r="BQ33" s="154"/>
      <c r="BR33" s="154"/>
    </row>
    <row r="34" spans="1:70" ht="15.75" customHeight="1" x14ac:dyDescent="0.25">
      <c r="C34" s="156" t="s">
        <v>272</v>
      </c>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6"/>
      <c r="AC34" s="156"/>
      <c r="AD34" s="156"/>
      <c r="AE34" s="156"/>
      <c r="AF34" s="156"/>
      <c r="AG34" s="156"/>
      <c r="AH34" s="156"/>
      <c r="AI34" s="156"/>
      <c r="AJ34" s="156"/>
      <c r="AK34" s="156"/>
      <c r="AL34" s="156"/>
      <c r="AM34" s="156"/>
      <c r="AN34" s="156"/>
      <c r="AO34" s="156"/>
      <c r="AP34" s="156"/>
      <c r="AQ34" s="156"/>
      <c r="AR34" s="156"/>
      <c r="AS34" s="156"/>
      <c r="AT34" s="156"/>
      <c r="AU34" s="156"/>
      <c r="AV34" s="156"/>
      <c r="AW34" s="156"/>
      <c r="AX34" s="156"/>
      <c r="AY34" s="156"/>
      <c r="AZ34" s="156"/>
      <c r="BA34" s="156"/>
      <c r="BB34" s="156"/>
      <c r="BC34" s="156"/>
      <c r="BD34" s="156"/>
      <c r="BE34" s="156"/>
      <c r="BF34" s="156"/>
      <c r="BG34" s="156"/>
      <c r="BH34" s="156"/>
      <c r="BI34" s="156"/>
      <c r="BJ34" s="156"/>
      <c r="BK34" s="156"/>
      <c r="BL34" s="156"/>
      <c r="BM34" s="156"/>
      <c r="BN34" s="156"/>
      <c r="BO34" s="156"/>
      <c r="BP34" s="156"/>
      <c r="BQ34" s="156"/>
      <c r="BR34" s="156"/>
    </row>
    <row r="35" spans="1:70" ht="47.25" customHeight="1" x14ac:dyDescent="0.25">
      <c r="C35" s="157" t="s">
        <v>279</v>
      </c>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c r="BH35" s="157"/>
      <c r="BI35" s="157"/>
      <c r="BJ35" s="157"/>
      <c r="BK35" s="157"/>
      <c r="BL35" s="157"/>
      <c r="BM35" s="157"/>
      <c r="BN35" s="157"/>
      <c r="BO35" s="157"/>
      <c r="BP35" s="157"/>
      <c r="BQ35" s="157"/>
      <c r="BR35" s="157"/>
    </row>
    <row r="36" spans="1:70" x14ac:dyDescent="0.25">
      <c r="B36" s="2" t="s">
        <v>2</v>
      </c>
    </row>
    <row r="37" spans="1:70" x14ac:dyDescent="0.25">
      <c r="B37" s="155" t="s">
        <v>12</v>
      </c>
      <c r="C37" s="15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155"/>
      <c r="AB37" s="155"/>
      <c r="AC37" s="155"/>
      <c r="AD37" s="155"/>
      <c r="AE37" s="155"/>
      <c r="AF37" s="155"/>
      <c r="AG37" s="155"/>
      <c r="AH37" s="155"/>
      <c r="AI37" s="155"/>
      <c r="AJ37" s="155"/>
      <c r="AK37" s="155"/>
      <c r="AL37" s="155"/>
      <c r="AM37" s="155"/>
      <c r="AN37" s="155"/>
      <c r="AO37" s="155"/>
      <c r="AP37" s="155"/>
      <c r="AQ37" s="155"/>
      <c r="AR37" s="155"/>
      <c r="AS37" s="155"/>
      <c r="AT37" s="155"/>
      <c r="AU37" s="155"/>
      <c r="AV37" s="155"/>
      <c r="AW37" s="155"/>
      <c r="AX37" s="155"/>
      <c r="AY37" s="155"/>
      <c r="AZ37" s="155"/>
      <c r="BA37" s="155"/>
      <c r="BB37" s="155"/>
      <c r="BC37" s="155"/>
      <c r="BD37" s="155"/>
      <c r="BE37" s="155"/>
      <c r="BF37" s="155"/>
      <c r="BG37" s="155"/>
      <c r="BH37" s="155"/>
      <c r="BI37" s="155"/>
      <c r="BJ37" s="155"/>
      <c r="BK37" s="155"/>
      <c r="BL37" s="155"/>
      <c r="BM37" s="155"/>
      <c r="BN37" s="155"/>
      <c r="BO37" s="155"/>
      <c r="BP37" s="155"/>
      <c r="BQ37" s="155"/>
      <c r="BR37" s="155"/>
    </row>
    <row r="38" spans="1:70" x14ac:dyDescent="0.25">
      <c r="C38" s="2" t="s">
        <v>7</v>
      </c>
    </row>
    <row r="39" spans="1:70" ht="45.75" customHeight="1" x14ac:dyDescent="0.25">
      <c r="C39" s="154" t="s">
        <v>8</v>
      </c>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4"/>
      <c r="AC39" s="154"/>
      <c r="AD39" s="154"/>
      <c r="AE39" s="154"/>
      <c r="AF39" s="154"/>
      <c r="AG39" s="154"/>
      <c r="AH39" s="154"/>
      <c r="AI39" s="154"/>
      <c r="AJ39" s="154"/>
      <c r="AK39" s="154"/>
      <c r="AL39" s="154"/>
      <c r="AM39" s="154"/>
      <c r="AN39" s="154"/>
      <c r="AO39" s="154"/>
      <c r="AP39" s="154"/>
      <c r="AQ39" s="154"/>
      <c r="AR39" s="154"/>
      <c r="AS39" s="154"/>
      <c r="AT39" s="154"/>
      <c r="AU39" s="154"/>
      <c r="AV39" s="154"/>
      <c r="AW39" s="154"/>
      <c r="AX39" s="154"/>
      <c r="AY39" s="154"/>
      <c r="AZ39" s="154"/>
      <c r="BA39" s="154"/>
      <c r="BB39" s="154"/>
      <c r="BC39" s="154"/>
      <c r="BD39" s="154"/>
      <c r="BE39" s="154"/>
      <c r="BF39" s="154"/>
      <c r="BG39" s="154"/>
      <c r="BH39" s="154"/>
      <c r="BI39" s="154"/>
      <c r="BJ39" s="154"/>
      <c r="BK39" s="154"/>
      <c r="BL39" s="154"/>
      <c r="BM39" s="154"/>
      <c r="BN39" s="154"/>
      <c r="BO39" s="154"/>
      <c r="BP39" s="154"/>
      <c r="BQ39" s="154"/>
      <c r="BR39" s="154"/>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2020-08-15T07:29:44Z</dcterms:modified>
</cp:coreProperties>
</file>