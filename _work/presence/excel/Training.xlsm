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2C5D7022-C9F7-452B-B73E-49699F84B6F3}" xr6:coauthVersionLast="44" xr6:coauthVersionMax="44" xr10:uidLastSave="{00000000-0000-0000-0000-000000000000}"/>
  <bookViews>
    <workbookView xWindow="-120" yWindow="-120" windowWidth="29040" windowHeight="16440" activeTab="2"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Anwesend!$B$90:$L$92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Q35" i="3" l="1"/>
  <c r="L11" i="3" l="1"/>
  <c r="K11" i="3"/>
  <c r="J11" i="3"/>
  <c r="I11" i="3"/>
  <c r="H11" i="3"/>
  <c r="G11" i="3"/>
  <c r="F11" i="3"/>
  <c r="P11" i="3"/>
  <c r="P77" i="3"/>
  <c r="EI35" i="3" l="1"/>
  <c r="EJ35" i="3"/>
  <c r="ES35" i="3"/>
  <c r="P16" i="3" l="1"/>
  <c r="L16" i="3"/>
  <c r="K16" i="3"/>
  <c r="J16" i="3"/>
  <c r="I16" i="3"/>
  <c r="H16" i="3"/>
  <c r="G16" i="3"/>
  <c r="F16" i="3"/>
  <c r="P45" i="3" l="1"/>
  <c r="L45" i="3"/>
  <c r="K45" i="3"/>
  <c r="J45" i="3"/>
  <c r="I45" i="3"/>
  <c r="H45" i="3"/>
  <c r="G45" i="3"/>
  <c r="F45" i="3"/>
  <c r="P33" i="3" l="1"/>
  <c r="DP35" i="3"/>
  <c r="EA35" i="3"/>
  <c r="P31" i="3" l="1"/>
  <c r="DG35" i="3" l="1"/>
  <c r="DR35" i="3"/>
  <c r="Q86" i="3" l="1"/>
  <c r="Q84" i="3"/>
  <c r="Q83" i="3"/>
  <c r="Q82" i="3"/>
  <c r="Q75" i="3"/>
  <c r="Q70" i="3"/>
  <c r="Q63" i="3"/>
  <c r="Q62" i="3"/>
  <c r="Q61" i="3"/>
  <c r="Q60" i="3"/>
  <c r="Q59" i="3"/>
  <c r="Q27" i="3"/>
  <c r="Q34" i="3"/>
  <c r="Q6" i="3"/>
  <c r="CX35" i="3"/>
  <c r="L90" i="3"/>
  <c r="L92" i="3"/>
  <c r="L91" i="3"/>
  <c r="CQ35" i="3"/>
  <c r="CZ35" i="3"/>
  <c r="DI35" i="3"/>
  <c r="CH35" i="3"/>
  <c r="BY35" i="3"/>
  <c r="P35" i="3"/>
  <c r="R35" i="3"/>
  <c r="CO77" i="3" l="1"/>
  <c r="CO65" i="3"/>
  <c r="CO35" i="3"/>
  <c r="CF35" i="3"/>
  <c r="P65" i="3"/>
  <c r="CO78" i="3" l="1"/>
  <c r="BW77" i="3"/>
  <c r="BW78" i="3" s="1"/>
  <c r="BP77" i="3"/>
  <c r="BP65" i="3"/>
  <c r="BW35" i="3"/>
  <c r="BP35" i="3"/>
  <c r="BP78" i="3" l="1"/>
  <c r="P32" i="3"/>
  <c r="MN77" i="3" l="1"/>
  <c r="MM77" i="3"/>
  <c r="ML77" i="3"/>
  <c r="MK77" i="3"/>
  <c r="MJ77" i="3"/>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FA77" i="3"/>
  <c r="EZ77" i="3"/>
  <c r="EY77" i="3"/>
  <c r="EX77" i="3"/>
  <c r="EW77" i="3"/>
  <c r="EV77" i="3"/>
  <c r="EU77" i="3"/>
  <c r="ET77" i="3"/>
  <c r="ES77" i="3"/>
  <c r="EP77" i="3"/>
  <c r="EO77" i="3"/>
  <c r="EN77" i="3"/>
  <c r="EM77" i="3"/>
  <c r="EL77" i="3"/>
  <c r="EK77" i="3"/>
  <c r="EJ77" i="3"/>
  <c r="EI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2" i="3"/>
  <c r="L12" i="3"/>
  <c r="K12" i="3"/>
  <c r="J12" i="3"/>
  <c r="I12" i="3"/>
  <c r="H12" i="3"/>
  <c r="G12" i="3"/>
  <c r="F12" i="3"/>
  <c r="P48" i="3"/>
  <c r="L48" i="3"/>
  <c r="K48" i="3"/>
  <c r="J48" i="3"/>
  <c r="I48" i="3"/>
  <c r="H48" i="3"/>
  <c r="G48" i="3"/>
  <c r="F48" i="3"/>
  <c r="S66" i="3" l="1"/>
  <c r="P76" i="3"/>
  <c r="Q72" i="3" s="1"/>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N65" i="3"/>
  <c r="MM65" i="3"/>
  <c r="ML65" i="3"/>
  <c r="MK65"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FA65" i="3"/>
  <c r="EZ65" i="3"/>
  <c r="EY65" i="3"/>
  <c r="EX65" i="3"/>
  <c r="EW65" i="3"/>
  <c r="EV65" i="3"/>
  <c r="EU65" i="3"/>
  <c r="ET65" i="3"/>
  <c r="ES65" i="3"/>
  <c r="EP65" i="3"/>
  <c r="EO65" i="3"/>
  <c r="EN65" i="3"/>
  <c r="EM65" i="3"/>
  <c r="EL65" i="3"/>
  <c r="EK65" i="3"/>
  <c r="EJ65" i="3"/>
  <c r="EI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Q45" i="3" s="1"/>
  <c r="P47" i="3"/>
  <c r="L47" i="3"/>
  <c r="K47" i="3"/>
  <c r="J47" i="3"/>
  <c r="I47" i="3"/>
  <c r="H47" i="3"/>
  <c r="G47" i="3"/>
  <c r="F47" i="3"/>
  <c r="EY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AN78" i="3" l="1"/>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Y78" i="3"/>
  <c r="AL78" i="3"/>
  <c r="Y78" i="3"/>
  <c r="AI78" i="3"/>
  <c r="AK78" i="3"/>
  <c r="R59" i="3"/>
  <c r="R60" i="3"/>
  <c r="S2" i="3"/>
  <c r="GO35" i="3"/>
  <c r="GO78" i="3"/>
  <c r="T1" i="3"/>
  <c r="T2" i="3" l="1"/>
  <c r="T66" i="3"/>
  <c r="U1" i="3"/>
  <c r="T38" i="3"/>
  <c r="T39" i="3" s="1"/>
  <c r="T67" i="3" s="1"/>
  <c r="P6" i="3"/>
  <c r="P8" i="3"/>
  <c r="U38" i="3" l="1"/>
  <c r="U39" i="3" s="1"/>
  <c r="U67" i="3" s="1"/>
  <c r="U66" i="3"/>
  <c r="V1" i="3"/>
  <c r="U2" i="3"/>
  <c r="N35"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5" i="3"/>
  <c r="F7" i="3"/>
  <c r="P7" i="3"/>
  <c r="P9" i="3"/>
  <c r="P10" i="3"/>
  <c r="P13" i="3"/>
  <c r="P14" i="3"/>
  <c r="P15" i="3"/>
  <c r="P17" i="3"/>
  <c r="P18" i="3"/>
  <c r="P19" i="3"/>
  <c r="P20" i="3"/>
  <c r="P21" i="3"/>
  <c r="P22" i="3"/>
  <c r="P23" i="3"/>
  <c r="P24" i="3"/>
  <c r="P25" i="3"/>
  <c r="P26" i="3"/>
  <c r="P27" i="3"/>
  <c r="P28" i="3"/>
  <c r="P29" i="3"/>
  <c r="P30"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EB35" i="3"/>
  <c r="EC35" i="3"/>
  <c r="ED35" i="3"/>
  <c r="EE35" i="3"/>
  <c r="EF35" i="3"/>
  <c r="EK35" i="3"/>
  <c r="EL35" i="3"/>
  <c r="EM35" i="3"/>
  <c r="EN35" i="3"/>
  <c r="EO35" i="3"/>
  <c r="EP35" i="3"/>
  <c r="ET35" i="3"/>
  <c r="EU35" i="3"/>
  <c r="EV35" i="3"/>
  <c r="EW35" i="3"/>
  <c r="EX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P35" i="3"/>
  <c r="GQ35" i="3"/>
  <c r="GR35" i="3"/>
  <c r="GS35" i="3"/>
  <c r="GT35" i="3"/>
  <c r="GU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MK35" i="3"/>
  <c r="ML35" i="3"/>
  <c r="MM35" i="3"/>
  <c r="MN35" i="3"/>
  <c r="P36" i="3"/>
  <c r="Q11" i="3" s="1"/>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59"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I78" i="3"/>
  <c r="EJ78" i="3"/>
  <c r="EK78" i="3"/>
  <c r="EL78" i="3"/>
  <c r="EM78" i="3"/>
  <c r="EN78" i="3"/>
  <c r="EO78" i="3"/>
  <c r="EP78" i="3"/>
  <c r="ES78" i="3"/>
  <c r="ET78" i="3"/>
  <c r="EU78" i="3"/>
  <c r="EV78" i="3"/>
  <c r="EW78" i="3"/>
  <c r="EX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MK78" i="3"/>
  <c r="ML78" i="3"/>
  <c r="MM78" i="3"/>
  <c r="MN78" i="3"/>
  <c r="P81" i="3"/>
  <c r="P82" i="3"/>
  <c r="P83" i="3"/>
  <c r="P84" i="3"/>
  <c r="P85" i="3"/>
  <c r="P86" i="3"/>
  <c r="P87" i="3"/>
  <c r="Q16" i="3" l="1"/>
  <c r="Q8" i="3"/>
  <c r="Q31" i="3"/>
  <c r="Q33" i="3"/>
  <c r="Q25" i="3"/>
  <c r="Q17" i="3"/>
  <c r="Q12" i="3"/>
  <c r="Q26" i="3"/>
  <c r="Q24" i="3"/>
  <c r="Q15" i="3"/>
  <c r="Q30" i="3"/>
  <c r="Q20" i="3"/>
  <c r="Q9" i="3"/>
  <c r="Q7" i="3"/>
  <c r="Q23" i="3"/>
  <c r="Q14" i="3"/>
  <c r="Q22" i="3"/>
  <c r="Q10" i="3"/>
  <c r="Q19" i="3"/>
  <c r="Q13" i="3"/>
  <c r="Q21" i="3"/>
  <c r="Q28" i="3"/>
  <c r="Q18" i="3"/>
  <c r="Q35" i="3"/>
  <c r="Q85"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EB38" i="3" s="1"/>
  <c r="EB39" i="3" s="1"/>
  <c r="EB67" i="3" s="1"/>
  <c r="DY2" i="3"/>
  <c r="EB66" i="3"/>
  <c r="EC1" i="3"/>
  <c r="EB2" i="3"/>
  <c r="EC38" i="3" l="1"/>
  <c r="EC39" i="3" s="1"/>
  <c r="EC67" i="3" s="1"/>
  <c r="EC66" i="3"/>
  <c r="ED1" i="3"/>
  <c r="EC2" i="3"/>
  <c r="ED38" i="3" l="1"/>
  <c r="ED39" i="3" s="1"/>
  <c r="ED67" i="3" s="1"/>
  <c r="ED66" i="3"/>
  <c r="EE1" i="3"/>
  <c r="ED2" i="3"/>
  <c r="EE38" i="3" l="1"/>
  <c r="EE39" i="3" s="1"/>
  <c r="EE67" i="3" s="1"/>
  <c r="EE66" i="3"/>
  <c r="EF1" i="3"/>
  <c r="EG1" i="3" s="1"/>
  <c r="EG66" i="3" s="1"/>
  <c r="EE2" i="3"/>
  <c r="EG38" i="3" l="1"/>
  <c r="EG39" i="3" s="1"/>
  <c r="EG67" i="3" s="1"/>
  <c r="EH1" i="3"/>
  <c r="EH66" i="3" s="1"/>
  <c r="EG2" i="3"/>
  <c r="EF38" i="3"/>
  <c r="EF39" i="3" s="1"/>
  <c r="EF67" i="3" s="1"/>
  <c r="EF66" i="3"/>
  <c r="EF2" i="3"/>
  <c r="EH38" i="3" l="1"/>
  <c r="EH39" i="3" s="1"/>
  <c r="EH67" i="3" s="1"/>
  <c r="EK1" i="3"/>
  <c r="EH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Q1" i="3" s="1"/>
  <c r="EO2" i="3"/>
  <c r="ET1" i="3" l="1"/>
  <c r="EQ38" i="3"/>
  <c r="EQ39" i="3" s="1"/>
  <c r="EQ67" i="3" s="1"/>
  <c r="EQ66" i="3"/>
  <c r="EQ2" i="3"/>
  <c r="EP38" i="3"/>
  <c r="EP39" i="3" s="1"/>
  <c r="EP67" i="3" s="1"/>
  <c r="EP66" i="3"/>
  <c r="EP2" i="3"/>
  <c r="ET38" i="3" l="1"/>
  <c r="ET39" i="3" s="1"/>
  <c r="ET67" i="3" s="1"/>
  <c r="ET66" i="3"/>
  <c r="EU1" i="3"/>
  <c r="ET2" i="3"/>
  <c r="EU38" i="3" l="1"/>
  <c r="EU39" i="3" s="1"/>
  <c r="EU67" i="3" s="1"/>
  <c r="EU66" i="3"/>
  <c r="EV1" i="3"/>
  <c r="EU2" i="3"/>
  <c r="EV38" i="3" l="1"/>
  <c r="EV39" i="3" s="1"/>
  <c r="EV67" i="3" s="1"/>
  <c r="EV66" i="3"/>
  <c r="EW1" i="3"/>
  <c r="EW66" i="3" s="1"/>
  <c r="EV2" i="3"/>
  <c r="EW38" i="3" l="1"/>
  <c r="EW39" i="3" s="1"/>
  <c r="EW67" i="3" s="1"/>
  <c r="EX1" i="3"/>
  <c r="EX66" i="3" s="1"/>
  <c r="EW2" i="3"/>
  <c r="EX38" i="3" l="1"/>
  <c r="EX39" i="3" s="1"/>
  <c r="EX67" i="3" s="1"/>
  <c r="EY1" i="3"/>
  <c r="EY66" i="3" s="1"/>
  <c r="EX2" i="3"/>
  <c r="EY2" i="3" l="1"/>
  <c r="EY38" i="3"/>
  <c r="EY39" i="3" s="1"/>
  <c r="EY67" i="3" s="1"/>
  <c r="EZ1" i="3"/>
  <c r="EZ38" i="3" l="1"/>
  <c r="EZ39" i="3" s="1"/>
  <c r="EZ67" i="3" s="1"/>
  <c r="EZ66" i="3"/>
  <c r="FA1" i="3"/>
  <c r="EZ2" i="3"/>
  <c r="FA38" i="3" l="1"/>
  <c r="FA39" i="3" s="1"/>
  <c r="FA67" i="3" s="1"/>
  <c r="FA66" i="3"/>
  <c r="FB1" i="3"/>
  <c r="FA2" i="3"/>
  <c r="FB38" i="3" l="1"/>
  <c r="FB39" i="3" s="1"/>
  <c r="FB67" i="3" s="1"/>
  <c r="FB66" i="3"/>
  <c r="FC1" i="3"/>
  <c r="FB2" i="3"/>
  <c r="FC38" i="3" l="1"/>
  <c r="FC39" i="3" s="1"/>
  <c r="FC67" i="3" s="1"/>
  <c r="FC66" i="3"/>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MJ38" i="3" l="1"/>
  <c r="MJ39" i="3" s="1"/>
  <c r="MJ67" i="3" s="1"/>
  <c r="MJ66" i="3"/>
  <c r="MK1" i="3"/>
  <c r="MJ2" i="3"/>
  <c r="MK38" i="3" l="1"/>
  <c r="MK39" i="3" s="1"/>
  <c r="MK67" i="3" s="1"/>
  <c r="MK66" i="3"/>
  <c r="ML1" i="3"/>
  <c r="MK2" i="3"/>
  <c r="ML38" i="3" l="1"/>
  <c r="ML39" i="3" s="1"/>
  <c r="ML67" i="3" s="1"/>
  <c r="ML66" i="3"/>
  <c r="MM1" i="3"/>
  <c r="ML2" i="3"/>
  <c r="MM38" i="3" l="1"/>
  <c r="MM39" i="3" s="1"/>
  <c r="MM67" i="3" s="1"/>
  <c r="MM66" i="3"/>
  <c r="MN1" i="3"/>
  <c r="MM2" i="3"/>
  <c r="R14" i="3"/>
  <c r="R11" i="3"/>
  <c r="R15" i="3"/>
  <c r="R22" i="3"/>
  <c r="R27" i="3"/>
  <c r="R29" i="3"/>
  <c r="R30" i="3"/>
  <c r="R33" i="3"/>
  <c r="R31" i="3"/>
  <c r="R16" i="3"/>
  <c r="R28" i="3"/>
  <c r="R26" i="3"/>
  <c r="R25" i="3"/>
  <c r="R24" i="3"/>
  <c r="R23" i="3"/>
  <c r="R21" i="3"/>
  <c r="R20" i="3"/>
  <c r="R19" i="3"/>
  <c r="R18" i="3"/>
  <c r="R17" i="3"/>
  <c r="R13" i="3"/>
  <c r="R12" i="3"/>
  <c r="R10" i="3"/>
  <c r="R9" i="3"/>
  <c r="R8" i="3"/>
  <c r="R7" i="3"/>
  <c r="Q29" i="3" l="1"/>
  <c r="MN38" i="3"/>
  <c r="MN39" i="3" s="1"/>
  <c r="MN67" i="3" s="1"/>
  <c r="MN66" i="3"/>
  <c r="MN2" i="3"/>
</calcChain>
</file>

<file path=xl/sharedStrings.xml><?xml version="1.0" encoding="utf-8"?>
<sst xmlns="http://schemas.openxmlformats.org/spreadsheetml/2006/main" count="1387" uniqueCount="513">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</sst>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89</xdr:row>
          <xdr:rowOff>28575</xdr:rowOff>
        </xdr:from>
        <xdr:to>
          <xdr:col>0</xdr:col>
          <xdr:colOff>676275</xdr:colOff>
          <xdr:row>91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93</xdr:row>
          <xdr:rowOff>28575</xdr:rowOff>
        </xdr:from>
        <xdr:to>
          <xdr:col>9</xdr:col>
          <xdr:colOff>47625</xdr:colOff>
          <xdr:row>94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N112"/>
  <sheetViews>
    <sheetView zoomScaleNormal="100" workbookViewId="0">
      <pane xSplit="18" ySplit="3" topLeftCell="DO73" activePane="bottomRight" state="frozen"/>
      <selection pane="topRight" activeCell="F1" sqref="F1"/>
      <selection pane="bottomLeft" activeCell="A3" sqref="A3"/>
      <selection pane="bottomRight" activeCell="EU44" sqref="EU44"/>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2" width="3.140625" customWidth="1"/>
  </cols>
  <sheetData>
    <row r="1" spans="1:352"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H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ref="EG1:EH1" si="4">EF1 + 1</f>
        <v>44079</v>
      </c>
      <c r="EH1" s="47">
        <f t="shared" si="4"/>
        <v>44080</v>
      </c>
      <c r="EI1" s="47" t="s">
        <v>470</v>
      </c>
      <c r="EJ1" s="49" t="s">
        <v>471</v>
      </c>
      <c r="EK1" s="47">
        <f>EH1 + 1</f>
        <v>44081</v>
      </c>
      <c r="EL1" s="47">
        <f t="shared" si="1"/>
        <v>44082</v>
      </c>
      <c r="EM1" s="47">
        <f t="shared" si="1"/>
        <v>44083</v>
      </c>
      <c r="EN1" s="47">
        <f t="shared" si="1"/>
        <v>44084</v>
      </c>
      <c r="EO1" s="47">
        <f t="shared" si="1"/>
        <v>44085</v>
      </c>
      <c r="EP1" s="47">
        <f t="shared" si="1"/>
        <v>44086</v>
      </c>
      <c r="EQ1" s="47">
        <f t="shared" si="1"/>
        <v>44087</v>
      </c>
      <c r="ER1" s="47" t="s">
        <v>473</v>
      </c>
      <c r="ES1" s="49" t="s">
        <v>474</v>
      </c>
      <c r="ET1" s="47">
        <f>EQ1 + 1</f>
        <v>44088</v>
      </c>
      <c r="EU1" s="47">
        <f t="shared" si="1"/>
        <v>44089</v>
      </c>
      <c r="EV1" s="47">
        <f t="shared" si="1"/>
        <v>44090</v>
      </c>
      <c r="EW1" s="47">
        <f t="shared" si="1"/>
        <v>44091</v>
      </c>
      <c r="EX1" s="47">
        <f t="shared" si="1"/>
        <v>44092</v>
      </c>
      <c r="EY1" s="47">
        <f t="shared" si="1"/>
        <v>44093</v>
      </c>
      <c r="EZ1" s="49">
        <f>EY1 + 1</f>
        <v>44094</v>
      </c>
      <c r="FA1" s="47">
        <f t="shared" si="1"/>
        <v>44095</v>
      </c>
      <c r="FB1" s="47">
        <f t="shared" si="1"/>
        <v>44096</v>
      </c>
      <c r="FC1" s="47">
        <f t="shared" si="1"/>
        <v>44097</v>
      </c>
      <c r="FD1" s="47">
        <f t="shared" si="1"/>
        <v>44098</v>
      </c>
      <c r="FE1" s="47">
        <f t="shared" si="1"/>
        <v>44099</v>
      </c>
      <c r="FF1" s="47">
        <f t="shared" si="1"/>
        <v>44100</v>
      </c>
      <c r="FG1" s="49">
        <f t="shared" si="1"/>
        <v>44101</v>
      </c>
      <c r="FH1" s="47">
        <f t="shared" si="1"/>
        <v>44102</v>
      </c>
      <c r="FI1" s="47">
        <f t="shared" ref="FI1:HT1" si="5">FH1 + 1</f>
        <v>44103</v>
      </c>
      <c r="FJ1" s="47">
        <f t="shared" si="5"/>
        <v>44104</v>
      </c>
      <c r="FK1" s="47">
        <f t="shared" si="5"/>
        <v>44105</v>
      </c>
      <c r="FL1" s="47">
        <f t="shared" si="5"/>
        <v>44106</v>
      </c>
      <c r="FM1" s="47">
        <f t="shared" si="5"/>
        <v>44107</v>
      </c>
      <c r="FN1" s="49">
        <f t="shared" si="5"/>
        <v>44108</v>
      </c>
      <c r="FO1" s="47">
        <f t="shared" si="5"/>
        <v>44109</v>
      </c>
      <c r="FP1" s="47">
        <f t="shared" si="5"/>
        <v>44110</v>
      </c>
      <c r="FQ1" s="47">
        <f t="shared" si="5"/>
        <v>44111</v>
      </c>
      <c r="FR1" s="47">
        <f t="shared" si="5"/>
        <v>44112</v>
      </c>
      <c r="FS1" s="47">
        <f t="shared" si="5"/>
        <v>44113</v>
      </c>
      <c r="FT1" s="47">
        <f t="shared" si="5"/>
        <v>44114</v>
      </c>
      <c r="FU1" s="49">
        <f t="shared" si="5"/>
        <v>44115</v>
      </c>
      <c r="FV1" s="47">
        <f t="shared" si="5"/>
        <v>44116</v>
      </c>
      <c r="FW1" s="47">
        <f t="shared" si="5"/>
        <v>44117</v>
      </c>
      <c r="FX1" s="47">
        <f t="shared" si="5"/>
        <v>44118</v>
      </c>
      <c r="FY1" s="47">
        <f t="shared" si="5"/>
        <v>44119</v>
      </c>
      <c r="FZ1" s="47">
        <f t="shared" si="5"/>
        <v>44120</v>
      </c>
      <c r="GA1" s="47">
        <f t="shared" si="5"/>
        <v>44121</v>
      </c>
      <c r="GB1" s="49">
        <f t="shared" si="5"/>
        <v>44122</v>
      </c>
      <c r="GC1" s="47">
        <f t="shared" si="5"/>
        <v>44123</v>
      </c>
      <c r="GD1" s="47">
        <f t="shared" si="5"/>
        <v>44124</v>
      </c>
      <c r="GE1" s="47">
        <f t="shared" si="5"/>
        <v>44125</v>
      </c>
      <c r="GF1" s="47">
        <f t="shared" si="5"/>
        <v>44126</v>
      </c>
      <c r="GG1" s="47">
        <f t="shared" si="5"/>
        <v>44127</v>
      </c>
      <c r="GH1" s="47">
        <f t="shared" si="5"/>
        <v>44128</v>
      </c>
      <c r="GI1" s="49">
        <f t="shared" si="5"/>
        <v>44129</v>
      </c>
      <c r="GJ1" s="47">
        <f t="shared" si="5"/>
        <v>44130</v>
      </c>
      <c r="GK1" s="47">
        <f t="shared" si="5"/>
        <v>44131</v>
      </c>
      <c r="GL1" s="47">
        <f t="shared" si="5"/>
        <v>44132</v>
      </c>
      <c r="GM1" s="47">
        <f t="shared" si="5"/>
        <v>44133</v>
      </c>
      <c r="GN1" s="47">
        <f t="shared" si="5"/>
        <v>44134</v>
      </c>
      <c r="GO1" s="47">
        <f t="shared" si="5"/>
        <v>44135</v>
      </c>
      <c r="GP1" s="49">
        <f t="shared" si="5"/>
        <v>44136</v>
      </c>
      <c r="GQ1" s="47">
        <f t="shared" si="5"/>
        <v>44137</v>
      </c>
      <c r="GR1" s="47">
        <f t="shared" si="5"/>
        <v>44138</v>
      </c>
      <c r="GS1" s="47">
        <f t="shared" si="5"/>
        <v>44139</v>
      </c>
      <c r="GT1" s="47">
        <f t="shared" si="5"/>
        <v>44140</v>
      </c>
      <c r="GU1" s="47">
        <f t="shared" si="5"/>
        <v>44141</v>
      </c>
      <c r="GV1" s="47">
        <f t="shared" si="5"/>
        <v>44142</v>
      </c>
      <c r="GW1" s="49">
        <f t="shared" si="5"/>
        <v>44143</v>
      </c>
      <c r="GX1" s="47">
        <f t="shared" si="5"/>
        <v>44144</v>
      </c>
      <c r="GY1" s="47">
        <f t="shared" si="5"/>
        <v>44145</v>
      </c>
      <c r="GZ1" s="47">
        <f t="shared" si="5"/>
        <v>44146</v>
      </c>
      <c r="HA1" s="47">
        <f t="shared" si="5"/>
        <v>44147</v>
      </c>
      <c r="HB1" s="47">
        <f t="shared" si="5"/>
        <v>44148</v>
      </c>
      <c r="HC1" s="47">
        <f t="shared" si="5"/>
        <v>44149</v>
      </c>
      <c r="HD1" s="49">
        <f t="shared" si="5"/>
        <v>44150</v>
      </c>
      <c r="HE1" s="47">
        <f t="shared" si="5"/>
        <v>44151</v>
      </c>
      <c r="HF1" s="47">
        <f t="shared" si="5"/>
        <v>44152</v>
      </c>
      <c r="HG1" s="47">
        <f t="shared" si="5"/>
        <v>44153</v>
      </c>
      <c r="HH1" s="47">
        <f t="shared" si="5"/>
        <v>44154</v>
      </c>
      <c r="HI1" s="47">
        <f t="shared" si="5"/>
        <v>44155</v>
      </c>
      <c r="HJ1" s="47">
        <f t="shared" si="5"/>
        <v>44156</v>
      </c>
      <c r="HK1" s="49">
        <f t="shared" si="5"/>
        <v>44157</v>
      </c>
      <c r="HL1" s="47">
        <f t="shared" si="5"/>
        <v>44158</v>
      </c>
      <c r="HM1" s="47">
        <f t="shared" si="5"/>
        <v>44159</v>
      </c>
      <c r="HN1" s="47">
        <f t="shared" si="5"/>
        <v>44160</v>
      </c>
      <c r="HO1" s="47">
        <f t="shared" si="5"/>
        <v>44161</v>
      </c>
      <c r="HP1" s="47">
        <f t="shared" si="5"/>
        <v>44162</v>
      </c>
      <c r="HQ1" s="47">
        <f t="shared" si="5"/>
        <v>44163</v>
      </c>
      <c r="HR1" s="49">
        <f t="shared" si="5"/>
        <v>44164</v>
      </c>
      <c r="HS1" s="47">
        <f t="shared" si="5"/>
        <v>44165</v>
      </c>
      <c r="HT1" s="47">
        <f t="shared" si="5"/>
        <v>44166</v>
      </c>
      <c r="HU1" s="47">
        <f t="shared" ref="HU1:KF1" si="6">HT1 + 1</f>
        <v>44167</v>
      </c>
      <c r="HV1" s="47">
        <f t="shared" si="6"/>
        <v>44168</v>
      </c>
      <c r="HW1" s="47">
        <f t="shared" si="6"/>
        <v>44169</v>
      </c>
      <c r="HX1" s="47">
        <f t="shared" si="6"/>
        <v>44170</v>
      </c>
      <c r="HY1" s="49">
        <f t="shared" si="6"/>
        <v>44171</v>
      </c>
      <c r="HZ1" s="47">
        <f t="shared" si="6"/>
        <v>44172</v>
      </c>
      <c r="IA1" s="47">
        <f t="shared" si="6"/>
        <v>44173</v>
      </c>
      <c r="IB1" s="47">
        <f t="shared" si="6"/>
        <v>44174</v>
      </c>
      <c r="IC1" s="47">
        <f t="shared" si="6"/>
        <v>44175</v>
      </c>
      <c r="ID1" s="47">
        <f t="shared" si="6"/>
        <v>44176</v>
      </c>
      <c r="IE1" s="47">
        <f t="shared" si="6"/>
        <v>44177</v>
      </c>
      <c r="IF1" s="49">
        <f t="shared" si="6"/>
        <v>44178</v>
      </c>
      <c r="IG1" s="47">
        <f t="shared" si="6"/>
        <v>44179</v>
      </c>
      <c r="IH1" s="47">
        <f t="shared" si="6"/>
        <v>44180</v>
      </c>
      <c r="II1" s="47">
        <f t="shared" si="6"/>
        <v>44181</v>
      </c>
      <c r="IJ1" s="47">
        <f t="shared" si="6"/>
        <v>44182</v>
      </c>
      <c r="IK1" s="47">
        <f t="shared" si="6"/>
        <v>44183</v>
      </c>
      <c r="IL1" s="47">
        <f t="shared" si="6"/>
        <v>44184</v>
      </c>
      <c r="IM1" s="49">
        <f t="shared" si="6"/>
        <v>44185</v>
      </c>
      <c r="IN1" s="47">
        <f t="shared" si="6"/>
        <v>44186</v>
      </c>
      <c r="IO1" s="47">
        <f t="shared" si="6"/>
        <v>44187</v>
      </c>
      <c r="IP1" s="47">
        <f t="shared" si="6"/>
        <v>44188</v>
      </c>
      <c r="IQ1" s="47">
        <f t="shared" si="6"/>
        <v>44189</v>
      </c>
      <c r="IR1" s="47">
        <f t="shared" si="6"/>
        <v>44190</v>
      </c>
      <c r="IS1" s="47">
        <f t="shared" si="6"/>
        <v>44191</v>
      </c>
      <c r="IT1" s="49">
        <f t="shared" si="6"/>
        <v>44192</v>
      </c>
      <c r="IU1" s="47">
        <f t="shared" si="6"/>
        <v>44193</v>
      </c>
      <c r="IV1" s="47">
        <f t="shared" si="6"/>
        <v>44194</v>
      </c>
      <c r="IW1" s="47">
        <f t="shared" si="6"/>
        <v>44195</v>
      </c>
      <c r="IX1" s="47">
        <f t="shared" si="6"/>
        <v>44196</v>
      </c>
      <c r="IY1" s="47">
        <f t="shared" si="6"/>
        <v>44197</v>
      </c>
      <c r="IZ1" s="47">
        <f t="shared" si="6"/>
        <v>44198</v>
      </c>
      <c r="JA1" s="49">
        <f t="shared" si="6"/>
        <v>44199</v>
      </c>
      <c r="JB1" s="47">
        <f t="shared" si="6"/>
        <v>44200</v>
      </c>
      <c r="JC1" s="47">
        <f t="shared" si="6"/>
        <v>44201</v>
      </c>
      <c r="JD1" s="47">
        <f t="shared" si="6"/>
        <v>44202</v>
      </c>
      <c r="JE1" s="47">
        <f t="shared" si="6"/>
        <v>44203</v>
      </c>
      <c r="JF1" s="47">
        <f t="shared" si="6"/>
        <v>44204</v>
      </c>
      <c r="JG1" s="47">
        <f t="shared" si="6"/>
        <v>44205</v>
      </c>
      <c r="JH1" s="49">
        <f t="shared" si="6"/>
        <v>44206</v>
      </c>
      <c r="JI1" s="47">
        <f t="shared" si="6"/>
        <v>44207</v>
      </c>
      <c r="JJ1" s="47">
        <f t="shared" si="6"/>
        <v>44208</v>
      </c>
      <c r="JK1" s="47">
        <f t="shared" si="6"/>
        <v>44209</v>
      </c>
      <c r="JL1" s="47">
        <f t="shared" si="6"/>
        <v>44210</v>
      </c>
      <c r="JM1" s="47">
        <f t="shared" si="6"/>
        <v>44211</v>
      </c>
      <c r="JN1" s="47">
        <f t="shared" si="6"/>
        <v>44212</v>
      </c>
      <c r="JO1" s="49">
        <f t="shared" si="6"/>
        <v>44213</v>
      </c>
      <c r="JP1" s="47">
        <f t="shared" si="6"/>
        <v>44214</v>
      </c>
      <c r="JQ1" s="47">
        <f t="shared" si="6"/>
        <v>44215</v>
      </c>
      <c r="JR1" s="47">
        <f t="shared" si="6"/>
        <v>44216</v>
      </c>
      <c r="JS1" s="47">
        <f t="shared" si="6"/>
        <v>44217</v>
      </c>
      <c r="JT1" s="47">
        <f t="shared" si="6"/>
        <v>44218</v>
      </c>
      <c r="JU1" s="47">
        <f t="shared" si="6"/>
        <v>44219</v>
      </c>
      <c r="JV1" s="49">
        <f t="shared" si="6"/>
        <v>44220</v>
      </c>
      <c r="JW1" s="47">
        <f t="shared" si="6"/>
        <v>44221</v>
      </c>
      <c r="JX1" s="47">
        <f t="shared" si="6"/>
        <v>44222</v>
      </c>
      <c r="JY1" s="47">
        <f t="shared" si="6"/>
        <v>44223</v>
      </c>
      <c r="JZ1" s="47">
        <f t="shared" si="6"/>
        <v>44224</v>
      </c>
      <c r="KA1" s="47">
        <f t="shared" si="6"/>
        <v>44225</v>
      </c>
      <c r="KB1" s="47">
        <f t="shared" si="6"/>
        <v>44226</v>
      </c>
      <c r="KC1" s="49">
        <f t="shared" si="6"/>
        <v>44227</v>
      </c>
      <c r="KD1" s="47">
        <f t="shared" si="6"/>
        <v>44228</v>
      </c>
      <c r="KE1" s="47">
        <f t="shared" si="6"/>
        <v>44229</v>
      </c>
      <c r="KF1" s="47">
        <f t="shared" si="6"/>
        <v>44230</v>
      </c>
      <c r="KG1" s="47">
        <f t="shared" ref="KG1:MN1" si="7">KF1 + 1</f>
        <v>44231</v>
      </c>
      <c r="KH1" s="47">
        <f t="shared" si="7"/>
        <v>44232</v>
      </c>
      <c r="KI1" s="47">
        <f t="shared" si="7"/>
        <v>44233</v>
      </c>
      <c r="KJ1" s="49">
        <f t="shared" si="7"/>
        <v>44234</v>
      </c>
      <c r="KK1" s="47">
        <f t="shared" si="7"/>
        <v>44235</v>
      </c>
      <c r="KL1" s="47">
        <f t="shared" si="7"/>
        <v>44236</v>
      </c>
      <c r="KM1" s="47">
        <f t="shared" si="7"/>
        <v>44237</v>
      </c>
      <c r="KN1" s="47">
        <f t="shared" si="7"/>
        <v>44238</v>
      </c>
      <c r="KO1" s="47">
        <f t="shared" si="7"/>
        <v>44239</v>
      </c>
      <c r="KP1" s="47">
        <f t="shared" si="7"/>
        <v>44240</v>
      </c>
      <c r="KQ1" s="49">
        <f t="shared" si="7"/>
        <v>44241</v>
      </c>
      <c r="KR1" s="47">
        <f t="shared" si="7"/>
        <v>44242</v>
      </c>
      <c r="KS1" s="47">
        <f t="shared" si="7"/>
        <v>44243</v>
      </c>
      <c r="KT1" s="47">
        <f t="shared" si="7"/>
        <v>44244</v>
      </c>
      <c r="KU1" s="47">
        <f t="shared" si="7"/>
        <v>44245</v>
      </c>
      <c r="KV1" s="47">
        <f t="shared" si="7"/>
        <v>44246</v>
      </c>
      <c r="KW1" s="47">
        <f t="shared" si="7"/>
        <v>44247</v>
      </c>
      <c r="KX1" s="49">
        <f t="shared" si="7"/>
        <v>44248</v>
      </c>
      <c r="KY1" s="47">
        <f t="shared" si="7"/>
        <v>44249</v>
      </c>
      <c r="KZ1" s="47">
        <f t="shared" si="7"/>
        <v>44250</v>
      </c>
      <c r="LA1" s="47">
        <f t="shared" si="7"/>
        <v>44251</v>
      </c>
      <c r="LB1" s="47">
        <f t="shared" si="7"/>
        <v>44252</v>
      </c>
      <c r="LC1" s="47">
        <f t="shared" si="7"/>
        <v>44253</v>
      </c>
      <c r="LD1" s="47">
        <f t="shared" si="7"/>
        <v>44254</v>
      </c>
      <c r="LE1" s="49">
        <f t="shared" si="7"/>
        <v>44255</v>
      </c>
      <c r="LF1" s="47">
        <f t="shared" si="7"/>
        <v>44256</v>
      </c>
      <c r="LG1" s="47">
        <f t="shared" si="7"/>
        <v>44257</v>
      </c>
      <c r="LH1" s="47">
        <f t="shared" si="7"/>
        <v>44258</v>
      </c>
      <c r="LI1" s="47">
        <f t="shared" si="7"/>
        <v>44259</v>
      </c>
      <c r="LJ1" s="47">
        <f t="shared" si="7"/>
        <v>44260</v>
      </c>
      <c r="LK1" s="47">
        <f t="shared" si="7"/>
        <v>44261</v>
      </c>
      <c r="LL1" s="49">
        <f t="shared" si="7"/>
        <v>44262</v>
      </c>
      <c r="LM1" s="47">
        <f t="shared" si="7"/>
        <v>44263</v>
      </c>
      <c r="LN1" s="47">
        <f t="shared" si="7"/>
        <v>44264</v>
      </c>
      <c r="LO1" s="47">
        <f t="shared" si="7"/>
        <v>44265</v>
      </c>
      <c r="LP1" s="47">
        <f t="shared" si="7"/>
        <v>44266</v>
      </c>
      <c r="LQ1" s="47">
        <f t="shared" si="7"/>
        <v>44267</v>
      </c>
      <c r="LR1" s="47">
        <f t="shared" si="7"/>
        <v>44268</v>
      </c>
      <c r="LS1" s="49">
        <f t="shared" si="7"/>
        <v>44269</v>
      </c>
      <c r="LT1" s="47">
        <f t="shared" si="7"/>
        <v>44270</v>
      </c>
      <c r="LU1" s="47">
        <f t="shared" si="7"/>
        <v>44271</v>
      </c>
      <c r="LV1" s="47">
        <f t="shared" si="7"/>
        <v>44272</v>
      </c>
      <c r="LW1" s="47">
        <f t="shared" si="7"/>
        <v>44273</v>
      </c>
      <c r="LX1" s="47">
        <f t="shared" si="7"/>
        <v>44274</v>
      </c>
      <c r="LY1" s="47">
        <f t="shared" si="7"/>
        <v>44275</v>
      </c>
      <c r="LZ1" s="49">
        <f t="shared" si="7"/>
        <v>44276</v>
      </c>
      <c r="MA1" s="47">
        <f t="shared" si="7"/>
        <v>44277</v>
      </c>
      <c r="MB1" s="47">
        <f t="shared" si="7"/>
        <v>44278</v>
      </c>
      <c r="MC1" s="47">
        <f t="shared" si="7"/>
        <v>44279</v>
      </c>
      <c r="MD1" s="47">
        <f t="shared" si="7"/>
        <v>44280</v>
      </c>
      <c r="ME1" s="47">
        <f t="shared" si="7"/>
        <v>44281</v>
      </c>
      <c r="MF1" s="47">
        <f t="shared" si="7"/>
        <v>44282</v>
      </c>
      <c r="MG1" s="49">
        <f t="shared" si="7"/>
        <v>44283</v>
      </c>
      <c r="MH1" s="47">
        <f t="shared" si="7"/>
        <v>44284</v>
      </c>
      <c r="MI1" s="47">
        <f t="shared" si="7"/>
        <v>44285</v>
      </c>
      <c r="MJ1" s="47">
        <f t="shared" si="7"/>
        <v>44286</v>
      </c>
      <c r="MK1" s="47">
        <f t="shared" si="7"/>
        <v>44287</v>
      </c>
      <c r="ML1" s="47">
        <f t="shared" si="7"/>
        <v>44288</v>
      </c>
      <c r="MM1" s="47">
        <f t="shared" si="7"/>
        <v>44289</v>
      </c>
      <c r="MN1" s="49">
        <f t="shared" si="7"/>
        <v>44290</v>
      </c>
    </row>
    <row r="2" spans="1:352" ht="15" customHeight="1" x14ac:dyDescent="0.25">
      <c r="A2" s="154" t="s">
        <v>144</v>
      </c>
      <c r="B2" s="154"/>
      <c r="C2" s="154"/>
      <c r="D2" s="154"/>
      <c r="E2" s="154"/>
      <c r="F2" s="39"/>
      <c r="G2" s="39"/>
      <c r="H2" s="39"/>
      <c r="I2" s="39"/>
      <c r="J2" s="39"/>
      <c r="K2" s="39"/>
      <c r="L2" s="39"/>
      <c r="M2" s="39"/>
      <c r="N2" s="39"/>
      <c r="O2" s="27"/>
      <c r="P2" s="155" t="s">
        <v>49</v>
      </c>
      <c r="Q2" s="150" t="s">
        <v>48</v>
      </c>
      <c r="R2" s="152" t="s">
        <v>407</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370</v>
      </c>
      <c r="BY2" s="50" t="s">
        <v>359</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370</v>
      </c>
      <c r="CH2" s="50" t="s">
        <v>362</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370</v>
      </c>
      <c r="CQ2" s="50" t="s">
        <v>377</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370</v>
      </c>
      <c r="CZ2" s="105" t="s">
        <v>406</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370</v>
      </c>
      <c r="DI2" s="50" t="s">
        <v>413</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370</v>
      </c>
      <c r="DR2" s="50" t="s">
        <v>427</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370</v>
      </c>
      <c r="EA2" s="50" t="s">
        <v>430</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370</v>
      </c>
      <c r="EJ2" s="50" t="s">
        <v>472</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370</v>
      </c>
      <c r="ES2" s="50" t="s">
        <v>475</v>
      </c>
      <c r="ET2" s="48">
        <f t="shared" ref="ET2" si="112">ET1</f>
        <v>44088</v>
      </c>
      <c r="EU2" s="48">
        <f t="shared" ref="EU2" si="113">EU1</f>
        <v>44089</v>
      </c>
      <c r="EV2" s="48">
        <f t="shared" ref="EV2" si="114">EV1</f>
        <v>44090</v>
      </c>
      <c r="EW2" s="48">
        <f t="shared" ref="EW2" si="115">EW1</f>
        <v>44091</v>
      </c>
      <c r="EX2" s="48">
        <f t="shared" ref="EX2" si="116">EX1</f>
        <v>44092</v>
      </c>
      <c r="EY2" s="48">
        <f t="shared" ref="EY2" si="117">EY1</f>
        <v>44093</v>
      </c>
      <c r="EZ2" s="50">
        <f t="shared" ref="EZ2" si="118">EZ1</f>
        <v>44094</v>
      </c>
      <c r="FA2" s="48">
        <f t="shared" ref="FA2" si="119">FA1</f>
        <v>44095</v>
      </c>
      <c r="FB2" s="48">
        <f t="shared" ref="FB2" si="120">FB1</f>
        <v>44096</v>
      </c>
      <c r="FC2" s="48">
        <f t="shared" ref="FC2" si="121">FC1</f>
        <v>44097</v>
      </c>
      <c r="FD2" s="48">
        <f t="shared" ref="FD2" si="122">FD1</f>
        <v>44098</v>
      </c>
      <c r="FE2" s="48">
        <f t="shared" ref="FE2" si="123">FE1</f>
        <v>44099</v>
      </c>
      <c r="FF2" s="48">
        <f t="shared" ref="FF2" si="124">FF1</f>
        <v>44100</v>
      </c>
      <c r="FG2" s="50">
        <f t="shared" ref="FG2" si="125">FG1</f>
        <v>44101</v>
      </c>
      <c r="FH2" s="48">
        <f t="shared" ref="FH2" si="126">FH1</f>
        <v>44102</v>
      </c>
      <c r="FI2" s="48">
        <f t="shared" ref="FI2" si="127">FI1</f>
        <v>44103</v>
      </c>
      <c r="FJ2" s="48">
        <f t="shared" ref="FJ2" si="128">FJ1</f>
        <v>44104</v>
      </c>
      <c r="FK2" s="48">
        <f t="shared" ref="FK2" si="129">FK1</f>
        <v>44105</v>
      </c>
      <c r="FL2" s="48">
        <f t="shared" ref="FL2" si="130">FL1</f>
        <v>44106</v>
      </c>
      <c r="FM2" s="48">
        <f t="shared" ref="FM2" si="131">FM1</f>
        <v>44107</v>
      </c>
      <c r="FN2" s="50">
        <f t="shared" ref="FN2" si="132">FN1</f>
        <v>44108</v>
      </c>
      <c r="FO2" s="48">
        <f t="shared" ref="FO2" si="133">FO1</f>
        <v>44109</v>
      </c>
      <c r="FP2" s="48">
        <f t="shared" ref="FP2" si="134">FP1</f>
        <v>44110</v>
      </c>
      <c r="FQ2" s="48">
        <f t="shared" ref="FQ2" si="135">FQ1</f>
        <v>44111</v>
      </c>
      <c r="FR2" s="48">
        <f t="shared" ref="FR2" si="136">FR1</f>
        <v>44112</v>
      </c>
      <c r="FS2" s="48">
        <f t="shared" ref="FS2" si="137">FS1</f>
        <v>44113</v>
      </c>
      <c r="FT2" s="48">
        <f t="shared" ref="FT2" si="138">FT1</f>
        <v>44114</v>
      </c>
      <c r="FU2" s="50">
        <f t="shared" ref="FU2" si="139">FU1</f>
        <v>44115</v>
      </c>
      <c r="FV2" s="48">
        <f t="shared" ref="FV2" si="140">FV1</f>
        <v>44116</v>
      </c>
      <c r="FW2" s="48">
        <f t="shared" ref="FW2" si="141">FW1</f>
        <v>44117</v>
      </c>
      <c r="FX2" s="48">
        <f t="shared" ref="FX2" si="142">FX1</f>
        <v>44118</v>
      </c>
      <c r="FY2" s="48">
        <f t="shared" ref="FY2" si="143">FY1</f>
        <v>44119</v>
      </c>
      <c r="FZ2" s="48">
        <f t="shared" ref="FZ2" si="144">FZ1</f>
        <v>44120</v>
      </c>
      <c r="GA2" s="48">
        <f t="shared" ref="GA2" si="145">GA1</f>
        <v>44121</v>
      </c>
      <c r="GB2" s="50">
        <f t="shared" ref="GB2" si="146">GB1</f>
        <v>44122</v>
      </c>
      <c r="GC2" s="48">
        <f t="shared" ref="GC2" si="147">GC1</f>
        <v>44123</v>
      </c>
      <c r="GD2" s="48">
        <f t="shared" ref="GD2" si="148">GD1</f>
        <v>44124</v>
      </c>
      <c r="GE2" s="48">
        <f t="shared" ref="GE2" si="149">GE1</f>
        <v>44125</v>
      </c>
      <c r="GF2" s="48">
        <f t="shared" ref="GF2" si="150">GF1</f>
        <v>44126</v>
      </c>
      <c r="GG2" s="48">
        <f t="shared" ref="GG2" si="151">GG1</f>
        <v>44127</v>
      </c>
      <c r="GH2" s="48">
        <f t="shared" ref="GH2" si="152">GH1</f>
        <v>44128</v>
      </c>
      <c r="GI2" s="50">
        <f t="shared" ref="GI2" si="153">GI1</f>
        <v>44129</v>
      </c>
      <c r="GJ2" s="48">
        <f t="shared" ref="GJ2" si="154">GJ1</f>
        <v>44130</v>
      </c>
      <c r="GK2" s="48">
        <f t="shared" ref="GK2" si="155">GK1</f>
        <v>44131</v>
      </c>
      <c r="GL2" s="48">
        <f t="shared" ref="GL2" si="156">GL1</f>
        <v>44132</v>
      </c>
      <c r="GM2" s="48">
        <f t="shared" ref="GM2" si="157">GM1</f>
        <v>44133</v>
      </c>
      <c r="GN2" s="48">
        <f t="shared" ref="GN2" si="158">GN1</f>
        <v>44134</v>
      </c>
      <c r="GO2" s="48">
        <f t="shared" ref="GO2" si="159">GO1</f>
        <v>44135</v>
      </c>
      <c r="GP2" s="50">
        <f t="shared" ref="GP2" si="160">GP1</f>
        <v>44136</v>
      </c>
      <c r="GQ2" s="48">
        <f t="shared" ref="GQ2" si="161">GQ1</f>
        <v>44137</v>
      </c>
      <c r="GR2" s="48">
        <f t="shared" ref="GR2" si="162">GR1</f>
        <v>44138</v>
      </c>
      <c r="GS2" s="48">
        <f t="shared" ref="GS2" si="163">GS1</f>
        <v>44139</v>
      </c>
      <c r="GT2" s="48">
        <f t="shared" ref="GT2" si="164">GT1</f>
        <v>44140</v>
      </c>
      <c r="GU2" s="48">
        <f t="shared" ref="GU2" si="165">GU1</f>
        <v>44141</v>
      </c>
      <c r="GV2" s="48">
        <f t="shared" ref="GV2" si="166">GV1</f>
        <v>44142</v>
      </c>
      <c r="GW2" s="50">
        <f t="shared" ref="GW2" si="167">GW1</f>
        <v>44143</v>
      </c>
      <c r="GX2" s="48">
        <f t="shared" ref="GX2" si="168">GX1</f>
        <v>44144</v>
      </c>
      <c r="GY2" s="48">
        <f t="shared" ref="GY2" si="169">GY1</f>
        <v>44145</v>
      </c>
      <c r="GZ2" s="48">
        <f t="shared" ref="GZ2" si="170">GZ1</f>
        <v>44146</v>
      </c>
      <c r="HA2" s="48">
        <f t="shared" ref="HA2" si="171">HA1</f>
        <v>44147</v>
      </c>
      <c r="HB2" s="48">
        <f t="shared" ref="HB2" si="172">HB1</f>
        <v>44148</v>
      </c>
      <c r="HC2" s="48">
        <f t="shared" ref="HC2" si="173">HC1</f>
        <v>44149</v>
      </c>
      <c r="HD2" s="50">
        <f t="shared" ref="HD2" si="174">HD1</f>
        <v>44150</v>
      </c>
      <c r="HE2" s="48">
        <f t="shared" ref="HE2" si="175">HE1</f>
        <v>44151</v>
      </c>
      <c r="HF2" s="48">
        <f t="shared" ref="HF2" si="176">HF1</f>
        <v>44152</v>
      </c>
      <c r="HG2" s="48">
        <f t="shared" ref="HG2" si="177">HG1</f>
        <v>44153</v>
      </c>
      <c r="HH2" s="48">
        <f t="shared" ref="HH2" si="178">HH1</f>
        <v>44154</v>
      </c>
      <c r="HI2" s="48">
        <f t="shared" ref="HI2" si="179">HI1</f>
        <v>44155</v>
      </c>
      <c r="HJ2" s="48">
        <f t="shared" ref="HJ2" si="180">HJ1</f>
        <v>44156</v>
      </c>
      <c r="HK2" s="50">
        <f t="shared" ref="HK2" si="181">HK1</f>
        <v>44157</v>
      </c>
      <c r="HL2" s="48">
        <f t="shared" ref="HL2" si="182">HL1</f>
        <v>44158</v>
      </c>
      <c r="HM2" s="48">
        <f t="shared" ref="HM2" si="183">HM1</f>
        <v>44159</v>
      </c>
      <c r="HN2" s="48">
        <f t="shared" ref="HN2" si="184">HN1</f>
        <v>44160</v>
      </c>
      <c r="HO2" s="48">
        <f t="shared" ref="HO2" si="185">HO1</f>
        <v>44161</v>
      </c>
      <c r="HP2" s="48">
        <f t="shared" ref="HP2" si="186">HP1</f>
        <v>44162</v>
      </c>
      <c r="HQ2" s="48">
        <f t="shared" ref="HQ2" si="187">HQ1</f>
        <v>44163</v>
      </c>
      <c r="HR2" s="50">
        <f t="shared" ref="HR2" si="188">HR1</f>
        <v>44164</v>
      </c>
      <c r="HS2" s="48">
        <f t="shared" ref="HS2" si="189">HS1</f>
        <v>44165</v>
      </c>
      <c r="HT2" s="48">
        <f t="shared" ref="HT2" si="190">HT1</f>
        <v>44166</v>
      </c>
      <c r="HU2" s="48">
        <f t="shared" ref="HU2" si="191">HU1</f>
        <v>44167</v>
      </c>
      <c r="HV2" s="48">
        <f t="shared" ref="HV2" si="192">HV1</f>
        <v>44168</v>
      </c>
      <c r="HW2" s="48">
        <f t="shared" ref="HW2" si="193">HW1</f>
        <v>44169</v>
      </c>
      <c r="HX2" s="48">
        <f t="shared" ref="HX2" si="194">HX1</f>
        <v>44170</v>
      </c>
      <c r="HY2" s="50">
        <f t="shared" ref="HY2" si="195">HY1</f>
        <v>44171</v>
      </c>
      <c r="HZ2" s="48">
        <f t="shared" ref="HZ2" si="196">HZ1</f>
        <v>44172</v>
      </c>
      <c r="IA2" s="48">
        <f t="shared" ref="IA2" si="197">IA1</f>
        <v>44173</v>
      </c>
      <c r="IB2" s="48">
        <f t="shared" ref="IB2" si="198">IB1</f>
        <v>44174</v>
      </c>
      <c r="IC2" s="48">
        <f t="shared" ref="IC2" si="199">IC1</f>
        <v>44175</v>
      </c>
      <c r="ID2" s="48">
        <f t="shared" ref="ID2" si="200">ID1</f>
        <v>44176</v>
      </c>
      <c r="IE2" s="48">
        <f t="shared" ref="IE2" si="201">IE1</f>
        <v>44177</v>
      </c>
      <c r="IF2" s="50">
        <f t="shared" ref="IF2" si="202">IF1</f>
        <v>44178</v>
      </c>
      <c r="IG2" s="48">
        <f t="shared" ref="IG2" si="203">IG1</f>
        <v>44179</v>
      </c>
      <c r="IH2" s="48">
        <f t="shared" ref="IH2" si="204">IH1</f>
        <v>44180</v>
      </c>
      <c r="II2" s="48">
        <f t="shared" ref="II2" si="205">II1</f>
        <v>44181</v>
      </c>
      <c r="IJ2" s="48">
        <f t="shared" ref="IJ2" si="206">IJ1</f>
        <v>44182</v>
      </c>
      <c r="IK2" s="48">
        <f t="shared" ref="IK2" si="207">IK1</f>
        <v>44183</v>
      </c>
      <c r="IL2" s="48">
        <f t="shared" ref="IL2" si="208">IL1</f>
        <v>44184</v>
      </c>
      <c r="IM2" s="50">
        <f t="shared" ref="IM2" si="209">IM1</f>
        <v>44185</v>
      </c>
      <c r="IN2" s="48">
        <f t="shared" ref="IN2" si="210">IN1</f>
        <v>44186</v>
      </c>
      <c r="IO2" s="48">
        <f t="shared" ref="IO2" si="211">IO1</f>
        <v>44187</v>
      </c>
      <c r="IP2" s="48">
        <f t="shared" ref="IP2" si="212">IP1</f>
        <v>44188</v>
      </c>
      <c r="IQ2" s="48">
        <f t="shared" ref="IQ2" si="213">IQ1</f>
        <v>44189</v>
      </c>
      <c r="IR2" s="48">
        <f t="shared" ref="IR2" si="214">IR1</f>
        <v>44190</v>
      </c>
      <c r="IS2" s="48">
        <f t="shared" ref="IS2" si="215">IS1</f>
        <v>44191</v>
      </c>
      <c r="IT2" s="50">
        <f t="shared" ref="IT2" si="216">IT1</f>
        <v>44192</v>
      </c>
      <c r="IU2" s="48">
        <f t="shared" ref="IU2" si="217">IU1</f>
        <v>44193</v>
      </c>
      <c r="IV2" s="48">
        <f t="shared" ref="IV2" si="218">IV1</f>
        <v>44194</v>
      </c>
      <c r="IW2" s="48">
        <f t="shared" ref="IW2" si="219">IW1</f>
        <v>44195</v>
      </c>
      <c r="IX2" s="48">
        <f t="shared" ref="IX2" si="220">IX1</f>
        <v>44196</v>
      </c>
      <c r="IY2" s="48">
        <f t="shared" ref="IY2" si="221">IY1</f>
        <v>44197</v>
      </c>
      <c r="IZ2" s="48">
        <f t="shared" ref="IZ2" si="222">IZ1</f>
        <v>44198</v>
      </c>
      <c r="JA2" s="50">
        <f t="shared" ref="JA2" si="223">JA1</f>
        <v>44199</v>
      </c>
      <c r="JB2" s="48">
        <f t="shared" ref="JB2" si="224">JB1</f>
        <v>44200</v>
      </c>
      <c r="JC2" s="48">
        <f t="shared" ref="JC2" si="225">JC1</f>
        <v>44201</v>
      </c>
      <c r="JD2" s="48">
        <f t="shared" ref="JD2" si="226">JD1</f>
        <v>44202</v>
      </c>
      <c r="JE2" s="48">
        <f t="shared" ref="JE2" si="227">JE1</f>
        <v>44203</v>
      </c>
      <c r="JF2" s="48">
        <f t="shared" ref="JF2" si="228">JF1</f>
        <v>44204</v>
      </c>
      <c r="JG2" s="48">
        <f t="shared" ref="JG2" si="229">JG1</f>
        <v>44205</v>
      </c>
      <c r="JH2" s="50">
        <f t="shared" ref="JH2" si="230">JH1</f>
        <v>44206</v>
      </c>
      <c r="JI2" s="48">
        <f t="shared" ref="JI2" si="231">JI1</f>
        <v>44207</v>
      </c>
      <c r="JJ2" s="48">
        <f t="shared" ref="JJ2" si="232">JJ1</f>
        <v>44208</v>
      </c>
      <c r="JK2" s="48">
        <f t="shared" ref="JK2" si="233">JK1</f>
        <v>44209</v>
      </c>
      <c r="JL2" s="48">
        <f t="shared" ref="JL2" si="234">JL1</f>
        <v>44210</v>
      </c>
      <c r="JM2" s="48">
        <f t="shared" ref="JM2" si="235">JM1</f>
        <v>44211</v>
      </c>
      <c r="JN2" s="48">
        <f t="shared" ref="JN2" si="236">JN1</f>
        <v>44212</v>
      </c>
      <c r="JO2" s="50">
        <f t="shared" ref="JO2" si="237">JO1</f>
        <v>44213</v>
      </c>
      <c r="JP2" s="48">
        <f t="shared" ref="JP2" si="238">JP1</f>
        <v>44214</v>
      </c>
      <c r="JQ2" s="48">
        <f t="shared" ref="JQ2" si="239">JQ1</f>
        <v>44215</v>
      </c>
      <c r="JR2" s="48">
        <f t="shared" ref="JR2" si="240">JR1</f>
        <v>44216</v>
      </c>
      <c r="JS2" s="48">
        <f t="shared" ref="JS2" si="241">JS1</f>
        <v>44217</v>
      </c>
      <c r="JT2" s="48">
        <f t="shared" ref="JT2" si="242">JT1</f>
        <v>44218</v>
      </c>
      <c r="JU2" s="48">
        <f t="shared" ref="JU2" si="243">JU1</f>
        <v>44219</v>
      </c>
      <c r="JV2" s="50">
        <f t="shared" ref="JV2" si="244">JV1</f>
        <v>44220</v>
      </c>
      <c r="JW2" s="48">
        <f t="shared" ref="JW2" si="245">JW1</f>
        <v>44221</v>
      </c>
      <c r="JX2" s="48">
        <f t="shared" ref="JX2" si="246">JX1</f>
        <v>44222</v>
      </c>
      <c r="JY2" s="48">
        <f t="shared" ref="JY2" si="247">JY1</f>
        <v>44223</v>
      </c>
      <c r="JZ2" s="48">
        <f t="shared" ref="JZ2" si="248">JZ1</f>
        <v>44224</v>
      </c>
      <c r="KA2" s="48">
        <f t="shared" ref="KA2" si="249">KA1</f>
        <v>44225</v>
      </c>
      <c r="KB2" s="48">
        <f t="shared" ref="KB2" si="250">KB1</f>
        <v>44226</v>
      </c>
      <c r="KC2" s="50">
        <f t="shared" ref="KC2" si="251">KC1</f>
        <v>44227</v>
      </c>
      <c r="KD2" s="48">
        <f t="shared" ref="KD2" si="252">KD1</f>
        <v>44228</v>
      </c>
      <c r="KE2" s="48">
        <f t="shared" ref="KE2" si="253">KE1</f>
        <v>44229</v>
      </c>
      <c r="KF2" s="48">
        <f t="shared" ref="KF2" si="254">KF1</f>
        <v>44230</v>
      </c>
      <c r="KG2" s="48">
        <f t="shared" ref="KG2" si="255">KG1</f>
        <v>44231</v>
      </c>
      <c r="KH2" s="48">
        <f t="shared" ref="KH2" si="256">KH1</f>
        <v>44232</v>
      </c>
      <c r="KI2" s="48">
        <f t="shared" ref="KI2" si="257">KI1</f>
        <v>44233</v>
      </c>
      <c r="KJ2" s="50">
        <f t="shared" ref="KJ2" si="258">KJ1</f>
        <v>44234</v>
      </c>
      <c r="KK2" s="48">
        <f t="shared" ref="KK2" si="259">KK1</f>
        <v>44235</v>
      </c>
      <c r="KL2" s="48">
        <f t="shared" ref="KL2" si="260">KL1</f>
        <v>44236</v>
      </c>
      <c r="KM2" s="48">
        <f t="shared" ref="KM2" si="261">KM1</f>
        <v>44237</v>
      </c>
      <c r="KN2" s="48">
        <f t="shared" ref="KN2" si="262">KN1</f>
        <v>44238</v>
      </c>
      <c r="KO2" s="48">
        <f t="shared" ref="KO2" si="263">KO1</f>
        <v>44239</v>
      </c>
      <c r="KP2" s="48">
        <f t="shared" ref="KP2" si="264">KP1</f>
        <v>44240</v>
      </c>
      <c r="KQ2" s="50">
        <f t="shared" ref="KQ2" si="265">KQ1</f>
        <v>44241</v>
      </c>
      <c r="KR2" s="48">
        <f t="shared" ref="KR2" si="266">KR1</f>
        <v>44242</v>
      </c>
      <c r="KS2" s="48">
        <f t="shared" ref="KS2" si="267">KS1</f>
        <v>44243</v>
      </c>
      <c r="KT2" s="48">
        <f t="shared" ref="KT2" si="268">KT1</f>
        <v>44244</v>
      </c>
      <c r="KU2" s="48">
        <f t="shared" ref="KU2" si="269">KU1</f>
        <v>44245</v>
      </c>
      <c r="KV2" s="48">
        <f t="shared" ref="KV2" si="270">KV1</f>
        <v>44246</v>
      </c>
      <c r="KW2" s="48">
        <f t="shared" ref="KW2" si="271">KW1</f>
        <v>44247</v>
      </c>
      <c r="KX2" s="50">
        <f t="shared" ref="KX2" si="272">KX1</f>
        <v>44248</v>
      </c>
      <c r="KY2" s="48">
        <f t="shared" ref="KY2" si="273">KY1</f>
        <v>44249</v>
      </c>
      <c r="KZ2" s="48">
        <f t="shared" ref="KZ2" si="274">KZ1</f>
        <v>44250</v>
      </c>
      <c r="LA2" s="48">
        <f t="shared" ref="LA2" si="275">LA1</f>
        <v>44251</v>
      </c>
      <c r="LB2" s="48">
        <f t="shared" ref="LB2" si="276">LB1</f>
        <v>44252</v>
      </c>
      <c r="LC2" s="48">
        <f t="shared" ref="LC2" si="277">LC1</f>
        <v>44253</v>
      </c>
      <c r="LD2" s="48">
        <f t="shared" ref="LD2" si="278">LD1</f>
        <v>44254</v>
      </c>
      <c r="LE2" s="50">
        <f t="shared" ref="LE2" si="279">LE1</f>
        <v>44255</v>
      </c>
      <c r="LF2" s="48">
        <f t="shared" ref="LF2" si="280">LF1</f>
        <v>44256</v>
      </c>
      <c r="LG2" s="48">
        <f t="shared" ref="LG2" si="281">LG1</f>
        <v>44257</v>
      </c>
      <c r="LH2" s="48">
        <f t="shared" ref="LH2" si="282">LH1</f>
        <v>44258</v>
      </c>
      <c r="LI2" s="48">
        <f t="shared" ref="LI2" si="283">LI1</f>
        <v>44259</v>
      </c>
      <c r="LJ2" s="48">
        <f t="shared" ref="LJ2" si="284">LJ1</f>
        <v>44260</v>
      </c>
      <c r="LK2" s="48">
        <f t="shared" ref="LK2" si="285">LK1</f>
        <v>44261</v>
      </c>
      <c r="LL2" s="50">
        <f t="shared" ref="LL2" si="286">LL1</f>
        <v>44262</v>
      </c>
      <c r="LM2" s="48">
        <f t="shared" ref="LM2" si="287">LM1</f>
        <v>44263</v>
      </c>
      <c r="LN2" s="48">
        <f t="shared" ref="LN2" si="288">LN1</f>
        <v>44264</v>
      </c>
      <c r="LO2" s="48">
        <f t="shared" ref="LO2" si="289">LO1</f>
        <v>44265</v>
      </c>
      <c r="LP2" s="48">
        <f t="shared" ref="LP2" si="290">LP1</f>
        <v>44266</v>
      </c>
      <c r="LQ2" s="48">
        <f t="shared" ref="LQ2" si="291">LQ1</f>
        <v>44267</v>
      </c>
      <c r="LR2" s="48">
        <f t="shared" ref="LR2" si="292">LR1</f>
        <v>44268</v>
      </c>
      <c r="LS2" s="50">
        <f t="shared" ref="LS2" si="293">LS1</f>
        <v>44269</v>
      </c>
      <c r="LT2" s="48">
        <f t="shared" ref="LT2" si="294">LT1</f>
        <v>44270</v>
      </c>
      <c r="LU2" s="48">
        <f t="shared" ref="LU2" si="295">LU1</f>
        <v>44271</v>
      </c>
      <c r="LV2" s="48">
        <f t="shared" ref="LV2" si="296">LV1</f>
        <v>44272</v>
      </c>
      <c r="LW2" s="48">
        <f t="shared" ref="LW2" si="297">LW1</f>
        <v>44273</v>
      </c>
      <c r="LX2" s="48">
        <f t="shared" ref="LX2" si="298">LX1</f>
        <v>44274</v>
      </c>
      <c r="LY2" s="48">
        <f t="shared" ref="LY2" si="299">LY1</f>
        <v>44275</v>
      </c>
      <c r="LZ2" s="50">
        <f t="shared" ref="LZ2" si="300">LZ1</f>
        <v>44276</v>
      </c>
      <c r="MA2" s="48">
        <f t="shared" ref="MA2" si="301">MA1</f>
        <v>44277</v>
      </c>
      <c r="MB2" s="48">
        <f t="shared" ref="MB2" si="302">MB1</f>
        <v>44278</v>
      </c>
      <c r="MC2" s="48">
        <f t="shared" ref="MC2" si="303">MC1</f>
        <v>44279</v>
      </c>
      <c r="MD2" s="48">
        <f t="shared" ref="MD2" si="304">MD1</f>
        <v>44280</v>
      </c>
      <c r="ME2" s="48">
        <f t="shared" ref="ME2" si="305">ME1</f>
        <v>44281</v>
      </c>
      <c r="MF2" s="48">
        <f t="shared" ref="MF2" si="306">MF1</f>
        <v>44282</v>
      </c>
      <c r="MG2" s="50">
        <f t="shared" ref="MG2" si="307">MG1</f>
        <v>44283</v>
      </c>
      <c r="MH2" s="48">
        <f t="shared" ref="MH2" si="308">MH1</f>
        <v>44284</v>
      </c>
      <c r="MI2" s="48">
        <f t="shared" ref="MI2" si="309">MI1</f>
        <v>44285</v>
      </c>
      <c r="MJ2" s="48">
        <f t="shared" ref="MJ2" si="310">MJ1</f>
        <v>44286</v>
      </c>
      <c r="MK2" s="48">
        <f t="shared" ref="MK2" si="311">MK1</f>
        <v>44287</v>
      </c>
      <c r="ML2" s="48">
        <f t="shared" ref="ML2" si="312">ML1</f>
        <v>44288</v>
      </c>
      <c r="MM2" s="48">
        <f t="shared" ref="MM2" si="313">MM1</f>
        <v>44289</v>
      </c>
      <c r="MN2" s="50">
        <f t="shared" ref="MN2" si="314">MN1</f>
        <v>44290</v>
      </c>
    </row>
    <row r="3" spans="1:352" ht="15" customHeight="1" x14ac:dyDescent="0.25">
      <c r="A3" s="154"/>
      <c r="B3" s="154"/>
      <c r="C3" s="154"/>
      <c r="D3" s="154"/>
      <c r="E3" s="154"/>
      <c r="F3" s="39"/>
      <c r="G3" s="39"/>
      <c r="H3" s="39"/>
      <c r="I3" s="39"/>
      <c r="J3" s="39"/>
      <c r="K3" s="39"/>
      <c r="L3" s="39"/>
      <c r="M3" s="39"/>
      <c r="N3" s="39"/>
      <c r="O3" s="27"/>
      <c r="P3" s="156"/>
      <c r="Q3" s="151"/>
      <c r="R3" s="153"/>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481</v>
      </c>
      <c r="EF3" s="38" t="s">
        <v>38</v>
      </c>
      <c r="EG3" s="38"/>
      <c r="EH3" s="38"/>
      <c r="EI3" s="38"/>
      <c r="EJ3" s="24"/>
      <c r="EK3" s="38" t="s">
        <v>38</v>
      </c>
      <c r="EL3" s="38" t="s">
        <v>38</v>
      </c>
      <c r="EM3" s="38"/>
      <c r="EN3" s="38" t="s">
        <v>486</v>
      </c>
      <c r="EO3" s="38" t="s">
        <v>481</v>
      </c>
      <c r="EP3" s="38"/>
      <c r="EQ3" s="38" t="s">
        <v>476</v>
      </c>
      <c r="ER3" s="38"/>
      <c r="ES3" s="24"/>
      <c r="ET3" s="38" t="s">
        <v>38</v>
      </c>
      <c r="EU3" s="38" t="s">
        <v>38</v>
      </c>
      <c r="EV3" s="38"/>
      <c r="EW3" s="38" t="s">
        <v>38</v>
      </c>
      <c r="EX3" s="38" t="s">
        <v>38</v>
      </c>
      <c r="EY3" s="38" t="s">
        <v>367</v>
      </c>
      <c r="EZ3" s="24"/>
      <c r="FA3" s="38" t="s">
        <v>38</v>
      </c>
      <c r="FB3" s="38" t="s">
        <v>38</v>
      </c>
      <c r="FC3" s="38"/>
      <c r="FD3" s="38" t="s">
        <v>38</v>
      </c>
      <c r="FE3" s="38" t="s">
        <v>38</v>
      </c>
      <c r="FF3" s="38" t="s">
        <v>46</v>
      </c>
      <c r="FG3" s="24"/>
      <c r="FH3" s="38" t="s">
        <v>38</v>
      </c>
      <c r="FI3" s="38" t="s">
        <v>38</v>
      </c>
      <c r="FJ3" s="38"/>
      <c r="FK3" s="38" t="s">
        <v>38</v>
      </c>
      <c r="FL3" s="38" t="s">
        <v>38</v>
      </c>
      <c r="FM3" s="38" t="s">
        <v>46</v>
      </c>
      <c r="FN3" s="24"/>
      <c r="FO3" s="38" t="s">
        <v>38</v>
      </c>
      <c r="FP3" s="38" t="s">
        <v>38</v>
      </c>
      <c r="FQ3" s="38"/>
      <c r="FR3" s="38" t="s">
        <v>38</v>
      </c>
      <c r="FS3" s="38" t="s">
        <v>38</v>
      </c>
      <c r="FT3" s="38"/>
      <c r="FU3" s="24"/>
      <c r="FV3" s="38" t="s">
        <v>38</v>
      </c>
      <c r="FW3" s="38" t="s">
        <v>38</v>
      </c>
      <c r="FX3" s="38"/>
      <c r="FY3" s="38" t="s">
        <v>38</v>
      </c>
      <c r="FZ3" s="38" t="s">
        <v>38</v>
      </c>
      <c r="GA3" s="38"/>
      <c r="GB3" s="24"/>
      <c r="GC3" s="38" t="s">
        <v>38</v>
      </c>
      <c r="GD3" s="38" t="s">
        <v>38</v>
      </c>
      <c r="GE3" s="38"/>
      <c r="GF3" s="38" t="s">
        <v>38</v>
      </c>
      <c r="GG3" s="38" t="s">
        <v>38</v>
      </c>
      <c r="GH3" s="38"/>
      <c r="GI3" s="24"/>
      <c r="GJ3" s="38" t="s">
        <v>38</v>
      </c>
      <c r="GK3" s="38" t="s">
        <v>38</v>
      </c>
      <c r="GL3" s="38"/>
      <c r="GM3" s="38" t="s">
        <v>38</v>
      </c>
      <c r="GN3" s="38" t="s">
        <v>38</v>
      </c>
      <c r="GO3" s="38"/>
      <c r="GP3" s="24"/>
      <c r="GQ3" s="38"/>
      <c r="GR3" s="38" t="s">
        <v>38</v>
      </c>
      <c r="GS3" s="38"/>
      <c r="GT3" s="38" t="s">
        <v>38</v>
      </c>
      <c r="GU3" s="38" t="s">
        <v>38</v>
      </c>
      <c r="GV3" s="38"/>
      <c r="GW3" s="24"/>
      <c r="GX3" s="38"/>
      <c r="GY3" s="38" t="s">
        <v>38</v>
      </c>
      <c r="GZ3" s="38"/>
      <c r="HA3" s="38" t="s">
        <v>38</v>
      </c>
      <c r="HB3" s="38" t="s">
        <v>38</v>
      </c>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t="s">
        <v>38</v>
      </c>
      <c r="HV3" s="38"/>
      <c r="HW3" s="38" t="s">
        <v>38</v>
      </c>
      <c r="HX3" s="38">
        <v>14</v>
      </c>
      <c r="HY3" s="24"/>
      <c r="HZ3" s="38"/>
      <c r="IA3" s="38" t="s">
        <v>38</v>
      </c>
      <c r="IB3" s="38"/>
      <c r="IC3" s="38" t="s">
        <v>38</v>
      </c>
      <c r="ID3" s="38" t="s">
        <v>38</v>
      </c>
      <c r="IE3" s="38"/>
      <c r="IF3" s="24"/>
      <c r="IG3" s="38"/>
      <c r="IH3" s="38" t="s">
        <v>38</v>
      </c>
      <c r="II3" s="38"/>
      <c r="IJ3" s="38" t="s">
        <v>38</v>
      </c>
      <c r="IK3" s="38" t="s">
        <v>38</v>
      </c>
      <c r="IL3" s="38">
        <v>10</v>
      </c>
      <c r="IM3" s="24"/>
      <c r="IN3" s="38"/>
      <c r="IO3" s="38" t="s">
        <v>38</v>
      </c>
      <c r="IP3" s="38"/>
      <c r="IQ3" s="38" t="s">
        <v>38</v>
      </c>
      <c r="IR3" s="38" t="s">
        <v>38</v>
      </c>
      <c r="IS3" s="38">
        <v>11</v>
      </c>
      <c r="IT3" s="24" t="s">
        <v>47</v>
      </c>
      <c r="IU3" s="38"/>
      <c r="IV3" s="38" t="s">
        <v>38</v>
      </c>
      <c r="IW3" s="38" t="s">
        <v>40</v>
      </c>
      <c r="IX3" s="38" t="s">
        <v>38</v>
      </c>
      <c r="IY3" s="38" t="s">
        <v>38</v>
      </c>
      <c r="IZ3" s="38">
        <v>11</v>
      </c>
      <c r="JA3" s="24">
        <v>13</v>
      </c>
      <c r="JB3" s="38"/>
      <c r="JC3" s="38" t="s">
        <v>38</v>
      </c>
      <c r="JD3" s="38"/>
      <c r="JE3" s="38" t="s">
        <v>38</v>
      </c>
      <c r="JF3" s="38" t="s">
        <v>38</v>
      </c>
      <c r="JG3" s="38" t="s">
        <v>40</v>
      </c>
      <c r="JH3" s="24">
        <v>12</v>
      </c>
      <c r="JI3" s="38"/>
      <c r="JJ3" s="38" t="s">
        <v>38</v>
      </c>
      <c r="JK3" s="38"/>
      <c r="JL3" s="38" t="s">
        <v>38</v>
      </c>
      <c r="JM3" s="38"/>
      <c r="JN3" s="38" t="s">
        <v>45</v>
      </c>
      <c r="JO3" s="24" t="s">
        <v>45</v>
      </c>
      <c r="JP3" s="38"/>
      <c r="JQ3" s="38"/>
      <c r="JR3" s="38"/>
      <c r="JS3" s="38" t="s">
        <v>38</v>
      </c>
      <c r="JT3" s="38" t="s">
        <v>44</v>
      </c>
      <c r="JU3" s="38" t="s">
        <v>44</v>
      </c>
      <c r="JV3" s="24"/>
      <c r="JW3" s="38" t="s">
        <v>38</v>
      </c>
      <c r="JX3" s="38" t="s">
        <v>38</v>
      </c>
      <c r="JY3" s="38"/>
      <c r="JZ3" s="38" t="s">
        <v>38</v>
      </c>
      <c r="KA3" s="38" t="s">
        <v>38</v>
      </c>
      <c r="KB3" s="38"/>
      <c r="KC3" s="24" t="s">
        <v>43</v>
      </c>
      <c r="KD3" s="38"/>
      <c r="KE3" s="38" t="s">
        <v>38</v>
      </c>
      <c r="KF3" s="38" t="s">
        <v>43</v>
      </c>
      <c r="KG3" s="38" t="s">
        <v>38</v>
      </c>
      <c r="KH3" s="38" t="s">
        <v>38</v>
      </c>
      <c r="KI3" s="38" t="s">
        <v>43</v>
      </c>
      <c r="KJ3" s="24" t="s">
        <v>41</v>
      </c>
      <c r="KK3" s="38" t="s">
        <v>40</v>
      </c>
      <c r="KL3" s="38" t="s">
        <v>38</v>
      </c>
      <c r="KM3" s="38"/>
      <c r="KN3" s="38" t="s">
        <v>38</v>
      </c>
      <c r="KO3" s="38" t="s">
        <v>38</v>
      </c>
      <c r="KP3" s="38">
        <v>12</v>
      </c>
      <c r="KQ3" s="24">
        <v>12</v>
      </c>
      <c r="KR3" s="38"/>
      <c r="KS3" s="38" t="s">
        <v>38</v>
      </c>
      <c r="KT3" s="38"/>
      <c r="KU3" s="38" t="s">
        <v>38</v>
      </c>
      <c r="KV3" s="38" t="s">
        <v>38</v>
      </c>
      <c r="KW3" s="38" t="s">
        <v>38</v>
      </c>
      <c r="KX3" s="24">
        <v>11</v>
      </c>
      <c r="KY3" s="38"/>
      <c r="KZ3" s="38" t="s">
        <v>38</v>
      </c>
      <c r="LA3" s="38"/>
      <c r="LB3" s="38" t="s">
        <v>38</v>
      </c>
      <c r="LC3" s="38" t="s">
        <v>38</v>
      </c>
      <c r="LD3" s="38">
        <v>13</v>
      </c>
      <c r="LE3" s="24">
        <v>13</v>
      </c>
      <c r="LF3" s="38"/>
      <c r="LG3" s="38" t="s">
        <v>38</v>
      </c>
      <c r="LH3" s="38"/>
      <c r="LI3" s="38">
        <v>10</v>
      </c>
      <c r="LJ3" s="38"/>
      <c r="LK3" s="38"/>
      <c r="LL3" s="26" t="s">
        <v>39</v>
      </c>
      <c r="LM3" s="38"/>
      <c r="LN3" s="38" t="s">
        <v>38</v>
      </c>
      <c r="LO3" s="38"/>
      <c r="LP3" s="38" t="s">
        <v>38</v>
      </c>
      <c r="LQ3" s="38" t="s">
        <v>38</v>
      </c>
      <c r="LR3" s="38"/>
      <c r="LS3" s="24"/>
      <c r="LT3" s="38"/>
      <c r="LU3" s="38"/>
      <c r="LV3" s="38"/>
      <c r="LW3" s="38"/>
      <c r="LX3" s="38"/>
      <c r="LY3" s="38"/>
      <c r="LZ3" s="24"/>
      <c r="MA3" s="38"/>
      <c r="MB3" s="38"/>
      <c r="MC3" s="38"/>
      <c r="MD3" s="38"/>
      <c r="ME3" s="38"/>
      <c r="MF3" s="38"/>
      <c r="MG3" s="24"/>
      <c r="MH3" s="38"/>
      <c r="MI3" s="38"/>
      <c r="MJ3" s="38"/>
      <c r="MK3" s="38"/>
      <c r="ML3" s="38"/>
      <c r="MM3" s="38"/>
      <c r="MN3" s="24"/>
    </row>
    <row r="4" spans="1:352" x14ac:dyDescent="0.25">
      <c r="A4" s="11" t="s">
        <v>145</v>
      </c>
      <c r="B4" s="11"/>
      <c r="C4" s="11"/>
      <c r="D4" s="11"/>
      <c r="E4" s="11"/>
      <c r="F4" s="138" t="s">
        <v>147</v>
      </c>
      <c r="G4" s="139" t="s">
        <v>146</v>
      </c>
      <c r="H4" s="139" t="s">
        <v>119</v>
      </c>
      <c r="I4" s="140" t="s">
        <v>41</v>
      </c>
      <c r="J4" s="140" t="s">
        <v>118</v>
      </c>
      <c r="K4" s="140" t="s">
        <v>42</v>
      </c>
      <c r="L4" s="140" t="s">
        <v>117</v>
      </c>
      <c r="M4" s="140" t="s">
        <v>47</v>
      </c>
      <c r="N4" s="140" t="s">
        <v>100</v>
      </c>
      <c r="O4" s="141"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2"/>
      <c r="FA4" s="11"/>
      <c r="FB4" s="11"/>
      <c r="FC4" s="11"/>
      <c r="FD4" s="11"/>
      <c r="FE4" s="11"/>
      <c r="FF4" s="11"/>
      <c r="FG4" s="12"/>
      <c r="FH4" s="11"/>
      <c r="FI4" s="11"/>
      <c r="FJ4" s="11"/>
      <c r="FK4" s="11"/>
      <c r="FL4" s="11"/>
      <c r="FM4" s="11"/>
      <c r="FN4" s="12"/>
      <c r="FO4" s="11"/>
      <c r="FP4" s="11"/>
      <c r="FQ4" s="11"/>
      <c r="FR4" s="11"/>
      <c r="FS4" s="11"/>
      <c r="FT4" s="11"/>
      <c r="FU4" s="12"/>
      <c r="FV4" s="11"/>
      <c r="FW4" s="11"/>
      <c r="FX4" s="11"/>
      <c r="FY4" s="11"/>
      <c r="FZ4" s="11"/>
      <c r="GA4" s="11"/>
      <c r="GB4" s="12"/>
      <c r="GC4" s="11"/>
      <c r="GD4" s="11"/>
      <c r="GE4" s="11"/>
      <c r="GF4" s="11"/>
      <c r="GG4" s="11"/>
      <c r="GH4" s="11"/>
      <c r="GI4" s="12"/>
      <c r="GJ4" s="11"/>
      <c r="GK4" s="11"/>
      <c r="GL4" s="11"/>
      <c r="GM4" s="11"/>
      <c r="GN4" s="11"/>
      <c r="GO4" s="11"/>
      <c r="GP4" s="12"/>
      <c r="GQ4" s="11"/>
      <c r="GR4" s="11"/>
      <c r="GS4" s="11"/>
      <c r="GT4" s="11"/>
      <c r="GU4" s="11"/>
      <c r="GV4" s="11"/>
      <c r="GW4" s="12"/>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row>
    <row r="5" spans="1:352"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2"/>
      <c r="FA5" s="11"/>
      <c r="FB5" s="11"/>
      <c r="FC5" s="11"/>
      <c r="FD5" s="11"/>
      <c r="FE5" s="11"/>
      <c r="FF5" s="11"/>
      <c r="FG5" s="12"/>
      <c r="FH5" s="11"/>
      <c r="FI5" s="11"/>
      <c r="FJ5" s="11"/>
      <c r="FK5" s="11"/>
      <c r="FL5" s="11"/>
      <c r="FM5" s="11"/>
      <c r="FN5" s="12"/>
      <c r="FO5" s="11"/>
      <c r="FP5" s="11"/>
      <c r="FQ5" s="11"/>
      <c r="FR5" s="11"/>
      <c r="FS5" s="11"/>
      <c r="FT5" s="11"/>
      <c r="FU5" s="12"/>
      <c r="FV5" s="11"/>
      <c r="FW5" s="11"/>
      <c r="FX5" s="11"/>
      <c r="FY5" s="11"/>
      <c r="FZ5" s="11"/>
      <c r="GA5" s="11"/>
      <c r="GB5" s="12"/>
      <c r="GC5" s="11"/>
      <c r="GD5" s="11"/>
      <c r="GE5" s="11"/>
      <c r="GF5" s="11"/>
      <c r="GG5" s="11"/>
      <c r="GH5" s="11"/>
      <c r="GI5" s="12"/>
      <c r="GJ5" s="11"/>
      <c r="GK5" s="11"/>
      <c r="GL5" s="11"/>
      <c r="GM5" s="11"/>
      <c r="GN5" s="11"/>
      <c r="GO5" s="11"/>
      <c r="GP5" s="12"/>
      <c r="GQ5" s="11"/>
      <c r="GR5" s="11"/>
      <c r="GS5" s="11"/>
      <c r="GT5" s="11"/>
      <c r="GU5" s="11"/>
      <c r="GV5" s="11"/>
      <c r="GW5" s="12"/>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row>
    <row r="6" spans="1:352" ht="7.5" customHeight="1" x14ac:dyDescent="0.25">
      <c r="A6" s="8"/>
      <c r="B6" s="8"/>
      <c r="C6" s="8"/>
      <c r="D6" s="8"/>
      <c r="E6" s="8"/>
      <c r="F6" s="10"/>
      <c r="G6" s="19"/>
      <c r="H6" s="19"/>
      <c r="I6" s="8"/>
      <c r="J6" s="8"/>
      <c r="K6" s="8"/>
      <c r="L6" s="8"/>
      <c r="M6" s="8"/>
      <c r="N6" s="8"/>
      <c r="O6" s="9"/>
      <c r="P6" s="8" t="str">
        <f t="shared" ref="P6:P33" si="315">IF(SUM(S6:MN6) &gt; 0, SUM(S6:MN6), "")</f>
        <v/>
      </c>
      <c r="Q6" s="109" t="str">
        <f>IF(SUM(R6:XFD6) &gt; 0, SUM(R6:XFD6) / $P$36 * 100, "")</f>
        <v/>
      </c>
      <c r="R6" s="84"/>
      <c r="S6" s="7"/>
      <c r="Z6" s="7"/>
      <c r="AG6" s="7"/>
      <c r="AN6" s="7"/>
      <c r="AU6" s="7"/>
      <c r="BB6" s="7"/>
      <c r="BI6" s="7"/>
      <c r="BP6" s="7"/>
      <c r="BY6" s="79"/>
      <c r="CH6" s="7"/>
      <c r="CQ6" s="7"/>
      <c r="CZ6" s="7"/>
      <c r="DI6" s="7"/>
      <c r="DR6" s="7"/>
      <c r="EA6" s="79"/>
      <c r="EJ6" s="7"/>
      <c r="ES6" s="7"/>
      <c r="EZ6" s="7"/>
      <c r="FG6" s="7"/>
      <c r="FN6" s="7"/>
      <c r="FU6" s="7"/>
      <c r="GB6" s="7"/>
      <c r="GI6" s="7"/>
      <c r="GP6" s="7"/>
      <c r="GW6" s="7"/>
      <c r="HD6" s="7"/>
      <c r="HK6" s="7"/>
      <c r="HR6" s="7"/>
      <c r="HY6" s="7"/>
      <c r="IF6" s="7"/>
      <c r="IM6" s="7"/>
      <c r="IT6" s="7"/>
      <c r="JA6" s="7"/>
      <c r="JH6" s="7"/>
      <c r="JO6" s="7"/>
      <c r="JV6" s="7"/>
      <c r="KC6" s="7"/>
      <c r="KJ6" s="7"/>
      <c r="KQ6" s="7"/>
      <c r="KX6" s="7"/>
      <c r="LE6" s="7"/>
      <c r="LL6" s="7"/>
      <c r="LS6" s="7"/>
      <c r="LZ6" s="7"/>
      <c r="MG6" s="7"/>
      <c r="MN6" s="7"/>
    </row>
    <row r="7" spans="1:352" ht="15" customHeight="1" x14ac:dyDescent="0.25">
      <c r="A7" s="8" t="s">
        <v>128</v>
      </c>
      <c r="B7" s="8" t="s">
        <v>127</v>
      </c>
      <c r="C7" s="8" t="s">
        <v>157</v>
      </c>
      <c r="D7" s="8" t="s">
        <v>126</v>
      </c>
      <c r="E7" s="18">
        <v>38532</v>
      </c>
      <c r="F7" s="10">
        <f>IF($E7 &gt;= F$5, 1, "")</f>
        <v>1</v>
      </c>
      <c r="G7" s="19">
        <f>IF($E7 &gt;= G$5, 1, "")</f>
        <v>1</v>
      </c>
      <c r="H7" s="19" t="str">
        <f t="shared" ref="H7:L7" si="316">IF($E7 &gt;= H$5, 1, "")</f>
        <v/>
      </c>
      <c r="I7" s="19" t="str">
        <f t="shared" si="316"/>
        <v/>
      </c>
      <c r="J7" s="19" t="str">
        <f t="shared" si="316"/>
        <v/>
      </c>
      <c r="K7" s="19" t="str">
        <f t="shared" si="316"/>
        <v/>
      </c>
      <c r="L7" s="19" t="str">
        <f t="shared" si="316"/>
        <v/>
      </c>
      <c r="M7" s="8"/>
      <c r="N7" s="8">
        <v>1</v>
      </c>
      <c r="O7" s="9">
        <v>1</v>
      </c>
      <c r="P7" s="8">
        <f t="shared" si="315"/>
        <v>45</v>
      </c>
      <c r="Q7" s="109">
        <f t="shared" ref="Q7:Q28" si="317">IF(SUM(S7:XFD7) &gt; 0, SUM(S7:XFD7) / $P$36 * 100, "")</f>
        <v>91.83673469387756</v>
      </c>
      <c r="R7" s="133" t="str">
        <f t="shared" ref="R7:R31" si="318">KStateSum(S7:MN7, 1)</f>
        <v>5</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E7">
        <v>1</v>
      </c>
      <c r="EF7">
        <v>1</v>
      </c>
      <c r="EI7" s="99" t="s">
        <v>365</v>
      </c>
      <c r="EJ7" s="80" t="s">
        <v>365</v>
      </c>
      <c r="EK7">
        <v>1</v>
      </c>
      <c r="EL7">
        <v>1</v>
      </c>
      <c r="EN7" s="95">
        <v>1</v>
      </c>
      <c r="EO7">
        <v>1</v>
      </c>
      <c r="EQ7">
        <v>1</v>
      </c>
      <c r="ER7" s="99" t="s">
        <v>365</v>
      </c>
      <c r="ES7" s="80" t="s">
        <v>399</v>
      </c>
      <c r="EZ7" s="7"/>
      <c r="FG7" s="7"/>
      <c r="FN7" s="7"/>
      <c r="FU7" s="7"/>
      <c r="GB7" s="7"/>
      <c r="GI7" s="7"/>
      <c r="GP7" s="7"/>
      <c r="GW7" s="7"/>
      <c r="HD7" s="7"/>
      <c r="HK7" s="7"/>
      <c r="HR7" s="7"/>
      <c r="HY7" s="7"/>
      <c r="IF7" s="7"/>
      <c r="IM7" s="7"/>
      <c r="IT7" s="7"/>
      <c r="JA7" s="7"/>
      <c r="JH7" s="7"/>
      <c r="JO7" s="7"/>
      <c r="JV7" s="7"/>
      <c r="KC7" s="7"/>
      <c r="KJ7" s="7"/>
      <c r="KQ7" s="7"/>
      <c r="KX7" s="7"/>
      <c r="LE7" s="7"/>
      <c r="LL7" s="7"/>
      <c r="LS7" s="7"/>
      <c r="LZ7" s="7"/>
      <c r="MG7" s="7"/>
      <c r="MN7" s="7"/>
    </row>
    <row r="8" spans="1:352" ht="15" customHeight="1" x14ac:dyDescent="0.25">
      <c r="A8" s="8" t="s">
        <v>151</v>
      </c>
      <c r="B8" s="8" t="s">
        <v>152</v>
      </c>
      <c r="C8" s="8" t="s">
        <v>153</v>
      </c>
      <c r="D8" s="8" t="s">
        <v>154</v>
      </c>
      <c r="E8" s="18">
        <v>36859</v>
      </c>
      <c r="F8" s="10" t="str">
        <f t="shared" ref="F8:L30"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5"/>
        <v>19</v>
      </c>
      <c r="Q8" s="109">
        <f t="shared" si="317"/>
        <v>38.775510204081634</v>
      </c>
      <c r="R8" s="133" t="str">
        <f t="shared" si="318"/>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365</v>
      </c>
      <c r="ES8" s="80" t="s">
        <v>399</v>
      </c>
      <c r="EZ8" s="7"/>
      <c r="FB8" t="s">
        <v>462</v>
      </c>
      <c r="FG8" s="7"/>
      <c r="FN8" s="7"/>
      <c r="FU8" s="7"/>
      <c r="GB8" s="7"/>
      <c r="GI8" s="7"/>
      <c r="GP8" s="7"/>
      <c r="GW8" s="7"/>
      <c r="HD8" s="7"/>
      <c r="HK8" s="7"/>
      <c r="HR8" s="7"/>
      <c r="HY8" s="7"/>
      <c r="IF8" s="7"/>
      <c r="IM8" s="7"/>
      <c r="IT8" s="7"/>
      <c r="JA8" s="7"/>
      <c r="JH8" s="7"/>
      <c r="JO8" s="7"/>
      <c r="JV8" s="7"/>
      <c r="KC8" s="7"/>
      <c r="KJ8" s="7"/>
      <c r="KQ8" s="7"/>
      <c r="KX8" s="7"/>
      <c r="LE8" s="7"/>
      <c r="LL8" s="7"/>
      <c r="LS8" s="7"/>
      <c r="LZ8" s="7"/>
      <c r="MG8" s="7"/>
      <c r="MN8" s="7"/>
    </row>
    <row r="9" spans="1:352"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5"/>
        <v>47</v>
      </c>
      <c r="Q9" s="109">
        <f t="shared" si="317"/>
        <v>95.918367346938766</v>
      </c>
      <c r="R9" s="133" t="str">
        <f t="shared" si="318"/>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E9">
        <v>1</v>
      </c>
      <c r="EF9">
        <v>1</v>
      </c>
      <c r="EI9" s="99" t="s">
        <v>365</v>
      </c>
      <c r="EJ9" s="80" t="s">
        <v>365</v>
      </c>
      <c r="EK9">
        <v>1</v>
      </c>
      <c r="EL9">
        <v>1</v>
      </c>
      <c r="EN9" s="95">
        <v>1</v>
      </c>
      <c r="EO9">
        <v>1</v>
      </c>
      <c r="EQ9">
        <v>1</v>
      </c>
      <c r="ER9" s="99" t="s">
        <v>365</v>
      </c>
      <c r="ES9" s="80" t="s">
        <v>399</v>
      </c>
      <c r="EZ9" s="7"/>
      <c r="FG9" s="7"/>
      <c r="FN9" s="7"/>
      <c r="FU9" s="7"/>
      <c r="GB9" s="7"/>
      <c r="GI9" s="7"/>
      <c r="GP9" s="7"/>
      <c r="GW9" s="7"/>
      <c r="HD9" s="7"/>
      <c r="HK9" s="7"/>
      <c r="HR9" s="7"/>
      <c r="HY9" s="7"/>
      <c r="IF9" s="7"/>
      <c r="IM9" s="7"/>
      <c r="IT9" s="7"/>
      <c r="JA9" s="7"/>
      <c r="JH9" s="7"/>
      <c r="JO9" s="7"/>
      <c r="JV9" s="7"/>
      <c r="KC9" s="7"/>
      <c r="KJ9" s="7"/>
      <c r="KQ9" s="7"/>
      <c r="KX9" s="7"/>
      <c r="LE9" s="7"/>
      <c r="LL9" s="7"/>
      <c r="LS9" s="7"/>
      <c r="LZ9" s="7"/>
      <c r="MG9" s="7"/>
      <c r="MN9" s="7"/>
    </row>
    <row r="10" spans="1:352"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5"/>
        <v>38</v>
      </c>
      <c r="Q10" s="109">
        <f t="shared" si="317"/>
        <v>77.551020408163268</v>
      </c>
      <c r="R10" s="133" t="str">
        <f t="shared" si="318"/>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E10">
        <v>1</v>
      </c>
      <c r="EF10">
        <v>1</v>
      </c>
      <c r="EI10" s="99" t="s">
        <v>365</v>
      </c>
      <c r="EJ10" s="80" t="s">
        <v>365</v>
      </c>
      <c r="EK10">
        <v>1</v>
      </c>
      <c r="EL10">
        <v>1</v>
      </c>
      <c r="EN10" s="95">
        <v>1</v>
      </c>
      <c r="EO10">
        <v>1</v>
      </c>
      <c r="ER10" s="99" t="s">
        <v>365</v>
      </c>
      <c r="ES10" s="80" t="s">
        <v>365</v>
      </c>
      <c r="EZ10" s="7"/>
      <c r="FG10" s="7"/>
      <c r="FN10" s="7"/>
      <c r="FU10" s="7"/>
      <c r="GB10" s="7"/>
      <c r="GI10" s="7"/>
      <c r="GP10" s="7"/>
      <c r="GW10" s="7"/>
      <c r="HD10" s="7"/>
      <c r="HK10" s="7"/>
      <c r="HR10" s="7"/>
      <c r="HY10" s="7"/>
      <c r="IF10" s="7"/>
      <c r="IM10" s="7"/>
      <c r="IT10" s="7"/>
      <c r="JA10" s="7"/>
      <c r="JH10" s="7"/>
      <c r="JO10" s="7"/>
      <c r="JV10" s="7"/>
      <c r="KC10" s="7"/>
      <c r="KJ10" s="7"/>
      <c r="KQ10" s="7"/>
      <c r="KX10" s="7"/>
      <c r="LE10" s="7"/>
      <c r="LL10" s="7"/>
      <c r="LS10" s="7"/>
      <c r="LZ10" s="7"/>
      <c r="MG10" s="7"/>
      <c r="MN10" s="7"/>
    </row>
    <row r="11" spans="1:352" ht="15" customHeight="1" x14ac:dyDescent="0.25">
      <c r="A11" s="8" t="s">
        <v>388</v>
      </c>
      <c r="B11" s="8"/>
      <c r="C11" s="8" t="s">
        <v>239</v>
      </c>
      <c r="D11" s="8" t="s">
        <v>164</v>
      </c>
      <c r="E11" s="18">
        <v>36672</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ref="P11" si="320">IF(SUM(S11:MN11) &gt; 0, SUM(S11:MN11), "")</f>
        <v>7</v>
      </c>
      <c r="Q11" s="109">
        <f t="shared" si="317"/>
        <v>14.285714285714285</v>
      </c>
      <c r="R11" s="133" t="str">
        <f t="shared" ref="R11" si="321">KStateSum(S11:MN11, 1)</f>
        <v>-41</v>
      </c>
      <c r="S11" s="7"/>
      <c r="Z11" s="7"/>
      <c r="AG11" s="7"/>
      <c r="AN11" s="7"/>
      <c r="AU11" s="7"/>
      <c r="BB11" s="7"/>
      <c r="BI11" s="7"/>
      <c r="BP11" s="7"/>
      <c r="BX11" s="95" t="s">
        <v>365</v>
      </c>
      <c r="BY11" s="80" t="s">
        <v>369</v>
      </c>
      <c r="CG11" s="95" t="s">
        <v>365</v>
      </c>
      <c r="CH11" s="80" t="s">
        <v>369</v>
      </c>
      <c r="CL11">
        <v>1</v>
      </c>
      <c r="CP11" s="142" t="s">
        <v>399</v>
      </c>
      <c r="CQ11" s="143" t="s">
        <v>491</v>
      </c>
      <c r="CS11">
        <v>1</v>
      </c>
      <c r="CV11">
        <v>1</v>
      </c>
      <c r="CY11" s="142" t="s">
        <v>365</v>
      </c>
      <c r="CZ11" s="143" t="s">
        <v>363</v>
      </c>
      <c r="DH11" s="142" t="s">
        <v>365</v>
      </c>
      <c r="DI11" s="143" t="s">
        <v>366</v>
      </c>
      <c r="DK11">
        <v>1</v>
      </c>
      <c r="DQ11" s="142" t="s">
        <v>365</v>
      </c>
      <c r="DR11" s="143" t="s">
        <v>394</v>
      </c>
      <c r="DT11">
        <v>1</v>
      </c>
      <c r="DZ11" s="95" t="s">
        <v>365</v>
      </c>
      <c r="EA11" s="80" t="s">
        <v>394</v>
      </c>
      <c r="EC11">
        <v>1</v>
      </c>
      <c r="EI11" s="142" t="s">
        <v>365</v>
      </c>
      <c r="EJ11" s="80" t="s">
        <v>394</v>
      </c>
      <c r="EL11">
        <v>1</v>
      </c>
      <c r="EN11" s="95"/>
      <c r="ER11" s="99" t="s">
        <v>365</v>
      </c>
      <c r="ES11" s="80" t="s">
        <v>394</v>
      </c>
      <c r="EZ11" s="7"/>
      <c r="FG11" s="7"/>
      <c r="FN11" s="7"/>
      <c r="FU11" s="7"/>
      <c r="GB11" s="7"/>
      <c r="GI11" s="7"/>
      <c r="GP11" s="7"/>
      <c r="GW11" s="7"/>
      <c r="HD11" s="7"/>
      <c r="HK11" s="7"/>
      <c r="HR11" s="7"/>
      <c r="HY11" s="7"/>
      <c r="IF11" s="7"/>
      <c r="IM11" s="7"/>
      <c r="IT11" s="7"/>
      <c r="JA11" s="7"/>
      <c r="JH11" s="7"/>
      <c r="JO11" s="7"/>
      <c r="JV11" s="7"/>
      <c r="KC11" s="7"/>
      <c r="KJ11" s="7"/>
      <c r="KQ11" s="7"/>
      <c r="KX11" s="7"/>
      <c r="LE11" s="7"/>
      <c r="LL11" s="7"/>
      <c r="LS11" s="7"/>
      <c r="LZ11" s="7"/>
      <c r="MG11" s="7"/>
      <c r="MN11" s="7"/>
    </row>
    <row r="12" spans="1:352" x14ac:dyDescent="0.25">
      <c r="A12" s="8" t="s">
        <v>162</v>
      </c>
      <c r="B12" s="8"/>
      <c r="C12" s="8" t="s">
        <v>163</v>
      </c>
      <c r="D12" s="8" t="s">
        <v>164</v>
      </c>
      <c r="E12" s="18">
        <v>37133</v>
      </c>
      <c r="F12" s="10" t="str">
        <f t="shared" si="319"/>
        <v/>
      </c>
      <c r="G12" s="19" t="str">
        <f t="shared" si="319"/>
        <v/>
      </c>
      <c r="H12" s="19" t="str">
        <f t="shared" si="319"/>
        <v/>
      </c>
      <c r="I12" s="19" t="str">
        <f t="shared" si="319"/>
        <v/>
      </c>
      <c r="J12" s="19" t="str">
        <f t="shared" si="319"/>
        <v/>
      </c>
      <c r="K12" s="19" t="str">
        <f t="shared" si="319"/>
        <v/>
      </c>
      <c r="L12" s="19" t="str">
        <f t="shared" si="319"/>
        <v/>
      </c>
      <c r="M12" s="8"/>
      <c r="N12" s="8"/>
      <c r="O12" s="9">
        <v>1</v>
      </c>
      <c r="P12" s="8">
        <f t="shared" si="315"/>
        <v>42</v>
      </c>
      <c r="Q12" s="109">
        <f t="shared" si="317"/>
        <v>85.714285714285708</v>
      </c>
      <c r="R12" s="133" t="str">
        <f t="shared" si="318"/>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365</v>
      </c>
      <c r="BY12" s="80" t="s">
        <v>366</v>
      </c>
      <c r="CC12">
        <v>1</v>
      </c>
      <c r="CF12">
        <v>1</v>
      </c>
      <c r="CG12" s="95" t="s">
        <v>365</v>
      </c>
      <c r="CH12" s="80" t="s">
        <v>366</v>
      </c>
      <c r="CL12">
        <v>1</v>
      </c>
      <c r="CP12" s="99" t="s">
        <v>365</v>
      </c>
      <c r="CQ12" s="80" t="s">
        <v>368</v>
      </c>
      <c r="CS12">
        <v>1</v>
      </c>
      <c r="CU12">
        <v>1</v>
      </c>
      <c r="CV12">
        <v>1</v>
      </c>
      <c r="CY12" s="99" t="s">
        <v>365</v>
      </c>
      <c r="CZ12" s="80" t="s">
        <v>364</v>
      </c>
      <c r="DB12">
        <v>1</v>
      </c>
      <c r="DE12">
        <v>1</v>
      </c>
      <c r="DH12" s="99" t="s">
        <v>365</v>
      </c>
      <c r="DI12" s="80" t="s">
        <v>363</v>
      </c>
      <c r="DK12">
        <v>1</v>
      </c>
      <c r="DM12">
        <v>1</v>
      </c>
      <c r="DN12">
        <v>1</v>
      </c>
      <c r="DP12">
        <v>1</v>
      </c>
      <c r="DQ12" s="99" t="s">
        <v>365</v>
      </c>
      <c r="DR12" s="80" t="s">
        <v>365</v>
      </c>
      <c r="DT12">
        <v>1</v>
      </c>
      <c r="DV12" t="s">
        <v>389</v>
      </c>
      <c r="DZ12" s="95" t="s">
        <v>365</v>
      </c>
      <c r="EA12" s="80" t="s">
        <v>394</v>
      </c>
      <c r="EB12">
        <v>1</v>
      </c>
      <c r="EC12">
        <v>1</v>
      </c>
      <c r="EE12">
        <v>1</v>
      </c>
      <c r="EF12">
        <v>1</v>
      </c>
      <c r="EI12" s="99" t="s">
        <v>365</v>
      </c>
      <c r="EJ12" s="80" t="s">
        <v>365</v>
      </c>
      <c r="EK12">
        <v>1</v>
      </c>
      <c r="EL12">
        <v>1</v>
      </c>
      <c r="EN12" s="95">
        <v>1</v>
      </c>
      <c r="EO12">
        <v>1</v>
      </c>
      <c r="EQ12">
        <v>1</v>
      </c>
      <c r="ER12" s="99" t="s">
        <v>365</v>
      </c>
      <c r="ES12" s="80" t="s">
        <v>399</v>
      </c>
      <c r="EZ12" s="7"/>
      <c r="FG12" s="7"/>
      <c r="FN12" s="7"/>
      <c r="FU12" s="7"/>
      <c r="GB12" s="7"/>
      <c r="GI12" s="7"/>
      <c r="GP12" s="7"/>
      <c r="GW12" s="7"/>
      <c r="HD12" s="7"/>
      <c r="HK12" s="7"/>
      <c r="HR12" s="7"/>
      <c r="HY12" s="7"/>
      <c r="IF12" s="7"/>
      <c r="IM12" s="7"/>
      <c r="IT12" s="7"/>
      <c r="JA12" s="7"/>
      <c r="JH12" s="7"/>
      <c r="JO12" s="7"/>
      <c r="JV12" s="7"/>
      <c r="KC12" s="7"/>
      <c r="KJ12" s="7"/>
      <c r="KQ12" s="7"/>
      <c r="KX12" s="7"/>
      <c r="LE12" s="7"/>
      <c r="LL12" s="7"/>
      <c r="LS12" s="7"/>
      <c r="LZ12" s="7"/>
      <c r="MG12" s="7"/>
      <c r="MN12" s="7"/>
    </row>
    <row r="13" spans="1:352" x14ac:dyDescent="0.25">
      <c r="A13" s="8" t="s">
        <v>120</v>
      </c>
      <c r="B13" s="8" t="s">
        <v>161</v>
      </c>
      <c r="C13" s="8" t="s">
        <v>176</v>
      </c>
      <c r="D13" s="8" t="s">
        <v>177</v>
      </c>
      <c r="E13" s="18">
        <v>37808</v>
      </c>
      <c r="F13" s="10">
        <f t="shared" si="319"/>
        <v>1</v>
      </c>
      <c r="G13" s="19" t="str">
        <f t="shared" si="319"/>
        <v/>
      </c>
      <c r="H13" s="19" t="str">
        <f t="shared" si="319"/>
        <v/>
      </c>
      <c r="I13" s="19" t="str">
        <f t="shared" si="319"/>
        <v/>
      </c>
      <c r="J13" s="19" t="str">
        <f t="shared" si="319"/>
        <v/>
      </c>
      <c r="K13" s="19" t="str">
        <f t="shared" si="319"/>
        <v/>
      </c>
      <c r="L13" s="19" t="str">
        <f t="shared" si="319"/>
        <v/>
      </c>
      <c r="M13" s="8"/>
      <c r="N13" s="8">
        <v>1</v>
      </c>
      <c r="O13" s="9">
        <v>1</v>
      </c>
      <c r="P13" s="8">
        <f t="shared" si="315"/>
        <v>41</v>
      </c>
      <c r="Q13" s="109">
        <f t="shared" si="317"/>
        <v>83.673469387755105</v>
      </c>
      <c r="R13" s="133" t="str">
        <f t="shared" si="318"/>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379</v>
      </c>
      <c r="BY13" s="80" t="s">
        <v>365</v>
      </c>
      <c r="CC13">
        <v>1</v>
      </c>
      <c r="CG13" s="95" t="s">
        <v>379</v>
      </c>
      <c r="CH13" s="80" t="s">
        <v>365</v>
      </c>
      <c r="CL13">
        <v>1</v>
      </c>
      <c r="CO13">
        <v>1</v>
      </c>
      <c r="CP13" s="99" t="s">
        <v>365</v>
      </c>
      <c r="CQ13" s="80" t="s">
        <v>366</v>
      </c>
      <c r="CS13">
        <v>1</v>
      </c>
      <c r="CU13">
        <v>1</v>
      </c>
      <c r="CV13">
        <v>1</v>
      </c>
      <c r="CY13" s="99" t="s">
        <v>365</v>
      </c>
      <c r="CZ13" s="80" t="s">
        <v>364</v>
      </c>
      <c r="DB13">
        <v>1</v>
      </c>
      <c r="DG13">
        <v>1</v>
      </c>
      <c r="DH13" s="99" t="s">
        <v>399</v>
      </c>
      <c r="DI13" s="80" t="s">
        <v>364</v>
      </c>
      <c r="DK13">
        <v>1</v>
      </c>
      <c r="DM13">
        <v>1</v>
      </c>
      <c r="DQ13" s="99" t="s">
        <v>399</v>
      </c>
      <c r="DR13" s="80" t="s">
        <v>364</v>
      </c>
      <c r="DT13" t="s">
        <v>389</v>
      </c>
      <c r="DZ13" s="95" t="s">
        <v>365</v>
      </c>
      <c r="EA13" s="80" t="s">
        <v>366</v>
      </c>
      <c r="EB13">
        <v>1</v>
      </c>
      <c r="EC13">
        <v>1</v>
      </c>
      <c r="EE13">
        <v>1</v>
      </c>
      <c r="EI13" s="99" t="s">
        <v>365</v>
      </c>
      <c r="EJ13" s="80" t="s">
        <v>364</v>
      </c>
      <c r="EK13">
        <v>1</v>
      </c>
      <c r="EL13">
        <v>1</v>
      </c>
      <c r="EN13" s="95">
        <v>1</v>
      </c>
      <c r="EO13">
        <v>1</v>
      </c>
      <c r="EQ13">
        <v>1</v>
      </c>
      <c r="ER13" s="99" t="s">
        <v>365</v>
      </c>
      <c r="ES13" s="80" t="s">
        <v>399</v>
      </c>
      <c r="EZ13" s="7"/>
      <c r="FG13" s="7"/>
      <c r="FN13" s="7"/>
      <c r="FU13" s="7"/>
      <c r="GB13" s="7"/>
      <c r="GI13" s="7"/>
      <c r="GP13" s="7"/>
      <c r="GW13" s="7"/>
      <c r="HD13" s="7"/>
      <c r="HK13" s="7"/>
      <c r="HR13" s="7"/>
      <c r="HY13" s="7"/>
      <c r="IF13" s="7"/>
      <c r="IM13" s="7"/>
      <c r="IT13" s="7"/>
      <c r="JA13" s="7"/>
      <c r="JH13" s="7"/>
      <c r="JO13" s="7"/>
      <c r="JV13" s="7"/>
      <c r="KC13" s="7"/>
      <c r="KJ13" s="7"/>
      <c r="KQ13" s="7"/>
      <c r="KX13" s="7"/>
      <c r="LE13" s="7"/>
      <c r="LL13" s="7"/>
      <c r="LS13" s="7"/>
      <c r="LZ13" s="7"/>
      <c r="MG13" s="7"/>
      <c r="MN13" s="7"/>
    </row>
    <row r="14" spans="1:352" hidden="1" x14ac:dyDescent="0.25">
      <c r="A14" s="8" t="s">
        <v>178</v>
      </c>
      <c r="B14" s="8"/>
      <c r="C14" s="8" t="s">
        <v>180</v>
      </c>
      <c r="D14" s="8" t="s">
        <v>181</v>
      </c>
      <c r="E14" s="18"/>
      <c r="F14" s="10" t="str">
        <f t="shared" si="319"/>
        <v/>
      </c>
      <c r="G14" s="19" t="str">
        <f t="shared" si="319"/>
        <v/>
      </c>
      <c r="H14" s="19" t="str">
        <f t="shared" si="319"/>
        <v/>
      </c>
      <c r="I14" s="19" t="str">
        <f t="shared" si="319"/>
        <v/>
      </c>
      <c r="J14" s="19" t="str">
        <f t="shared" si="319"/>
        <v/>
      </c>
      <c r="K14" s="19" t="str">
        <f t="shared" si="319"/>
        <v/>
      </c>
      <c r="L14" s="19" t="str">
        <f t="shared" si="319"/>
        <v/>
      </c>
      <c r="M14" s="8"/>
      <c r="N14" s="8">
        <v>1</v>
      </c>
      <c r="O14" s="9"/>
      <c r="P14" s="8">
        <f t="shared" si="315"/>
        <v>1</v>
      </c>
      <c r="Q14" s="109">
        <f t="shared" si="317"/>
        <v>2.0408163265306123</v>
      </c>
      <c r="R14" s="133" t="str">
        <f t="shared" si="318"/>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I14" s="99" t="s">
        <v>365</v>
      </c>
      <c r="EJ14" s="80" t="s">
        <v>365</v>
      </c>
      <c r="EN14" s="95" t="s">
        <v>399</v>
      </c>
      <c r="ER14" s="99" t="s">
        <v>365</v>
      </c>
      <c r="ES14" s="80" t="s">
        <v>399</v>
      </c>
      <c r="EZ14" s="7"/>
      <c r="FG14" s="7"/>
      <c r="FN14" s="7"/>
      <c r="FU14" s="7"/>
      <c r="GB14" s="7"/>
      <c r="GI14" s="7"/>
      <c r="GP14" s="7"/>
      <c r="GW14" s="7"/>
      <c r="HD14" s="7"/>
      <c r="HK14" s="7"/>
      <c r="HR14" s="7"/>
      <c r="HY14" s="7"/>
      <c r="IF14" s="7"/>
      <c r="IM14" s="7"/>
      <c r="IT14" s="7"/>
      <c r="JA14" s="7"/>
      <c r="JH14" s="7"/>
      <c r="JO14" s="7"/>
      <c r="JV14" s="7"/>
      <c r="KC14" s="7"/>
      <c r="KJ14" s="7"/>
      <c r="KQ14" s="7"/>
      <c r="KX14" s="7"/>
      <c r="LE14" s="7"/>
      <c r="LL14" s="7"/>
      <c r="LS14" s="7"/>
      <c r="LZ14" s="7"/>
      <c r="MG14" s="7"/>
      <c r="MN14" s="7"/>
    </row>
    <row r="15" spans="1:352" hidden="1" x14ac:dyDescent="0.25">
      <c r="A15" s="8" t="s">
        <v>172</v>
      </c>
      <c r="B15" s="8" t="s">
        <v>173</v>
      </c>
      <c r="C15" s="8" t="s">
        <v>174</v>
      </c>
      <c r="D15" s="8" t="s">
        <v>175</v>
      </c>
      <c r="E15" s="18">
        <v>36556</v>
      </c>
      <c r="F15" s="10" t="str">
        <f t="shared" si="319"/>
        <v/>
      </c>
      <c r="G15" s="19" t="str">
        <f t="shared" si="319"/>
        <v/>
      </c>
      <c r="H15" s="19" t="str">
        <f t="shared" si="319"/>
        <v/>
      </c>
      <c r="I15" s="19" t="str">
        <f t="shared" si="319"/>
        <v/>
      </c>
      <c r="J15" s="19" t="str">
        <f t="shared" si="319"/>
        <v/>
      </c>
      <c r="K15" s="19" t="str">
        <f t="shared" si="319"/>
        <v/>
      </c>
      <c r="L15" s="19" t="str">
        <f t="shared" si="319"/>
        <v/>
      </c>
      <c r="M15" s="8"/>
      <c r="N15" s="8"/>
      <c r="O15" s="9"/>
      <c r="P15" s="8">
        <f t="shared" si="315"/>
        <v>1</v>
      </c>
      <c r="Q15" s="109">
        <f t="shared" si="317"/>
        <v>2.0408163265306123</v>
      </c>
      <c r="R15" s="133" t="str">
        <f t="shared" si="318"/>
        <v>-7</v>
      </c>
      <c r="S15" s="7">
        <v>1</v>
      </c>
      <c r="Z15" s="7"/>
      <c r="AG15" s="7"/>
      <c r="AN15" s="7"/>
      <c r="AU15" s="7"/>
      <c r="BB15" s="7"/>
      <c r="BI15" s="7"/>
      <c r="BP15" s="7"/>
      <c r="BX15" s="96"/>
      <c r="BY15" s="79"/>
      <c r="CG15" s="95" t="s">
        <v>365</v>
      </c>
      <c r="CH15" s="80" t="s">
        <v>368</v>
      </c>
      <c r="CP15" s="99" t="s">
        <v>365</v>
      </c>
      <c r="CQ15" s="80" t="s">
        <v>367</v>
      </c>
      <c r="CY15" s="99" t="s">
        <v>365</v>
      </c>
      <c r="CZ15" s="80" t="s">
        <v>364</v>
      </c>
      <c r="DH15" s="99" t="s">
        <v>365</v>
      </c>
      <c r="DI15" s="80" t="s">
        <v>367</v>
      </c>
      <c r="DQ15" s="99" t="s">
        <v>365</v>
      </c>
      <c r="DR15" s="80" t="s">
        <v>367</v>
      </c>
      <c r="DZ15" s="95" t="s">
        <v>365</v>
      </c>
      <c r="EA15" s="80" t="s">
        <v>364</v>
      </c>
      <c r="EI15" s="99" t="s">
        <v>365</v>
      </c>
      <c r="EJ15" s="80" t="s">
        <v>365</v>
      </c>
      <c r="EN15" s="95" t="s">
        <v>399</v>
      </c>
      <c r="ER15" s="99" t="s">
        <v>365</v>
      </c>
      <c r="ES15" s="80" t="s">
        <v>399</v>
      </c>
      <c r="EZ15" s="7"/>
      <c r="FG15" s="7"/>
      <c r="FN15" s="7"/>
      <c r="FU15" s="7"/>
      <c r="GB15" s="7"/>
      <c r="GI15" s="7"/>
      <c r="GP15" s="7"/>
      <c r="GW15" s="7"/>
      <c r="HD15" s="7"/>
      <c r="HK15" s="7"/>
      <c r="HR15" s="7"/>
      <c r="HY15" s="7"/>
      <c r="IF15" s="7"/>
      <c r="IM15" s="7"/>
      <c r="IT15" s="7"/>
      <c r="JA15" s="7"/>
      <c r="JH15" s="7"/>
      <c r="JO15" s="7"/>
      <c r="JV15" s="7"/>
      <c r="KC15" s="7"/>
      <c r="KJ15" s="7"/>
      <c r="KQ15" s="7"/>
      <c r="KX15" s="7"/>
      <c r="LE15" s="7"/>
      <c r="LL15" s="7"/>
      <c r="LS15" s="7"/>
      <c r="LZ15" s="7"/>
      <c r="MG15" s="7"/>
      <c r="MN15" s="7"/>
    </row>
    <row r="16" spans="1:352" x14ac:dyDescent="0.25">
      <c r="A16" s="8" t="s">
        <v>459</v>
      </c>
      <c r="B16" s="8" t="s">
        <v>231</v>
      </c>
      <c r="C16" s="8" t="s">
        <v>233</v>
      </c>
      <c r="D16" s="8" t="s">
        <v>232</v>
      </c>
      <c r="E16" s="18">
        <v>38679</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c r="P16" s="8">
        <f t="shared" si="315"/>
        <v>13</v>
      </c>
      <c r="Q16" s="109">
        <f t="shared" si="317"/>
        <v>26.530612244897959</v>
      </c>
      <c r="R16" s="133" t="str">
        <f t="shared" si="318"/>
        <v>-40</v>
      </c>
      <c r="S16" s="7"/>
      <c r="Z16" s="7"/>
      <c r="AG16" s="7"/>
      <c r="AN16" s="7"/>
      <c r="AU16" s="7"/>
      <c r="BB16" s="7"/>
      <c r="BI16" s="7"/>
      <c r="BP16" s="7"/>
      <c r="BX16" s="96">
        <v>5</v>
      </c>
      <c r="BY16" s="80" t="s">
        <v>369</v>
      </c>
      <c r="CG16" s="95" t="s">
        <v>365</v>
      </c>
      <c r="CH16" s="80" t="s">
        <v>369</v>
      </c>
      <c r="CP16" s="95" t="s">
        <v>365</v>
      </c>
      <c r="CQ16" s="80" t="s">
        <v>369</v>
      </c>
      <c r="CY16" s="99" t="s">
        <v>365</v>
      </c>
      <c r="CZ16" s="80" t="s">
        <v>366</v>
      </c>
      <c r="DH16" s="99" t="s">
        <v>365</v>
      </c>
      <c r="DI16" s="80" t="s">
        <v>366</v>
      </c>
      <c r="DQ16" s="99" t="s">
        <v>365</v>
      </c>
      <c r="DR16" s="80" t="s">
        <v>366</v>
      </c>
      <c r="DZ16" s="95">
        <v>1</v>
      </c>
      <c r="EA16" s="80" t="s">
        <v>394</v>
      </c>
      <c r="EB16">
        <v>1</v>
      </c>
      <c r="EC16">
        <v>1</v>
      </c>
      <c r="EE16">
        <v>1</v>
      </c>
      <c r="EF16">
        <v>1</v>
      </c>
      <c r="EI16" s="99" t="s">
        <v>365</v>
      </c>
      <c r="EJ16" s="80" t="s">
        <v>365</v>
      </c>
      <c r="EK16">
        <v>1</v>
      </c>
      <c r="EL16">
        <v>1</v>
      </c>
      <c r="EN16" s="95">
        <v>1</v>
      </c>
      <c r="EO16" t="s">
        <v>464</v>
      </c>
      <c r="ER16" s="99" t="s">
        <v>365</v>
      </c>
      <c r="ES16" s="80" t="s">
        <v>364</v>
      </c>
      <c r="EZ16" s="7"/>
      <c r="FG16" s="7"/>
      <c r="FN16" s="7"/>
      <c r="FU16" s="7"/>
      <c r="GB16" s="7"/>
      <c r="GI16" s="7"/>
      <c r="GP16" s="7"/>
      <c r="GW16" s="7"/>
      <c r="HD16" s="7"/>
      <c r="HK16" s="7"/>
      <c r="HR16" s="7"/>
      <c r="HY16" s="7"/>
      <c r="IF16" s="7"/>
      <c r="IM16" s="7"/>
      <c r="IT16" s="7"/>
      <c r="JA16" s="7"/>
      <c r="JH16" s="7"/>
      <c r="JO16" s="7"/>
      <c r="JV16" s="7"/>
      <c r="KC16" s="7"/>
      <c r="KJ16" s="7"/>
      <c r="KQ16" s="7"/>
      <c r="KX16" s="7"/>
      <c r="LE16" s="7"/>
      <c r="LL16" s="7"/>
      <c r="LS16" s="7"/>
      <c r="LZ16" s="7"/>
      <c r="MG16" s="7"/>
      <c r="MN16" s="7"/>
    </row>
    <row r="17" spans="1:352" x14ac:dyDescent="0.25">
      <c r="A17" s="8" t="s">
        <v>125</v>
      </c>
      <c r="B17" s="8" t="s">
        <v>124</v>
      </c>
      <c r="C17" s="8" t="s">
        <v>158</v>
      </c>
      <c r="D17" s="8" t="s">
        <v>123</v>
      </c>
      <c r="E17" s="18">
        <v>38491</v>
      </c>
      <c r="F17" s="10">
        <f t="shared" si="319"/>
        <v>1</v>
      </c>
      <c r="G17" s="19">
        <f t="shared" si="319"/>
        <v>1</v>
      </c>
      <c r="H17" s="19" t="str">
        <f t="shared" si="319"/>
        <v/>
      </c>
      <c r="I17" s="19" t="str">
        <f t="shared" si="319"/>
        <v/>
      </c>
      <c r="J17" s="19" t="str">
        <f t="shared" si="319"/>
        <v/>
      </c>
      <c r="K17" s="19" t="str">
        <f t="shared" si="319"/>
        <v/>
      </c>
      <c r="L17" s="19" t="str">
        <f t="shared" si="319"/>
        <v/>
      </c>
      <c r="M17" s="8"/>
      <c r="N17" s="8">
        <v>1</v>
      </c>
      <c r="O17" s="9">
        <v>1</v>
      </c>
      <c r="P17" s="8">
        <f t="shared" si="315"/>
        <v>40</v>
      </c>
      <c r="Q17" s="109">
        <f t="shared" si="317"/>
        <v>81.632653061224488</v>
      </c>
      <c r="R17" s="133" t="str">
        <f t="shared" si="318"/>
        <v>-14</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379</v>
      </c>
      <c r="BY17" s="80" t="s">
        <v>365</v>
      </c>
      <c r="CC17">
        <v>1</v>
      </c>
      <c r="CG17" s="95" t="s">
        <v>381</v>
      </c>
      <c r="CH17" s="80" t="s">
        <v>364</v>
      </c>
      <c r="CL17">
        <v>1</v>
      </c>
      <c r="CP17" s="99" t="s">
        <v>365</v>
      </c>
      <c r="CQ17" s="80" t="s">
        <v>368</v>
      </c>
      <c r="CS17">
        <v>1</v>
      </c>
      <c r="CU17">
        <v>1</v>
      </c>
      <c r="CV17">
        <v>1</v>
      </c>
      <c r="CY17" s="99" t="s">
        <v>365</v>
      </c>
      <c r="CZ17" s="80" t="s">
        <v>364</v>
      </c>
      <c r="DH17" s="99" t="s">
        <v>365</v>
      </c>
      <c r="DI17" s="80" t="s">
        <v>366</v>
      </c>
      <c r="DK17">
        <v>1</v>
      </c>
      <c r="DM17">
        <v>1</v>
      </c>
      <c r="DN17">
        <v>1</v>
      </c>
      <c r="DQ17" s="99" t="s">
        <v>365</v>
      </c>
      <c r="DR17" s="80" t="s">
        <v>364</v>
      </c>
      <c r="DT17">
        <v>1</v>
      </c>
      <c r="DV17">
        <v>1</v>
      </c>
      <c r="DW17">
        <v>1</v>
      </c>
      <c r="DZ17" s="95" t="s">
        <v>365</v>
      </c>
      <c r="EA17" s="80" t="s">
        <v>364</v>
      </c>
      <c r="EC17">
        <v>1</v>
      </c>
      <c r="EE17">
        <v>1</v>
      </c>
      <c r="EF17">
        <v>1</v>
      </c>
      <c r="EI17" s="99" t="s">
        <v>365</v>
      </c>
      <c r="EJ17" s="80" t="s">
        <v>364</v>
      </c>
      <c r="EK17">
        <v>1</v>
      </c>
      <c r="EL17">
        <v>1</v>
      </c>
      <c r="EN17" s="95">
        <v>1</v>
      </c>
      <c r="EO17">
        <v>1</v>
      </c>
      <c r="EQ17">
        <v>1</v>
      </c>
      <c r="ER17" s="99" t="s">
        <v>365</v>
      </c>
      <c r="ES17" s="80" t="s">
        <v>399</v>
      </c>
      <c r="EZ17" s="7"/>
      <c r="FG17" s="7"/>
      <c r="FN17" s="7"/>
      <c r="FU17" s="7"/>
      <c r="GB17" s="7"/>
      <c r="GI17" s="7"/>
      <c r="GP17" s="7"/>
      <c r="GW17" s="7"/>
      <c r="HD17" s="7"/>
      <c r="HK17" s="7"/>
      <c r="HR17" s="7"/>
      <c r="HY17" s="7"/>
      <c r="IF17" s="7"/>
      <c r="IM17" s="7"/>
      <c r="IT17" s="7"/>
      <c r="JA17" s="7"/>
      <c r="JH17" s="7"/>
      <c r="JO17" s="7"/>
      <c r="JV17" s="7"/>
      <c r="KC17" s="7"/>
      <c r="KJ17" s="7"/>
      <c r="KQ17" s="7"/>
      <c r="KX17" s="7"/>
      <c r="LE17" s="7"/>
      <c r="LL17" s="7"/>
      <c r="LS17" s="7"/>
      <c r="LZ17" s="7"/>
      <c r="MG17" s="7"/>
      <c r="MN17" s="7"/>
    </row>
    <row r="18" spans="1:352" x14ac:dyDescent="0.25">
      <c r="A18" s="8" t="s">
        <v>80</v>
      </c>
      <c r="B18" s="8"/>
      <c r="C18" s="8" t="s">
        <v>160</v>
      </c>
      <c r="D18" s="8" t="s">
        <v>122</v>
      </c>
      <c r="E18" s="18">
        <v>38655</v>
      </c>
      <c r="F18" s="10">
        <f t="shared" si="319"/>
        <v>1</v>
      </c>
      <c r="G18" s="19">
        <f t="shared" si="319"/>
        <v>1</v>
      </c>
      <c r="H18" s="19" t="str">
        <f t="shared" si="319"/>
        <v/>
      </c>
      <c r="I18" s="19" t="str">
        <f t="shared" si="319"/>
        <v/>
      </c>
      <c r="J18" s="19" t="str">
        <f t="shared" si="319"/>
        <v/>
      </c>
      <c r="K18" s="19" t="str">
        <f t="shared" si="319"/>
        <v/>
      </c>
      <c r="L18" s="19" t="str">
        <f t="shared" si="319"/>
        <v/>
      </c>
      <c r="M18" s="8"/>
      <c r="N18" s="8">
        <v>1</v>
      </c>
      <c r="O18" s="9">
        <v>1</v>
      </c>
      <c r="P18" s="8">
        <f t="shared" si="315"/>
        <v>40</v>
      </c>
      <c r="Q18" s="109">
        <f t="shared" si="317"/>
        <v>81.632653061224488</v>
      </c>
      <c r="R18" s="133" t="str">
        <f t="shared" si="318"/>
        <v>-8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381</v>
      </c>
      <c r="BY18" s="80" t="s">
        <v>364</v>
      </c>
      <c r="CC18">
        <v>1</v>
      </c>
      <c r="CG18" s="95" t="s">
        <v>380</v>
      </c>
      <c r="CH18" s="80" t="s">
        <v>363</v>
      </c>
      <c r="CL18">
        <v>1</v>
      </c>
      <c r="CP18" s="99" t="s">
        <v>380</v>
      </c>
      <c r="CQ18" s="80" t="s">
        <v>363</v>
      </c>
      <c r="CV18">
        <v>1</v>
      </c>
      <c r="CY18" s="99" t="s">
        <v>365</v>
      </c>
      <c r="CZ18" s="80" t="s">
        <v>394</v>
      </c>
      <c r="DB18">
        <v>1</v>
      </c>
      <c r="DH18" s="99" t="s">
        <v>365</v>
      </c>
      <c r="DI18" s="80" t="s">
        <v>394</v>
      </c>
      <c r="DK18">
        <v>1</v>
      </c>
      <c r="DM18">
        <v>1</v>
      </c>
      <c r="DN18">
        <v>1</v>
      </c>
      <c r="DQ18" s="99" t="s">
        <v>365</v>
      </c>
      <c r="DR18" s="80" t="s">
        <v>364</v>
      </c>
      <c r="DT18" t="s">
        <v>414</v>
      </c>
      <c r="DW18">
        <v>1</v>
      </c>
      <c r="DZ18" s="95">
        <v>8</v>
      </c>
      <c r="EA18" s="80" t="s">
        <v>381</v>
      </c>
      <c r="EB18">
        <v>1</v>
      </c>
      <c r="EC18">
        <v>1</v>
      </c>
      <c r="EE18">
        <v>1</v>
      </c>
      <c r="EI18" s="99" t="s">
        <v>365</v>
      </c>
      <c r="EJ18" s="80" t="s">
        <v>364</v>
      </c>
      <c r="EK18">
        <v>1</v>
      </c>
      <c r="EL18">
        <v>1</v>
      </c>
      <c r="EN18" s="95">
        <v>1</v>
      </c>
      <c r="EQ18">
        <v>1</v>
      </c>
      <c r="ER18" s="99" t="s">
        <v>365</v>
      </c>
      <c r="ES18" s="80" t="s">
        <v>365</v>
      </c>
      <c r="EZ18" s="7"/>
      <c r="FG18" s="7"/>
      <c r="FN18" s="7"/>
      <c r="FU18" s="7"/>
      <c r="GB18" s="7"/>
      <c r="GI18" s="7"/>
      <c r="GP18" s="7"/>
      <c r="GW18" s="7"/>
      <c r="HD18" s="7"/>
      <c r="HK18" s="7"/>
      <c r="HR18" s="7"/>
      <c r="HY18" s="7"/>
      <c r="IF18" s="7"/>
      <c r="IM18" s="7"/>
      <c r="IT18" s="7"/>
      <c r="JA18" s="7"/>
      <c r="JH18" s="7"/>
      <c r="JO18" s="7"/>
      <c r="JV18" s="7"/>
      <c r="KC18" s="7"/>
      <c r="KJ18" s="7"/>
      <c r="KQ18" s="7"/>
      <c r="KX18" s="7"/>
      <c r="LE18" s="7"/>
      <c r="LL18" s="7"/>
      <c r="LS18" s="7"/>
      <c r="LZ18" s="7"/>
      <c r="MG18" s="7"/>
      <c r="MN18" s="7"/>
    </row>
    <row r="19" spans="1:352" x14ac:dyDescent="0.25">
      <c r="A19" s="8" t="s">
        <v>155</v>
      </c>
      <c r="B19" s="8"/>
      <c r="C19" s="8" t="s">
        <v>156</v>
      </c>
      <c r="D19" s="8" t="s">
        <v>139</v>
      </c>
      <c r="E19" s="18">
        <v>37863</v>
      </c>
      <c r="F19" s="10">
        <f t="shared" si="319"/>
        <v>1</v>
      </c>
      <c r="G19" s="19" t="str">
        <f t="shared" si="319"/>
        <v/>
      </c>
      <c r="H19" s="19" t="str">
        <f t="shared" si="319"/>
        <v/>
      </c>
      <c r="I19" s="19" t="str">
        <f t="shared" si="319"/>
        <v/>
      </c>
      <c r="J19" s="19" t="str">
        <f t="shared" si="319"/>
        <v/>
      </c>
      <c r="K19" s="19" t="str">
        <f t="shared" si="319"/>
        <v/>
      </c>
      <c r="L19" s="19" t="str">
        <f t="shared" si="319"/>
        <v/>
      </c>
      <c r="M19" s="8"/>
      <c r="N19" s="8">
        <v>1</v>
      </c>
      <c r="O19" s="9">
        <v>1</v>
      </c>
      <c r="P19" s="8">
        <f t="shared" si="315"/>
        <v>40</v>
      </c>
      <c r="Q19" s="109">
        <f t="shared" si="317"/>
        <v>81.632653061224488</v>
      </c>
      <c r="R19" s="133" t="str">
        <f t="shared" si="318"/>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379</v>
      </c>
      <c r="BY19" s="80" t="s">
        <v>365</v>
      </c>
      <c r="CG19" s="95" t="s">
        <v>385</v>
      </c>
      <c r="CH19" s="80" t="s">
        <v>384</v>
      </c>
      <c r="CO19">
        <v>1</v>
      </c>
      <c r="CP19" s="99" t="s">
        <v>380</v>
      </c>
      <c r="CQ19" s="80" t="s">
        <v>363</v>
      </c>
      <c r="CS19">
        <v>1</v>
      </c>
      <c r="CU19">
        <v>1</v>
      </c>
      <c r="CV19">
        <v>1</v>
      </c>
      <c r="CX19">
        <v>1</v>
      </c>
      <c r="CY19" s="99" t="s">
        <v>381</v>
      </c>
      <c r="CZ19" s="80" t="s">
        <v>381</v>
      </c>
      <c r="DB19">
        <v>1</v>
      </c>
      <c r="DE19">
        <v>1</v>
      </c>
      <c r="DH19" s="99" t="s">
        <v>381</v>
      </c>
      <c r="DI19" s="80" t="s">
        <v>385</v>
      </c>
      <c r="DK19">
        <v>1</v>
      </c>
      <c r="DM19">
        <v>1</v>
      </c>
      <c r="DN19">
        <v>1</v>
      </c>
      <c r="DQ19" s="99" t="s">
        <v>399</v>
      </c>
      <c r="DR19" s="80" t="s">
        <v>365</v>
      </c>
      <c r="DT19" t="s">
        <v>389</v>
      </c>
      <c r="DW19">
        <v>1</v>
      </c>
      <c r="DZ19" s="95" t="s">
        <v>365</v>
      </c>
      <c r="EA19" s="80" t="s">
        <v>394</v>
      </c>
      <c r="EB19" t="s">
        <v>389</v>
      </c>
      <c r="EE19">
        <v>1</v>
      </c>
      <c r="EI19" s="99" t="s">
        <v>365</v>
      </c>
      <c r="EJ19" s="80" t="s">
        <v>394</v>
      </c>
      <c r="EK19">
        <v>1</v>
      </c>
      <c r="EL19">
        <v>1</v>
      </c>
      <c r="EN19" s="95">
        <v>1</v>
      </c>
      <c r="EO19">
        <v>1</v>
      </c>
      <c r="EQ19">
        <v>1</v>
      </c>
      <c r="ER19" s="99" t="s">
        <v>365</v>
      </c>
      <c r="ES19" s="80" t="s">
        <v>399</v>
      </c>
      <c r="EZ19" s="7"/>
      <c r="FG19" s="7"/>
      <c r="FN19" s="7"/>
      <c r="FU19" s="7"/>
      <c r="GB19" s="7"/>
      <c r="GI19" s="7"/>
      <c r="GP19" s="7"/>
      <c r="GW19" s="7"/>
      <c r="HD19" s="7"/>
      <c r="HK19" s="7"/>
      <c r="HR19" s="7"/>
      <c r="HY19" s="7"/>
      <c r="IF19" s="7"/>
      <c r="IM19" s="7"/>
      <c r="IT19" s="7"/>
      <c r="JA19" s="7"/>
      <c r="JH19" s="7"/>
      <c r="JO19" s="7"/>
      <c r="JV19" s="7"/>
      <c r="KC19" s="7"/>
      <c r="KJ19" s="7"/>
      <c r="KQ19" s="7"/>
      <c r="KX19" s="7"/>
      <c r="LE19" s="7"/>
      <c r="LL19" s="7"/>
      <c r="LS19" s="7"/>
      <c r="LZ19" s="7"/>
      <c r="MG19" s="7"/>
      <c r="MN19" s="7"/>
    </row>
    <row r="20" spans="1:352" x14ac:dyDescent="0.25">
      <c r="A20" s="8" t="s">
        <v>80</v>
      </c>
      <c r="B20" s="8"/>
      <c r="C20" s="8" t="s">
        <v>143</v>
      </c>
      <c r="D20" s="8" t="s">
        <v>139</v>
      </c>
      <c r="E20" s="18">
        <v>37863</v>
      </c>
      <c r="F20" s="10">
        <f t="shared" si="319"/>
        <v>1</v>
      </c>
      <c r="G20" s="19" t="str">
        <f t="shared" si="319"/>
        <v/>
      </c>
      <c r="H20" s="19" t="str">
        <f t="shared" si="319"/>
        <v/>
      </c>
      <c r="I20" s="19" t="str">
        <f t="shared" si="319"/>
        <v/>
      </c>
      <c r="J20" s="19" t="str">
        <f t="shared" si="319"/>
        <v/>
      </c>
      <c r="K20" s="19" t="str">
        <f t="shared" si="319"/>
        <v/>
      </c>
      <c r="L20" s="19" t="str">
        <f t="shared" si="319"/>
        <v/>
      </c>
      <c r="M20" s="8"/>
      <c r="N20" s="8">
        <v>1</v>
      </c>
      <c r="O20" s="9">
        <v>1</v>
      </c>
      <c r="P20" s="8">
        <f t="shared" si="315"/>
        <v>38</v>
      </c>
      <c r="Q20" s="109">
        <f t="shared" si="317"/>
        <v>77.551020408163268</v>
      </c>
      <c r="R20" s="133" t="str">
        <f t="shared" si="318"/>
        <v>-21</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379</v>
      </c>
      <c r="BY20" s="80" t="s">
        <v>365</v>
      </c>
      <c r="CG20" s="95" t="s">
        <v>365</v>
      </c>
      <c r="CH20" s="80" t="s">
        <v>369</v>
      </c>
      <c r="CO20">
        <v>1</v>
      </c>
      <c r="CP20" s="99" t="s">
        <v>365</v>
      </c>
      <c r="CQ20" s="80" t="s">
        <v>368</v>
      </c>
      <c r="CS20">
        <v>1</v>
      </c>
      <c r="CU20">
        <v>1</v>
      </c>
      <c r="CV20">
        <v>1</v>
      </c>
      <c r="CX20">
        <v>1</v>
      </c>
      <c r="CY20" s="99" t="s">
        <v>365</v>
      </c>
      <c r="CZ20" s="80" t="s">
        <v>365</v>
      </c>
      <c r="DB20">
        <v>1</v>
      </c>
      <c r="DE20">
        <v>1</v>
      </c>
      <c r="DH20" s="99" t="s">
        <v>365</v>
      </c>
      <c r="DI20" s="80" t="s">
        <v>363</v>
      </c>
      <c r="DK20">
        <v>1</v>
      </c>
      <c r="DM20">
        <v>1</v>
      </c>
      <c r="DN20">
        <v>1</v>
      </c>
      <c r="DQ20" s="99" t="s">
        <v>399</v>
      </c>
      <c r="DR20" s="80" t="s">
        <v>365</v>
      </c>
      <c r="DT20" t="s">
        <v>389</v>
      </c>
      <c r="DW20">
        <v>1</v>
      </c>
      <c r="DZ20" s="95" t="s">
        <v>365</v>
      </c>
      <c r="EA20" s="80" t="s">
        <v>394</v>
      </c>
      <c r="EB20" t="s">
        <v>389</v>
      </c>
      <c r="EE20">
        <v>1</v>
      </c>
      <c r="EI20" s="99" t="s">
        <v>365</v>
      </c>
      <c r="EJ20" s="80" t="s">
        <v>394</v>
      </c>
      <c r="EK20">
        <v>1</v>
      </c>
      <c r="EL20">
        <v>1</v>
      </c>
      <c r="EN20" s="95">
        <v>1</v>
      </c>
      <c r="EO20">
        <v>1</v>
      </c>
      <c r="EQ20">
        <v>1</v>
      </c>
      <c r="ER20" s="99" t="s">
        <v>365</v>
      </c>
      <c r="ES20" s="80" t="s">
        <v>399</v>
      </c>
      <c r="EZ20" s="7"/>
      <c r="FG20" s="7"/>
      <c r="FN20" s="7"/>
      <c r="FU20" s="7"/>
      <c r="GB20" s="7"/>
      <c r="GI20" s="7"/>
      <c r="GP20" s="7"/>
      <c r="GW20" s="7"/>
      <c r="HD20" s="7"/>
      <c r="HK20" s="7"/>
      <c r="HR20" s="7"/>
      <c r="HY20" s="7"/>
      <c r="IF20" s="7"/>
      <c r="IM20" s="7"/>
      <c r="IT20" s="7"/>
      <c r="JA20" s="7"/>
      <c r="JH20" s="7"/>
      <c r="JO20" s="7"/>
      <c r="JV20" s="7"/>
      <c r="KC20" s="7"/>
      <c r="KJ20" s="7"/>
      <c r="KQ20" s="7"/>
      <c r="KX20" s="7"/>
      <c r="LE20" s="7"/>
      <c r="LL20" s="7"/>
      <c r="LS20" s="7"/>
      <c r="LZ20" s="7"/>
      <c r="MG20" s="7"/>
      <c r="MN20" s="7"/>
    </row>
    <row r="21" spans="1:352" x14ac:dyDescent="0.25">
      <c r="A21" s="8" t="s">
        <v>142</v>
      </c>
      <c r="B21" s="8" t="s">
        <v>141</v>
      </c>
      <c r="C21" s="8" t="s">
        <v>140</v>
      </c>
      <c r="D21" s="8" t="s">
        <v>139</v>
      </c>
      <c r="E21" s="18">
        <v>38954</v>
      </c>
      <c r="F21" s="10">
        <f t="shared" si="319"/>
        <v>1</v>
      </c>
      <c r="G21" s="19">
        <f t="shared" si="319"/>
        <v>1</v>
      </c>
      <c r="H21" s="19">
        <f t="shared" si="319"/>
        <v>1</v>
      </c>
      <c r="I21" s="19" t="str">
        <f t="shared" si="319"/>
        <v/>
      </c>
      <c r="J21" s="19" t="str">
        <f t="shared" si="319"/>
        <v/>
      </c>
      <c r="K21" s="19" t="str">
        <f t="shared" si="319"/>
        <v/>
      </c>
      <c r="L21" s="19" t="str">
        <f t="shared" si="319"/>
        <v/>
      </c>
      <c r="M21" s="8">
        <v>1</v>
      </c>
      <c r="N21" s="8">
        <v>1</v>
      </c>
      <c r="O21" s="9"/>
      <c r="P21" s="8">
        <f t="shared" si="315"/>
        <v>42</v>
      </c>
      <c r="Q21" s="109">
        <f t="shared" si="317"/>
        <v>85.714285714285708</v>
      </c>
      <c r="R21" s="133" t="str">
        <f t="shared" si="318"/>
        <v>-8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379</v>
      </c>
      <c r="BY21" s="80" t="s">
        <v>365</v>
      </c>
      <c r="CG21" s="95" t="s">
        <v>365</v>
      </c>
      <c r="CH21" s="80" t="s">
        <v>369</v>
      </c>
      <c r="CO21">
        <v>1</v>
      </c>
      <c r="CP21" s="99" t="s">
        <v>365</v>
      </c>
      <c r="CQ21" s="80" t="s">
        <v>368</v>
      </c>
      <c r="CS21">
        <v>1</v>
      </c>
      <c r="CU21">
        <v>1</v>
      </c>
      <c r="CV21">
        <v>1</v>
      </c>
      <c r="CX21">
        <v>1</v>
      </c>
      <c r="CY21" s="99" t="s">
        <v>381</v>
      </c>
      <c r="CZ21" s="80" t="s">
        <v>381</v>
      </c>
      <c r="DB21">
        <v>1</v>
      </c>
      <c r="DE21">
        <v>1</v>
      </c>
      <c r="DH21" s="99" t="s">
        <v>420</v>
      </c>
      <c r="DI21" s="80" t="s">
        <v>385</v>
      </c>
      <c r="DK21">
        <v>1</v>
      </c>
      <c r="DM21">
        <v>1</v>
      </c>
      <c r="DN21">
        <v>1</v>
      </c>
      <c r="DQ21" s="99" t="s">
        <v>399</v>
      </c>
      <c r="DR21" s="80" t="s">
        <v>365</v>
      </c>
      <c r="DT21" t="s">
        <v>389</v>
      </c>
      <c r="DW21">
        <v>1</v>
      </c>
      <c r="DZ21" s="95" t="s">
        <v>365</v>
      </c>
      <c r="EA21" s="80" t="s">
        <v>394</v>
      </c>
      <c r="EB21" t="s">
        <v>389</v>
      </c>
      <c r="EE21">
        <v>1</v>
      </c>
      <c r="EI21" s="99" t="s">
        <v>365</v>
      </c>
      <c r="EJ21" s="80" t="s">
        <v>394</v>
      </c>
      <c r="EK21">
        <v>1</v>
      </c>
      <c r="EL21">
        <v>1</v>
      </c>
      <c r="EN21" s="96"/>
      <c r="EO21">
        <v>1</v>
      </c>
      <c r="EQ21">
        <v>1</v>
      </c>
      <c r="ER21" s="99">
        <v>4</v>
      </c>
      <c r="ES21" s="80" t="s">
        <v>380</v>
      </c>
      <c r="EZ21" s="7"/>
      <c r="FG21" s="7"/>
      <c r="FN21" s="7"/>
      <c r="FU21" s="7"/>
      <c r="GB21" s="7"/>
      <c r="GI21" s="7"/>
      <c r="GP21" s="7"/>
      <c r="GW21" s="7"/>
      <c r="HD21" s="7"/>
      <c r="HK21" s="7"/>
      <c r="HR21" s="7"/>
      <c r="HY21" s="7"/>
      <c r="IF21" s="7"/>
      <c r="IM21" s="7"/>
      <c r="IT21" s="7"/>
      <c r="JA21" s="7"/>
      <c r="JH21" s="7"/>
      <c r="JO21" s="7"/>
      <c r="JV21" s="7"/>
      <c r="KC21" s="7"/>
      <c r="KJ21" s="7"/>
      <c r="KQ21" s="7"/>
      <c r="KX21" s="7"/>
      <c r="LE21" s="7"/>
      <c r="LL21" s="7"/>
      <c r="LS21" s="7"/>
      <c r="LZ21" s="7"/>
      <c r="MG21" s="7"/>
      <c r="MN21" s="7"/>
    </row>
    <row r="22" spans="1:352" hidden="1" x14ac:dyDescent="0.25">
      <c r="A22" s="8" t="s">
        <v>162</v>
      </c>
      <c r="B22" s="8" t="s">
        <v>185</v>
      </c>
      <c r="C22" s="8" t="s">
        <v>187</v>
      </c>
      <c r="D22" s="8" t="s">
        <v>186</v>
      </c>
      <c r="E22" s="18"/>
      <c r="F22" s="10" t="str">
        <f t="shared" si="319"/>
        <v/>
      </c>
      <c r="G22" s="19" t="str">
        <f t="shared" si="319"/>
        <v/>
      </c>
      <c r="H22" s="19" t="str">
        <f t="shared" si="319"/>
        <v/>
      </c>
      <c r="I22" s="19" t="str">
        <f t="shared" si="319"/>
        <v/>
      </c>
      <c r="J22" s="19" t="str">
        <f t="shared" si="319"/>
        <v/>
      </c>
      <c r="K22" s="19" t="str">
        <f t="shared" si="319"/>
        <v/>
      </c>
      <c r="L22" s="19" t="str">
        <f t="shared" si="319"/>
        <v/>
      </c>
      <c r="M22" s="8"/>
      <c r="N22" s="8">
        <v>1</v>
      </c>
      <c r="O22" s="9"/>
      <c r="P22" s="8">
        <f t="shared" si="315"/>
        <v>1</v>
      </c>
      <c r="Q22" s="109">
        <f t="shared" si="317"/>
        <v>2.0408163265306123</v>
      </c>
      <c r="R22" s="133" t="str">
        <f t="shared" si="318"/>
        <v>-14</v>
      </c>
      <c r="S22" s="7">
        <v>1</v>
      </c>
      <c r="Z22" s="7"/>
      <c r="AG22" s="7"/>
      <c r="AN22" s="7"/>
      <c r="AU22" s="7"/>
      <c r="BB22" s="7"/>
      <c r="BI22" s="7"/>
      <c r="BP22" s="7"/>
      <c r="BX22" s="95" t="s">
        <v>365</v>
      </c>
      <c r="BY22" s="80" t="s">
        <v>368</v>
      </c>
      <c r="CG22" s="95" t="s">
        <v>365</v>
      </c>
      <c r="CH22" s="80" t="s">
        <v>369</v>
      </c>
      <c r="CP22" s="99" t="s">
        <v>365</v>
      </c>
      <c r="CQ22" s="80" t="s">
        <v>367</v>
      </c>
      <c r="CY22" s="99" t="s">
        <v>365</v>
      </c>
      <c r="CZ22" s="80" t="s">
        <v>367</v>
      </c>
      <c r="DH22" s="99" t="s">
        <v>365</v>
      </c>
      <c r="DI22" s="80" t="s">
        <v>367</v>
      </c>
      <c r="DQ22" s="99" t="s">
        <v>365</v>
      </c>
      <c r="DR22" s="80" t="s">
        <v>367</v>
      </c>
      <c r="DZ22" s="95" t="s">
        <v>365</v>
      </c>
      <c r="EA22" s="80" t="s">
        <v>364</v>
      </c>
      <c r="EI22" s="99" t="s">
        <v>365</v>
      </c>
      <c r="EJ22" s="80" t="s">
        <v>365</v>
      </c>
      <c r="EN22" s="96"/>
      <c r="ER22" s="99" t="s">
        <v>365</v>
      </c>
      <c r="ES22" s="80" t="s">
        <v>399</v>
      </c>
      <c r="EZ22" s="7"/>
      <c r="FG22" s="7"/>
      <c r="FN22" s="7"/>
      <c r="FU22" s="7"/>
      <c r="GB22" s="7"/>
      <c r="GI22" s="7"/>
      <c r="GP22" s="7"/>
      <c r="GW22" s="7"/>
      <c r="HD22" s="7"/>
      <c r="HK22" s="7"/>
      <c r="HR22" s="7"/>
      <c r="HY22" s="7"/>
      <c r="IF22" s="7"/>
      <c r="IM22" s="7"/>
      <c r="IT22" s="7"/>
      <c r="JA22" s="7"/>
      <c r="JH22" s="7"/>
      <c r="JO22" s="7"/>
      <c r="JV22" s="7"/>
      <c r="KC22" s="7"/>
      <c r="KJ22" s="7"/>
      <c r="KQ22" s="7"/>
      <c r="KX22" s="7"/>
      <c r="LE22" s="7"/>
      <c r="LL22" s="7"/>
      <c r="LS22" s="7"/>
      <c r="LZ22" s="7"/>
      <c r="MG22" s="7"/>
      <c r="MN22" s="7"/>
    </row>
    <row r="23" spans="1:352" x14ac:dyDescent="0.25">
      <c r="A23" s="8" t="s">
        <v>138</v>
      </c>
      <c r="B23" s="8" t="s">
        <v>137</v>
      </c>
      <c r="C23" s="8" t="s">
        <v>136</v>
      </c>
      <c r="D23" s="8" t="s">
        <v>135</v>
      </c>
      <c r="E23" s="18">
        <v>39155</v>
      </c>
      <c r="F23" s="10">
        <f t="shared" si="319"/>
        <v>1</v>
      </c>
      <c r="G23" s="19">
        <f t="shared" si="319"/>
        <v>1</v>
      </c>
      <c r="H23" s="19">
        <f t="shared" si="319"/>
        <v>1</v>
      </c>
      <c r="I23" s="19">
        <f t="shared" si="319"/>
        <v>1</v>
      </c>
      <c r="J23" s="19" t="str">
        <f t="shared" si="319"/>
        <v/>
      </c>
      <c r="K23" s="19" t="str">
        <f t="shared" si="319"/>
        <v/>
      </c>
      <c r="L23" s="19" t="str">
        <f t="shared" si="319"/>
        <v/>
      </c>
      <c r="M23" s="8">
        <v>1</v>
      </c>
      <c r="N23" s="8">
        <v>1</v>
      </c>
      <c r="O23" s="9"/>
      <c r="P23" s="8">
        <f t="shared" si="315"/>
        <v>36</v>
      </c>
      <c r="Q23" s="109">
        <f t="shared" si="317"/>
        <v>73.469387755102048</v>
      </c>
      <c r="R23" s="133" t="str">
        <f t="shared" si="318"/>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379</v>
      </c>
      <c r="BY23" s="80" t="s">
        <v>365</v>
      </c>
      <c r="CG23" s="95" t="s">
        <v>365</v>
      </c>
      <c r="CH23" s="80" t="s">
        <v>369</v>
      </c>
      <c r="CP23" s="99" t="s">
        <v>365</v>
      </c>
      <c r="CQ23" s="80" t="s">
        <v>369</v>
      </c>
      <c r="CY23" s="99" t="s">
        <v>365</v>
      </c>
      <c r="CZ23" s="80" t="s">
        <v>366</v>
      </c>
      <c r="DH23" s="99" t="s">
        <v>365</v>
      </c>
      <c r="DI23" s="80" t="s">
        <v>366</v>
      </c>
      <c r="DN23">
        <v>1</v>
      </c>
      <c r="DQ23" s="99" t="s">
        <v>365</v>
      </c>
      <c r="DR23" s="80" t="s">
        <v>394</v>
      </c>
      <c r="DV23">
        <v>1</v>
      </c>
      <c r="DW23">
        <v>1</v>
      </c>
      <c r="DZ23" s="95" t="s">
        <v>365</v>
      </c>
      <c r="EA23" s="80" t="s">
        <v>363</v>
      </c>
      <c r="EB23">
        <v>1</v>
      </c>
      <c r="EC23">
        <v>1</v>
      </c>
      <c r="EE23">
        <v>1</v>
      </c>
      <c r="EF23">
        <v>1</v>
      </c>
      <c r="EI23" s="99" t="s">
        <v>365</v>
      </c>
      <c r="EJ23" s="80" t="s">
        <v>365</v>
      </c>
      <c r="EN23" s="96"/>
      <c r="EO23">
        <v>1</v>
      </c>
      <c r="EQ23">
        <v>1</v>
      </c>
      <c r="ER23" s="99">
        <v>4</v>
      </c>
      <c r="ES23" s="80" t="s">
        <v>393</v>
      </c>
      <c r="EZ23" s="7"/>
      <c r="FG23" s="7"/>
      <c r="FN23" s="7"/>
      <c r="FU23" s="7"/>
      <c r="GB23" s="7"/>
      <c r="GI23" s="7"/>
      <c r="GP23" s="7"/>
      <c r="GW23" s="7"/>
      <c r="HD23" s="7"/>
      <c r="HK23" s="7"/>
      <c r="HR23" s="7"/>
      <c r="HY23" s="7"/>
      <c r="IF23" s="7"/>
      <c r="IM23" s="7"/>
      <c r="IT23" s="7"/>
      <c r="JA23" s="7"/>
      <c r="JH23" s="7"/>
      <c r="JO23" s="7"/>
      <c r="JV23" s="7"/>
      <c r="KC23" s="7"/>
      <c r="KJ23" s="7"/>
      <c r="KQ23" s="7"/>
      <c r="KX23" s="7"/>
      <c r="LE23" s="7"/>
      <c r="LL23" s="7"/>
      <c r="LS23" s="7"/>
      <c r="LZ23" s="7"/>
      <c r="MG23" s="7"/>
      <c r="MN23" s="7"/>
    </row>
    <row r="24" spans="1:352" x14ac:dyDescent="0.25">
      <c r="A24" s="8" t="s">
        <v>134</v>
      </c>
      <c r="B24" s="8" t="s">
        <v>133</v>
      </c>
      <c r="C24" s="8" t="s">
        <v>170</v>
      </c>
      <c r="D24" s="8" t="s">
        <v>171</v>
      </c>
      <c r="E24" s="18">
        <v>37177</v>
      </c>
      <c r="F24" s="10" t="str">
        <f t="shared" si="319"/>
        <v/>
      </c>
      <c r="G24" s="19" t="str">
        <f t="shared" si="319"/>
        <v/>
      </c>
      <c r="H24" s="19" t="str">
        <f t="shared" si="319"/>
        <v/>
      </c>
      <c r="I24" s="19" t="str">
        <f t="shared" si="319"/>
        <v/>
      </c>
      <c r="J24" s="19" t="str">
        <f t="shared" si="319"/>
        <v/>
      </c>
      <c r="K24" s="19" t="str">
        <f t="shared" si="319"/>
        <v/>
      </c>
      <c r="L24" s="19" t="str">
        <f t="shared" si="319"/>
        <v/>
      </c>
      <c r="M24" s="8"/>
      <c r="N24" s="8"/>
      <c r="O24" s="9">
        <v>1</v>
      </c>
      <c r="P24" s="8">
        <f t="shared" si="315"/>
        <v>37</v>
      </c>
      <c r="Q24" s="109">
        <f t="shared" si="317"/>
        <v>75.510204081632651</v>
      </c>
      <c r="R24" s="133" t="str">
        <f t="shared" si="318"/>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393</v>
      </c>
      <c r="BY24" s="80" t="s">
        <v>363</v>
      </c>
      <c r="CC24">
        <v>1</v>
      </c>
      <c r="CF24">
        <v>1</v>
      </c>
      <c r="CG24" s="95" t="s">
        <v>385</v>
      </c>
      <c r="CH24" s="80" t="s">
        <v>364</v>
      </c>
      <c r="CL24">
        <v>1</v>
      </c>
      <c r="CO24">
        <v>1</v>
      </c>
      <c r="CP24" s="99" t="s">
        <v>381</v>
      </c>
      <c r="CQ24" s="80" t="s">
        <v>399</v>
      </c>
      <c r="CS24">
        <v>1</v>
      </c>
      <c r="CU24">
        <v>1</v>
      </c>
      <c r="CV24">
        <v>1</v>
      </c>
      <c r="CX24">
        <v>1</v>
      </c>
      <c r="CY24" s="99" t="s">
        <v>365</v>
      </c>
      <c r="CZ24" s="80" t="s">
        <v>365</v>
      </c>
      <c r="DB24">
        <v>1</v>
      </c>
      <c r="DE24">
        <v>1</v>
      </c>
      <c r="DH24" s="99" t="s">
        <v>365</v>
      </c>
      <c r="DI24" s="80" t="s">
        <v>363</v>
      </c>
      <c r="DK24">
        <v>1</v>
      </c>
      <c r="DN24">
        <v>1</v>
      </c>
      <c r="DQ24" s="99" t="s">
        <v>365</v>
      </c>
      <c r="DR24" s="80" t="s">
        <v>363</v>
      </c>
      <c r="DT24">
        <v>1</v>
      </c>
      <c r="DV24">
        <v>1</v>
      </c>
      <c r="DW24">
        <v>1</v>
      </c>
      <c r="DZ24" s="95" t="s">
        <v>365</v>
      </c>
      <c r="EA24" s="80" t="s">
        <v>364</v>
      </c>
      <c r="EB24">
        <v>1</v>
      </c>
      <c r="EC24">
        <v>1</v>
      </c>
      <c r="EE24">
        <v>1</v>
      </c>
      <c r="EF24">
        <v>1</v>
      </c>
      <c r="EI24" s="99" t="s">
        <v>365</v>
      </c>
      <c r="EJ24" s="80" t="s">
        <v>365</v>
      </c>
      <c r="EK24">
        <v>1</v>
      </c>
      <c r="EL24">
        <v>1</v>
      </c>
      <c r="EN24" s="95">
        <v>1</v>
      </c>
      <c r="EO24">
        <v>1</v>
      </c>
      <c r="EQ24">
        <v>1</v>
      </c>
      <c r="ER24" s="99" t="s">
        <v>365</v>
      </c>
      <c r="ES24" s="80" t="s">
        <v>399</v>
      </c>
      <c r="EZ24" s="7"/>
      <c r="FG24" s="7"/>
      <c r="FN24" s="7"/>
      <c r="FU24" s="7"/>
      <c r="GB24" s="7"/>
      <c r="GI24" s="7"/>
      <c r="GP24" s="7"/>
      <c r="GW24" s="7"/>
      <c r="HD24" s="7"/>
      <c r="HK24" s="7"/>
      <c r="HR24" s="7"/>
      <c r="HY24" s="7"/>
      <c r="IF24" s="7"/>
      <c r="IM24" s="7"/>
      <c r="IT24" s="7"/>
      <c r="JA24" s="7"/>
      <c r="JH24" s="7"/>
      <c r="JO24" s="7"/>
      <c r="JV24" s="7"/>
      <c r="KC24" s="7"/>
      <c r="KJ24" s="7"/>
      <c r="KQ24" s="7"/>
      <c r="KX24" s="7"/>
      <c r="LE24" s="7"/>
      <c r="LL24" s="7"/>
      <c r="LS24" s="7"/>
      <c r="LZ24" s="7"/>
      <c r="MG24" s="7"/>
      <c r="MN24" s="7"/>
    </row>
    <row r="25" spans="1:352" x14ac:dyDescent="0.25">
      <c r="A25" s="8" t="s">
        <v>125</v>
      </c>
      <c r="B25" s="8" t="s">
        <v>167</v>
      </c>
      <c r="C25" s="8" t="s">
        <v>168</v>
      </c>
      <c r="D25" s="8" t="s">
        <v>169</v>
      </c>
      <c r="E25" s="18">
        <v>36870</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f t="shared" si="315"/>
        <v>43</v>
      </c>
      <c r="Q25" s="109">
        <f t="shared" si="317"/>
        <v>87.755102040816325</v>
      </c>
      <c r="R25" s="133" t="str">
        <f t="shared" si="318"/>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365</v>
      </c>
      <c r="BY25" s="80" t="s">
        <v>369</v>
      </c>
      <c r="CC25">
        <v>1</v>
      </c>
      <c r="CF25">
        <v>1</v>
      </c>
      <c r="CG25" s="95" t="s">
        <v>393</v>
      </c>
      <c r="CH25" s="80" t="s">
        <v>363</v>
      </c>
      <c r="CJ25" s="34"/>
      <c r="CL25">
        <v>1</v>
      </c>
      <c r="CO25">
        <v>1</v>
      </c>
      <c r="CP25" s="99" t="s">
        <v>380</v>
      </c>
      <c r="CQ25" s="80" t="s">
        <v>365</v>
      </c>
      <c r="CS25">
        <v>1</v>
      </c>
      <c r="CU25">
        <v>1</v>
      </c>
      <c r="CV25">
        <v>1</v>
      </c>
      <c r="CX25">
        <v>1</v>
      </c>
      <c r="CY25" s="99" t="s">
        <v>365</v>
      </c>
      <c r="CZ25" s="80" t="s">
        <v>365</v>
      </c>
      <c r="DB25">
        <v>1</v>
      </c>
      <c r="DE25">
        <v>1</v>
      </c>
      <c r="DG25">
        <v>1</v>
      </c>
      <c r="DH25" s="99" t="s">
        <v>365</v>
      </c>
      <c r="DI25" s="80" t="s">
        <v>364</v>
      </c>
      <c r="DK25">
        <v>1</v>
      </c>
      <c r="DM25">
        <v>1</v>
      </c>
      <c r="DN25">
        <v>1</v>
      </c>
      <c r="DQ25" s="99" t="s">
        <v>365</v>
      </c>
      <c r="DR25" s="80" t="s">
        <v>364</v>
      </c>
      <c r="DT25">
        <v>1</v>
      </c>
      <c r="DV25">
        <v>1</v>
      </c>
      <c r="DW25">
        <v>1</v>
      </c>
      <c r="DZ25" s="95" t="s">
        <v>365</v>
      </c>
      <c r="EA25" s="80" t="s">
        <v>364</v>
      </c>
      <c r="EB25">
        <v>1</v>
      </c>
      <c r="EC25">
        <v>1</v>
      </c>
      <c r="EE25">
        <v>1</v>
      </c>
      <c r="EF25">
        <v>1</v>
      </c>
      <c r="EI25" s="99" t="s">
        <v>365</v>
      </c>
      <c r="EJ25" s="80" t="s">
        <v>365</v>
      </c>
      <c r="EK25">
        <v>1</v>
      </c>
      <c r="EL25">
        <v>1</v>
      </c>
      <c r="EN25" s="95">
        <v>1</v>
      </c>
      <c r="EO25">
        <v>1</v>
      </c>
      <c r="EQ25">
        <v>1</v>
      </c>
      <c r="ER25" s="99" t="s">
        <v>365</v>
      </c>
      <c r="ES25" s="80" t="s">
        <v>399</v>
      </c>
      <c r="EZ25" s="7"/>
      <c r="FG25" s="7"/>
      <c r="FN25" s="7"/>
      <c r="FU25" s="7"/>
      <c r="GB25" s="7"/>
      <c r="GI25" s="7"/>
      <c r="GP25" s="7"/>
      <c r="GW25" s="7"/>
      <c r="HD25" s="7"/>
      <c r="HK25" s="7"/>
      <c r="HR25" s="7"/>
      <c r="HY25" s="7"/>
      <c r="IF25" s="7"/>
      <c r="IM25" s="7"/>
      <c r="IT25" s="7"/>
      <c r="JA25" s="7"/>
      <c r="JH25" s="7"/>
      <c r="JO25" s="7"/>
      <c r="JV25" s="7"/>
      <c r="KC25" s="7"/>
      <c r="KJ25" s="7"/>
      <c r="KQ25" s="7"/>
      <c r="KX25" s="7"/>
      <c r="LE25" s="7"/>
      <c r="LL25" s="7"/>
      <c r="LS25" s="7"/>
      <c r="LZ25" s="7"/>
      <c r="MG25" s="7"/>
      <c r="MN25" s="7"/>
    </row>
    <row r="26" spans="1:352" x14ac:dyDescent="0.25">
      <c r="A26" s="8" t="s">
        <v>182</v>
      </c>
      <c r="B26" s="8" t="s">
        <v>183</v>
      </c>
      <c r="C26" s="8" t="s">
        <v>184</v>
      </c>
      <c r="D26" s="8" t="s">
        <v>81</v>
      </c>
      <c r="E26" s="18">
        <v>38054</v>
      </c>
      <c r="F26" s="10">
        <f t="shared" si="319"/>
        <v>1</v>
      </c>
      <c r="G26" s="19">
        <f t="shared" si="319"/>
        <v>1</v>
      </c>
      <c r="H26" s="19" t="str">
        <f t="shared" si="319"/>
        <v/>
      </c>
      <c r="I26" s="19" t="str">
        <f t="shared" si="319"/>
        <v/>
      </c>
      <c r="J26" s="19" t="str">
        <f t="shared" si="319"/>
        <v/>
      </c>
      <c r="K26" s="19" t="str">
        <f t="shared" si="319"/>
        <v/>
      </c>
      <c r="L26" s="19" t="str">
        <f t="shared" si="319"/>
        <v/>
      </c>
      <c r="M26" s="8"/>
      <c r="N26" s="8">
        <v>1</v>
      </c>
      <c r="O26" s="9">
        <v>1</v>
      </c>
      <c r="P26" s="8">
        <f t="shared" si="315"/>
        <v>49</v>
      </c>
      <c r="Q26" s="109">
        <f t="shared" si="317"/>
        <v>100</v>
      </c>
      <c r="R26" s="133" t="str">
        <f t="shared" si="318"/>
        <v>-11</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393</v>
      </c>
      <c r="BY26" s="80" t="s">
        <v>368</v>
      </c>
      <c r="CF26">
        <v>1</v>
      </c>
      <c r="CG26" s="95" t="s">
        <v>385</v>
      </c>
      <c r="CH26" s="80" t="s">
        <v>394</v>
      </c>
      <c r="CL26">
        <v>1</v>
      </c>
      <c r="CO26">
        <v>1</v>
      </c>
      <c r="CP26" s="99" t="s">
        <v>365</v>
      </c>
      <c r="CQ26" s="80" t="s">
        <v>366</v>
      </c>
      <c r="CS26">
        <v>1</v>
      </c>
      <c r="CU26">
        <v>1</v>
      </c>
      <c r="CV26">
        <v>1</v>
      </c>
      <c r="CX26">
        <v>1</v>
      </c>
      <c r="CY26" s="99" t="s">
        <v>365</v>
      </c>
      <c r="CZ26" s="80" t="s">
        <v>365</v>
      </c>
      <c r="DB26">
        <v>1</v>
      </c>
      <c r="DE26">
        <v>1</v>
      </c>
      <c r="DG26">
        <v>1</v>
      </c>
      <c r="DH26" s="99" t="s">
        <v>365</v>
      </c>
      <c r="DI26" s="80" t="s">
        <v>364</v>
      </c>
      <c r="DK26">
        <v>1</v>
      </c>
      <c r="DP26">
        <v>1</v>
      </c>
      <c r="DQ26" s="99" t="s">
        <v>365</v>
      </c>
      <c r="DR26" s="80" t="s">
        <v>363</v>
      </c>
      <c r="DT26" t="s">
        <v>414</v>
      </c>
      <c r="DW26">
        <v>1</v>
      </c>
      <c r="DZ26" s="95">
        <v>8</v>
      </c>
      <c r="EA26" s="80" t="s">
        <v>381</v>
      </c>
      <c r="EB26">
        <v>1</v>
      </c>
      <c r="EC26">
        <v>1</v>
      </c>
      <c r="EE26">
        <v>1</v>
      </c>
      <c r="EI26" s="99" t="s">
        <v>365</v>
      </c>
      <c r="EJ26" s="80" t="s">
        <v>364</v>
      </c>
      <c r="EK26">
        <v>1</v>
      </c>
      <c r="EL26">
        <v>1</v>
      </c>
      <c r="EN26" s="95">
        <v>1</v>
      </c>
      <c r="EO26">
        <v>1</v>
      </c>
      <c r="EQ26">
        <v>1</v>
      </c>
      <c r="ER26" s="99" t="s">
        <v>365</v>
      </c>
      <c r="ES26" s="80" t="s">
        <v>399</v>
      </c>
      <c r="EZ26" s="7"/>
      <c r="FG26" s="7"/>
      <c r="FN26" s="7"/>
      <c r="FU26" s="7"/>
      <c r="GB26" s="7"/>
      <c r="GI26" s="7"/>
      <c r="GP26" s="7"/>
      <c r="GW26" s="7"/>
      <c r="HD26" s="7"/>
      <c r="HK26" s="7"/>
      <c r="HR26" s="7"/>
      <c r="HY26" s="7"/>
      <c r="IF26" s="7"/>
      <c r="IM26" s="7"/>
      <c r="IT26" s="7"/>
      <c r="JA26" s="7"/>
      <c r="JH26" s="7"/>
      <c r="JO26" s="7"/>
      <c r="JV26" s="7"/>
      <c r="KC26" s="7"/>
      <c r="KJ26" s="7"/>
      <c r="KQ26" s="7"/>
      <c r="KX26" s="7"/>
      <c r="LE26" s="7"/>
      <c r="LL26" s="7"/>
      <c r="LS26" s="7"/>
      <c r="LZ26" s="7"/>
      <c r="MG26" s="7"/>
      <c r="MN26" s="7"/>
    </row>
    <row r="27" spans="1:352" hidden="1" x14ac:dyDescent="0.25">
      <c r="A27" s="8" t="s">
        <v>129</v>
      </c>
      <c r="B27" s="8"/>
      <c r="C27" s="8" t="s">
        <v>165</v>
      </c>
      <c r="D27" s="8" t="s">
        <v>166</v>
      </c>
      <c r="E27" s="18">
        <v>36892</v>
      </c>
      <c r="F27" s="10" t="str">
        <f t="shared" si="319"/>
        <v/>
      </c>
      <c r="G27" s="19" t="str">
        <f t="shared" si="319"/>
        <v/>
      </c>
      <c r="H27" s="19" t="str">
        <f t="shared" si="319"/>
        <v/>
      </c>
      <c r="I27" s="19" t="str">
        <f t="shared" si="319"/>
        <v/>
      </c>
      <c r="J27" s="19" t="str">
        <f t="shared" si="319"/>
        <v/>
      </c>
      <c r="K27" s="19" t="str">
        <f t="shared" si="319"/>
        <v/>
      </c>
      <c r="L27" s="19" t="str">
        <f t="shared" si="319"/>
        <v/>
      </c>
      <c r="M27" s="8"/>
      <c r="N27" s="8"/>
      <c r="O27" s="9">
        <v>1</v>
      </c>
      <c r="P27" s="8" t="str">
        <f t="shared" si="315"/>
        <v/>
      </c>
      <c r="Q27" s="109" t="str">
        <f t="shared" si="317"/>
        <v/>
      </c>
      <c r="R27" s="133" t="str">
        <f t="shared" si="318"/>
        <v>0</v>
      </c>
      <c r="S27" s="7"/>
      <c r="Z27" s="7"/>
      <c r="AG27" s="7"/>
      <c r="AN27" s="7"/>
      <c r="AU27" s="7"/>
      <c r="BB27" s="7"/>
      <c r="BI27" s="7"/>
      <c r="BP27" s="7"/>
      <c r="BX27" s="95" t="s">
        <v>365</v>
      </c>
      <c r="BY27" s="79"/>
      <c r="CG27" s="95" t="s">
        <v>365</v>
      </c>
      <c r="CH27" s="80" t="s">
        <v>367</v>
      </c>
      <c r="CP27" s="99" t="s">
        <v>365</v>
      </c>
      <c r="CQ27" s="80" t="s">
        <v>367</v>
      </c>
      <c r="CY27" s="99" t="s">
        <v>365</v>
      </c>
      <c r="CZ27" s="80" t="s">
        <v>367</v>
      </c>
      <c r="DH27" s="99" t="s">
        <v>365</v>
      </c>
      <c r="DI27" s="80" t="s">
        <v>367</v>
      </c>
      <c r="DQ27" s="96"/>
      <c r="DR27" s="80" t="s">
        <v>367</v>
      </c>
      <c r="DZ27" s="95" t="s">
        <v>365</v>
      </c>
      <c r="EA27" s="80" t="s">
        <v>364</v>
      </c>
      <c r="EI27" s="99" t="s">
        <v>365</v>
      </c>
      <c r="EJ27" s="80" t="s">
        <v>365</v>
      </c>
      <c r="EN27" s="96"/>
      <c r="ER27" s="99" t="s">
        <v>365</v>
      </c>
      <c r="ES27" s="80" t="s">
        <v>399</v>
      </c>
      <c r="EZ27" s="7"/>
      <c r="FG27" s="7"/>
      <c r="FN27" s="7"/>
      <c r="FU27" s="7"/>
      <c r="GB27" s="7"/>
      <c r="GI27" s="7"/>
      <c r="GP27" s="7"/>
      <c r="GW27" s="7"/>
      <c r="HD27" s="7"/>
      <c r="HK27" s="7"/>
      <c r="HR27" s="7"/>
      <c r="HY27" s="7"/>
      <c r="IF27" s="7"/>
      <c r="IM27" s="7"/>
      <c r="IT27" s="7"/>
      <c r="JA27" s="7"/>
      <c r="JH27" s="7"/>
      <c r="JO27" s="7"/>
      <c r="JV27" s="7"/>
      <c r="KC27" s="7"/>
      <c r="KJ27" s="7"/>
      <c r="KQ27" s="7"/>
      <c r="KX27" s="7"/>
      <c r="LE27" s="7"/>
      <c r="LL27" s="7"/>
      <c r="LS27" s="7"/>
      <c r="LZ27" s="7"/>
      <c r="MG27" s="7"/>
      <c r="MN27" s="7"/>
    </row>
    <row r="28" spans="1:352" x14ac:dyDescent="0.25">
      <c r="A28" s="88" t="s">
        <v>132</v>
      </c>
      <c r="B28" s="88"/>
      <c r="C28" s="88" t="s">
        <v>131</v>
      </c>
      <c r="D28" s="88" t="s">
        <v>130</v>
      </c>
      <c r="E28" s="89">
        <v>39280</v>
      </c>
      <c r="F28" s="90">
        <f t="shared" si="319"/>
        <v>1</v>
      </c>
      <c r="G28" s="88">
        <f t="shared" si="319"/>
        <v>1</v>
      </c>
      <c r="H28" s="88">
        <f t="shared" si="319"/>
        <v>1</v>
      </c>
      <c r="I28" s="88">
        <f t="shared" si="319"/>
        <v>1</v>
      </c>
      <c r="J28" s="88" t="str">
        <f t="shared" si="319"/>
        <v/>
      </c>
      <c r="K28" s="88" t="str">
        <f t="shared" si="319"/>
        <v/>
      </c>
      <c r="L28" s="88" t="str">
        <f t="shared" si="319"/>
        <v/>
      </c>
      <c r="M28" s="88">
        <v>1</v>
      </c>
      <c r="N28" s="88">
        <v>1</v>
      </c>
      <c r="O28" s="91"/>
      <c r="P28" s="88">
        <f t="shared" si="315"/>
        <v>30</v>
      </c>
      <c r="Q28" s="110">
        <f t="shared" si="317"/>
        <v>61.224489795918366</v>
      </c>
      <c r="R28" s="134" t="str">
        <f t="shared" si="318"/>
        <v>-35</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365</v>
      </c>
      <c r="BY28" s="94" t="s">
        <v>369</v>
      </c>
      <c r="BZ28" s="93"/>
      <c r="CA28" s="93"/>
      <c r="CB28" s="93"/>
      <c r="CC28" s="93"/>
      <c r="CD28" s="93"/>
      <c r="CE28" s="93"/>
      <c r="CF28" s="93"/>
      <c r="CG28" s="97" t="s">
        <v>365</v>
      </c>
      <c r="CH28" s="94" t="s">
        <v>369</v>
      </c>
      <c r="CI28" s="93"/>
      <c r="CJ28" s="93"/>
      <c r="CK28" s="93"/>
      <c r="CL28" s="93"/>
      <c r="CM28" s="93"/>
      <c r="CN28" s="93"/>
      <c r="CO28" s="93"/>
      <c r="CP28" s="97" t="s">
        <v>365</v>
      </c>
      <c r="CQ28" s="94" t="s">
        <v>369</v>
      </c>
      <c r="CR28" s="93"/>
      <c r="CS28" s="93">
        <v>1</v>
      </c>
      <c r="CT28" s="93"/>
      <c r="CU28" s="93"/>
      <c r="CV28" s="93">
        <v>1</v>
      </c>
      <c r="CW28" s="93"/>
      <c r="CX28" s="93"/>
      <c r="CY28" s="97" t="s">
        <v>365</v>
      </c>
      <c r="CZ28" s="94" t="s">
        <v>363</v>
      </c>
      <c r="DA28" s="93"/>
      <c r="DB28" s="93"/>
      <c r="DC28" s="93"/>
      <c r="DD28" s="93"/>
      <c r="DE28" s="93"/>
      <c r="DF28" s="93"/>
      <c r="DG28" s="93"/>
      <c r="DH28" s="97" t="s">
        <v>365</v>
      </c>
      <c r="DI28" s="94" t="s">
        <v>366</v>
      </c>
      <c r="DJ28" s="93"/>
      <c r="DK28" s="93"/>
      <c r="DL28" s="93"/>
      <c r="DM28" s="93"/>
      <c r="DN28" s="93"/>
      <c r="DO28" s="93"/>
      <c r="DP28" s="93"/>
      <c r="DQ28" s="97" t="s">
        <v>365</v>
      </c>
      <c r="DR28" s="94" t="s">
        <v>366</v>
      </c>
      <c r="DS28" s="93"/>
      <c r="DT28" s="93"/>
      <c r="DU28" s="93"/>
      <c r="DV28" s="93">
        <v>1</v>
      </c>
      <c r="DW28" s="93">
        <v>1</v>
      </c>
      <c r="DX28" s="93"/>
      <c r="DY28" s="93"/>
      <c r="DZ28" s="97" t="s">
        <v>365</v>
      </c>
      <c r="EA28" s="94" t="s">
        <v>363</v>
      </c>
      <c r="EB28" s="93"/>
      <c r="EC28" s="93">
        <v>1</v>
      </c>
      <c r="ED28" s="93"/>
      <c r="EE28" s="93">
        <v>1</v>
      </c>
      <c r="EF28" s="93"/>
      <c r="EG28" s="93"/>
      <c r="EH28" s="93"/>
      <c r="EI28" s="97" t="s">
        <v>365</v>
      </c>
      <c r="EJ28" s="94" t="s">
        <v>363</v>
      </c>
      <c r="EK28" s="93"/>
      <c r="EL28" s="93">
        <v>1</v>
      </c>
      <c r="EM28" s="93"/>
      <c r="EN28" s="144"/>
      <c r="EO28" s="93">
        <v>1</v>
      </c>
      <c r="EP28" s="93"/>
      <c r="EQ28" s="93">
        <v>1</v>
      </c>
      <c r="ER28" s="97">
        <v>4</v>
      </c>
      <c r="ES28" s="94" t="s">
        <v>385</v>
      </c>
      <c r="ET28" s="93"/>
      <c r="EU28" s="93"/>
      <c r="EV28" s="93"/>
      <c r="EW28" s="93"/>
      <c r="EX28" s="93"/>
      <c r="EY28" s="93"/>
      <c r="EZ28" s="92"/>
      <c r="FA28" s="93"/>
      <c r="FB28" s="93"/>
      <c r="FC28" s="93"/>
      <c r="FD28" s="93"/>
      <c r="FE28" s="93"/>
      <c r="FF28" s="93"/>
      <c r="FG28" s="92"/>
      <c r="FH28" s="93"/>
      <c r="FI28" s="93"/>
      <c r="FJ28" s="93"/>
      <c r="FK28" s="93"/>
      <c r="FL28" s="93"/>
      <c r="FM28" s="93"/>
      <c r="FN28" s="92"/>
      <c r="FO28" s="93"/>
      <c r="FP28" s="93"/>
      <c r="FQ28" s="93"/>
      <c r="FR28" s="93"/>
      <c r="FS28" s="93"/>
      <c r="FT28" s="93"/>
      <c r="FU28" s="92"/>
      <c r="FV28" s="93"/>
      <c r="FW28" s="93"/>
      <c r="FX28" s="93"/>
      <c r="FY28" s="93"/>
      <c r="FZ28" s="93"/>
      <c r="GA28" s="93"/>
      <c r="GB28" s="92"/>
      <c r="GC28" s="93"/>
      <c r="GD28" s="93"/>
      <c r="GE28" s="93"/>
      <c r="GF28" s="93"/>
      <c r="GG28" s="93"/>
      <c r="GH28" s="93"/>
      <c r="GI28" s="92"/>
      <c r="GJ28" s="93"/>
      <c r="GK28" s="93"/>
      <c r="GL28" s="93"/>
      <c r="GM28" s="93"/>
      <c r="GN28" s="93"/>
      <c r="GO28" s="93"/>
      <c r="GP28" s="92"/>
      <c r="GQ28" s="93"/>
      <c r="GR28" s="93"/>
      <c r="GS28" s="93"/>
      <c r="GT28" s="93"/>
      <c r="GU28" s="93"/>
      <c r="GV28" s="93"/>
      <c r="GW28" s="92"/>
      <c r="GX28" s="93"/>
      <c r="GY28" s="93"/>
      <c r="GZ28" s="93"/>
      <c r="HA28" s="93"/>
      <c r="HB28" s="93"/>
      <c r="HC28" s="93"/>
      <c r="HD28" s="92"/>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row>
    <row r="29" spans="1:352" hidden="1" x14ac:dyDescent="0.25">
      <c r="A29" s="19" t="s">
        <v>92</v>
      </c>
      <c r="B29" s="19"/>
      <c r="C29" s="19" t="s">
        <v>159</v>
      </c>
      <c r="D29" s="19" t="s">
        <v>121</v>
      </c>
      <c r="E29" s="56">
        <v>38544</v>
      </c>
      <c r="F29" s="10">
        <f t="shared" si="319"/>
        <v>1</v>
      </c>
      <c r="G29" s="19">
        <f t="shared" si="319"/>
        <v>1</v>
      </c>
      <c r="H29" s="19" t="str">
        <f t="shared" si="319"/>
        <v/>
      </c>
      <c r="I29" s="19" t="str">
        <f t="shared" si="319"/>
        <v/>
      </c>
      <c r="J29" s="19" t="str">
        <f t="shared" si="319"/>
        <v/>
      </c>
      <c r="K29" s="19" t="str">
        <f t="shared" si="319"/>
        <v/>
      </c>
      <c r="L29" s="19" t="str">
        <f t="shared" si="319"/>
        <v/>
      </c>
      <c r="M29" s="8"/>
      <c r="N29" s="8">
        <v>1</v>
      </c>
      <c r="O29" s="9"/>
      <c r="P29" s="8" t="str">
        <f t="shared" si="315"/>
        <v/>
      </c>
      <c r="Q29" s="84" t="str">
        <f>IF(SUM(R29:XFD29) &gt; 0, SUM(R29:XFD29) / $P$87 * 100, "")</f>
        <v/>
      </c>
      <c r="R29" s="133" t="str">
        <f t="shared" si="318"/>
        <v>?</v>
      </c>
      <c r="S29" s="7"/>
      <c r="Z29" s="7"/>
      <c r="AG29" s="7"/>
      <c r="AN29" s="7"/>
      <c r="AU29" s="7"/>
      <c r="BB29" s="7"/>
      <c r="BI29" s="7"/>
      <c r="BP29" s="7"/>
      <c r="BX29" s="96"/>
      <c r="BY29" s="79"/>
      <c r="CG29" s="96"/>
      <c r="CH29" s="80"/>
      <c r="CQ29" s="7"/>
      <c r="CZ29" s="7"/>
      <c r="DI29" s="7"/>
      <c r="DR29" s="7"/>
      <c r="DZ29" s="96"/>
      <c r="EA29" s="79"/>
      <c r="EJ29" s="7"/>
      <c r="EN29" s="96"/>
      <c r="ES29" s="7"/>
      <c r="EZ29" s="7"/>
      <c r="FG29" s="7"/>
      <c r="FN29" s="7"/>
      <c r="FU29" s="7"/>
      <c r="GB29" s="7"/>
      <c r="GI29" s="7"/>
      <c r="GP29" s="7"/>
      <c r="GW29" s="7"/>
      <c r="HD29" s="7"/>
      <c r="HK29" s="7"/>
      <c r="HR29" s="7"/>
      <c r="HY29" s="7"/>
      <c r="IF29" s="7"/>
      <c r="IM29" s="7"/>
      <c r="IT29" s="7"/>
      <c r="JA29" s="7"/>
      <c r="JH29" s="7"/>
      <c r="JO29" s="7"/>
      <c r="JV29" s="7"/>
      <c r="KC29" s="7"/>
      <c r="KJ29" s="7"/>
      <c r="KQ29" s="7"/>
      <c r="KX29" s="7"/>
      <c r="LE29" s="7"/>
      <c r="LL29" s="7"/>
      <c r="LS29" s="7"/>
      <c r="LZ29" s="7"/>
      <c r="MG29" s="7"/>
      <c r="MN29" s="7"/>
    </row>
    <row r="30" spans="1:352" hidden="1" x14ac:dyDescent="0.25">
      <c r="A30" s="8" t="s">
        <v>115</v>
      </c>
      <c r="B30" s="8"/>
      <c r="C30" s="8" t="s">
        <v>244</v>
      </c>
      <c r="D30" s="8" t="s">
        <v>245</v>
      </c>
      <c r="E30" s="18">
        <v>36526</v>
      </c>
      <c r="F30" s="10" t="str">
        <f t="shared" si="319"/>
        <v/>
      </c>
      <c r="G30" s="19" t="str">
        <f t="shared" ref="G30:L30" si="322">IF($E30 &gt;= G$5, 1, "")</f>
        <v/>
      </c>
      <c r="H30" s="19" t="str">
        <f t="shared" si="322"/>
        <v/>
      </c>
      <c r="I30" s="19" t="str">
        <f t="shared" si="322"/>
        <v/>
      </c>
      <c r="J30" s="19" t="str">
        <f t="shared" si="322"/>
        <v/>
      </c>
      <c r="K30" s="19" t="str">
        <f t="shared" si="322"/>
        <v/>
      </c>
      <c r="L30" s="19" t="str">
        <f t="shared" si="322"/>
        <v/>
      </c>
      <c r="M30" s="8"/>
      <c r="N30" s="8"/>
      <c r="O30" s="9"/>
      <c r="P30" s="8">
        <f t="shared" si="315"/>
        <v>14</v>
      </c>
      <c r="Q30" s="109">
        <f>IF(SUM(S30:XFD30) &gt; 0, SUM(S30:XFD30) / $P$36 * 100, "")</f>
        <v>28.571428571428569</v>
      </c>
      <c r="R30" s="133" t="str">
        <f t="shared" si="318"/>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EZ30" s="7"/>
      <c r="FG30" s="7"/>
      <c r="FN30" s="7"/>
      <c r="FU30" s="7"/>
      <c r="GB30" s="7"/>
      <c r="GI30" s="7"/>
      <c r="GP30" s="7"/>
      <c r="GW30" s="7"/>
      <c r="HD30" s="7"/>
      <c r="HK30" s="7"/>
      <c r="HR30" s="7"/>
      <c r="HY30" s="7"/>
      <c r="IF30" s="7"/>
      <c r="IM30" s="7"/>
      <c r="IT30" s="7"/>
      <c r="JA30" s="7"/>
      <c r="JH30" s="7"/>
      <c r="JO30" s="7"/>
      <c r="JV30" s="7"/>
      <c r="KC30" s="7"/>
      <c r="KJ30" s="7"/>
      <c r="KQ30" s="7"/>
      <c r="KX30" s="7"/>
      <c r="LE30" s="7"/>
      <c r="LL30" s="7"/>
      <c r="LS30" s="7"/>
      <c r="LZ30" s="7"/>
      <c r="MG30" s="7"/>
      <c r="MN30" s="7"/>
    </row>
    <row r="31" spans="1:352" hidden="1" x14ac:dyDescent="0.25">
      <c r="A31" s="8" t="s">
        <v>431</v>
      </c>
      <c r="B31" s="8"/>
      <c r="C31" s="8" t="s">
        <v>432</v>
      </c>
      <c r="D31" s="8" t="s">
        <v>433</v>
      </c>
      <c r="E31" s="18"/>
      <c r="F31" s="10"/>
      <c r="G31" s="19"/>
      <c r="H31" s="19"/>
      <c r="I31" s="19"/>
      <c r="J31" s="19"/>
      <c r="K31" s="19"/>
      <c r="L31" s="19"/>
      <c r="M31" s="8"/>
      <c r="N31" s="8"/>
      <c r="O31" s="9"/>
      <c r="P31" s="8">
        <f t="shared" si="315"/>
        <v>2</v>
      </c>
      <c r="Q31" s="109">
        <f>IF(SUM(S31:XFD31) &gt; 0, SUM(S31:XFD31) / $P$36 * 100, "")</f>
        <v>4.0816326530612246</v>
      </c>
      <c r="R31" s="133" t="str">
        <f t="shared" si="318"/>
        <v>?</v>
      </c>
      <c r="S31" s="7"/>
      <c r="Z31" s="7"/>
      <c r="AG31" s="7"/>
      <c r="AN31" s="7"/>
      <c r="AU31" s="7"/>
      <c r="BB31" s="7"/>
      <c r="BI31" s="7"/>
      <c r="BP31" s="7"/>
      <c r="BX31" s="96"/>
      <c r="BY31" s="79"/>
      <c r="CG31" s="96"/>
      <c r="CH31" s="80"/>
      <c r="CQ31" s="7"/>
      <c r="CZ31" s="7"/>
      <c r="DI31" s="7"/>
      <c r="DK31">
        <v>1</v>
      </c>
      <c r="DM31">
        <v>1</v>
      </c>
      <c r="DR31" s="7"/>
      <c r="DZ31" s="96"/>
      <c r="EA31" s="79"/>
      <c r="EJ31" s="7"/>
      <c r="ES31" s="7"/>
      <c r="EZ31" s="7"/>
      <c r="FG31" s="7"/>
      <c r="FN31" s="7"/>
      <c r="FU31" s="7"/>
      <c r="GB31" s="7"/>
      <c r="GI31" s="7"/>
      <c r="GP31" s="7"/>
      <c r="GW31" s="7"/>
      <c r="HD31" s="7"/>
      <c r="HK31" s="7"/>
      <c r="HR31" s="7"/>
      <c r="HY31" s="7"/>
      <c r="IF31" s="7"/>
      <c r="IM31" s="7"/>
      <c r="IT31" s="7"/>
      <c r="JA31" s="7"/>
      <c r="JH31" s="7"/>
      <c r="JO31" s="7"/>
      <c r="JV31" s="7"/>
      <c r="KC31" s="7"/>
      <c r="KJ31" s="7"/>
      <c r="KQ31" s="7"/>
      <c r="KX31" s="7"/>
      <c r="LE31" s="7"/>
      <c r="LL31" s="7"/>
      <c r="LS31" s="7"/>
      <c r="LZ31" s="7"/>
      <c r="MG31" s="7"/>
      <c r="MN31" s="7"/>
    </row>
    <row r="32" spans="1:352" hidden="1" x14ac:dyDescent="0.25">
      <c r="A32" s="8" t="s">
        <v>349</v>
      </c>
      <c r="B32" s="8"/>
      <c r="C32" s="8"/>
      <c r="D32" s="8"/>
      <c r="E32" s="18"/>
      <c r="F32" s="10"/>
      <c r="G32" s="19"/>
      <c r="H32" s="19"/>
      <c r="I32" s="19"/>
      <c r="J32" s="19"/>
      <c r="K32" s="19"/>
      <c r="L32" s="19"/>
      <c r="M32" s="8"/>
      <c r="N32" s="8"/>
      <c r="O32" s="9"/>
      <c r="P32" s="8">
        <f t="shared" si="315"/>
        <v>2</v>
      </c>
      <c r="Q32" s="109">
        <f>IF(SUM(R32:XFD32) &gt; 0, SUM(R32:XFD32) / $P$87 * 100, "")</f>
        <v>10.893556425774296</v>
      </c>
      <c r="R32" s="84">
        <f>IF(SUM(S32:XFD32) &gt; 0, SUM(S32:XFD32) / $P$87 * 100, "")</f>
        <v>3.7735849056603774</v>
      </c>
      <c r="S32" s="7"/>
      <c r="Z32" s="7"/>
      <c r="AG32" s="7"/>
      <c r="AN32" s="7"/>
      <c r="AU32" s="7"/>
      <c r="BB32" s="7"/>
      <c r="BI32" s="7"/>
      <c r="BM32">
        <v>1</v>
      </c>
      <c r="BP32" s="7"/>
      <c r="BT32">
        <v>1</v>
      </c>
      <c r="BX32" s="96"/>
      <c r="BY32" s="79"/>
      <c r="CG32" s="96"/>
      <c r="CH32" s="80"/>
      <c r="CQ32" s="7"/>
      <c r="CZ32" s="7"/>
      <c r="DI32" s="7"/>
      <c r="DR32" s="7"/>
      <c r="DZ32" s="96"/>
      <c r="EA32" s="79"/>
      <c r="EJ32" s="7"/>
      <c r="ES32" s="7"/>
      <c r="EZ32" s="7"/>
      <c r="FG32" s="7"/>
      <c r="FN32" s="7"/>
      <c r="FU32" s="7"/>
      <c r="GB32" s="7"/>
      <c r="GI32" s="7"/>
      <c r="GP32" s="7"/>
      <c r="GW32" s="7"/>
      <c r="HD32" s="7"/>
      <c r="HK32" s="7"/>
      <c r="HR32" s="7"/>
      <c r="HY32" s="7"/>
      <c r="IF32" s="7"/>
      <c r="IM32" s="7"/>
      <c r="IT32" s="7"/>
      <c r="JA32" s="7"/>
      <c r="JH32" s="7"/>
      <c r="JO32" s="7"/>
      <c r="JV32" s="7"/>
      <c r="KC32" s="7"/>
      <c r="KJ32" s="7"/>
      <c r="KQ32" s="7"/>
      <c r="KX32" s="7"/>
      <c r="LE32" s="7"/>
      <c r="LL32" s="7"/>
      <c r="LS32" s="7"/>
      <c r="LZ32" s="7"/>
      <c r="MG32" s="7"/>
      <c r="MN32" s="7"/>
    </row>
    <row r="33" spans="1:352" hidden="1" x14ac:dyDescent="0.25">
      <c r="A33" s="8" t="s">
        <v>492</v>
      </c>
      <c r="B33" s="8"/>
      <c r="C33" s="8"/>
      <c r="D33" s="8" t="s">
        <v>442</v>
      </c>
      <c r="E33" s="18"/>
      <c r="F33" s="10"/>
      <c r="G33" s="19"/>
      <c r="H33" s="19"/>
      <c r="I33" s="19"/>
      <c r="J33" s="19"/>
      <c r="K33" s="19"/>
      <c r="L33" s="19"/>
      <c r="M33" s="8"/>
      <c r="N33" s="8"/>
      <c r="O33" s="9"/>
      <c r="P33" s="8">
        <f t="shared" si="315"/>
        <v>2</v>
      </c>
      <c r="Q33" s="109">
        <f>IF(SUM(S33:XFD33) &gt; 0, SUM(S33:XFD33) / $P$36 * 100, "")</f>
        <v>4.0816326530612246</v>
      </c>
      <c r="R33" s="133" t="str">
        <f>KStateSum(S33:MN33, 1)</f>
        <v>?</v>
      </c>
      <c r="S33" s="7"/>
      <c r="Z33" s="7"/>
      <c r="AG33" s="7"/>
      <c r="AN33" s="7"/>
      <c r="AU33" s="7"/>
      <c r="BB33" s="7"/>
      <c r="BI33" s="7"/>
      <c r="BP33" s="7"/>
      <c r="BX33" s="96"/>
      <c r="BY33" s="79"/>
      <c r="CG33" s="96"/>
      <c r="CH33" s="80"/>
      <c r="CQ33" s="7"/>
      <c r="CZ33" s="7"/>
      <c r="DI33" s="7"/>
      <c r="DP33">
        <v>1</v>
      </c>
      <c r="DR33" s="7"/>
      <c r="DZ33" s="96"/>
      <c r="EA33" s="79"/>
      <c r="EJ33" s="7"/>
      <c r="EO33">
        <v>1</v>
      </c>
      <c r="ES33" s="7"/>
      <c r="EZ33" s="7"/>
      <c r="FG33" s="7"/>
      <c r="FN33" s="7"/>
      <c r="FU33" s="7"/>
      <c r="GB33" s="7"/>
      <c r="GI33" s="7"/>
      <c r="GP33" s="7"/>
      <c r="GW33" s="7"/>
      <c r="HD33" s="7"/>
      <c r="HK33" s="7"/>
      <c r="HR33" s="7"/>
      <c r="HY33" s="7"/>
      <c r="IF33" s="7"/>
      <c r="IM33" s="7"/>
      <c r="IT33" s="7"/>
      <c r="JA33" s="7"/>
      <c r="JH33" s="7"/>
      <c r="JO33" s="7"/>
      <c r="JV33" s="7"/>
      <c r="KC33" s="7"/>
      <c r="KJ33" s="7"/>
      <c r="KQ33" s="7"/>
      <c r="KX33" s="7"/>
      <c r="LE33" s="7"/>
      <c r="LL33" s="7"/>
      <c r="LS33" s="7"/>
      <c r="LZ33" s="7"/>
      <c r="MG33" s="7"/>
      <c r="MN33" s="7"/>
    </row>
    <row r="34" spans="1:352" ht="7.5" customHeight="1" thickBot="1" x14ac:dyDescent="0.3">
      <c r="A34" s="8"/>
      <c r="B34" s="8"/>
      <c r="C34" s="8"/>
      <c r="D34" s="8"/>
      <c r="E34" s="8"/>
      <c r="F34" s="10"/>
      <c r="G34" s="19"/>
      <c r="H34" s="19"/>
      <c r="I34" s="8"/>
      <c r="J34" s="8"/>
      <c r="K34" s="8"/>
      <c r="L34" s="8"/>
      <c r="M34" s="8"/>
      <c r="N34" s="8"/>
      <c r="O34" s="9"/>
      <c r="P34" s="8" t="str">
        <f>IF(SUM(R34:MN34) &gt; 0, SUM(R34:MN34), "")</f>
        <v/>
      </c>
      <c r="Q34" s="19" t="str">
        <f>IF(SUM(R34:XFD34) &gt; 0, SUM(R34:XFD34), "")</f>
        <v/>
      </c>
      <c r="R34" s="9"/>
      <c r="S34" s="7"/>
      <c r="Z34" s="7"/>
      <c r="AG34" s="7"/>
      <c r="AN34" s="7"/>
      <c r="AU34" s="7"/>
      <c r="BB34" s="7"/>
      <c r="BI34" s="7"/>
      <c r="BP34" s="7"/>
      <c r="BX34" s="96"/>
      <c r="BY34" s="79"/>
      <c r="CG34" s="96"/>
      <c r="CH34" s="7"/>
      <c r="CQ34" s="7"/>
      <c r="CZ34" s="7"/>
      <c r="DI34" s="7"/>
      <c r="DR34" s="7"/>
      <c r="DZ34" s="96"/>
      <c r="EA34" s="79"/>
      <c r="EJ34" s="7"/>
      <c r="ES34" s="7"/>
      <c r="EZ34" s="7"/>
      <c r="FG34" s="7"/>
      <c r="FN34" s="7"/>
      <c r="FU34" s="7"/>
      <c r="GB34" s="7"/>
      <c r="GI34" s="7"/>
      <c r="GP34" s="7"/>
      <c r="GW34" s="7"/>
      <c r="HD34" s="7"/>
      <c r="HK34" s="7"/>
      <c r="HR34" s="7"/>
      <c r="HY34" s="7"/>
      <c r="IF34" s="7"/>
      <c r="IM34" s="7"/>
      <c r="IT34" s="7"/>
      <c r="JA34" s="7"/>
      <c r="JH34" s="7"/>
      <c r="JO34" s="7"/>
      <c r="JV34" s="7"/>
      <c r="KC34" s="7"/>
      <c r="KJ34" s="7"/>
      <c r="KQ34" s="7"/>
      <c r="KX34" s="7"/>
      <c r="LE34" s="7"/>
      <c r="LL34" s="7"/>
      <c r="LS34" s="7"/>
      <c r="LZ34" s="7"/>
      <c r="MG34" s="7"/>
      <c r="MN34" s="7"/>
    </row>
    <row r="35" spans="1:352" ht="15.75" thickBot="1" x14ac:dyDescent="0.3">
      <c r="A35" s="115" t="s">
        <v>25</v>
      </c>
      <c r="B35" s="16"/>
      <c r="C35" s="16"/>
      <c r="D35" s="16"/>
      <c r="E35" s="17"/>
      <c r="F35" s="16">
        <f t="shared" ref="F35:L35" si="323">SUM(F6:F34)</f>
        <v>14</v>
      </c>
      <c r="G35" s="16">
        <f t="shared" si="323"/>
        <v>9</v>
      </c>
      <c r="H35" s="16">
        <f t="shared" si="323"/>
        <v>3</v>
      </c>
      <c r="I35" s="16">
        <f t="shared" si="323"/>
        <v>2</v>
      </c>
      <c r="J35" s="16">
        <f t="shared" si="323"/>
        <v>0</v>
      </c>
      <c r="K35" s="16">
        <f t="shared" si="323"/>
        <v>0</v>
      </c>
      <c r="L35" s="16">
        <f t="shared" si="323"/>
        <v>0</v>
      </c>
      <c r="M35" s="16">
        <v>0</v>
      </c>
      <c r="N35" s="16">
        <f>SUM(N6:N34)</f>
        <v>16</v>
      </c>
      <c r="O35" s="17">
        <f>SUM(O6:O34)+ SUM(O43:O75)</f>
        <v>15</v>
      </c>
      <c r="P35" s="16">
        <f>VisibleSum(P6:P28)</f>
        <v>35.888888888888886</v>
      </c>
      <c r="Q35" s="16">
        <f>P35 / P36 * 100</f>
        <v>73.242630385487516</v>
      </c>
      <c r="R35" s="17">
        <f>VisibleSum(R6:R28)</f>
        <v>-15.5</v>
      </c>
      <c r="S35" s="15">
        <f t="shared" ref="S35:AX35" si="324">IF(SUM(S6:S34) &gt; 0, SUM(S6:S34), "")</f>
        <v>15</v>
      </c>
      <c r="T35" s="14" t="str">
        <f t="shared" si="324"/>
        <v/>
      </c>
      <c r="U35" s="14">
        <f t="shared" si="324"/>
        <v>12</v>
      </c>
      <c r="V35" s="14">
        <f t="shared" si="324"/>
        <v>13</v>
      </c>
      <c r="W35" s="14" t="str">
        <f t="shared" si="324"/>
        <v/>
      </c>
      <c r="X35" s="14">
        <f t="shared" si="324"/>
        <v>12</v>
      </c>
      <c r="Y35" s="14" t="str">
        <f t="shared" si="324"/>
        <v/>
      </c>
      <c r="Z35" s="15" t="str">
        <f t="shared" si="324"/>
        <v/>
      </c>
      <c r="AA35" s="14" t="str">
        <f t="shared" si="324"/>
        <v/>
      </c>
      <c r="AB35" s="14">
        <f t="shared" si="324"/>
        <v>15</v>
      </c>
      <c r="AC35" s="14" t="str">
        <f t="shared" si="324"/>
        <v/>
      </c>
      <c r="AD35" s="14">
        <f t="shared" si="324"/>
        <v>12</v>
      </c>
      <c r="AE35" s="14">
        <f t="shared" si="324"/>
        <v>15</v>
      </c>
      <c r="AF35" s="14" t="str">
        <f t="shared" si="324"/>
        <v/>
      </c>
      <c r="AG35" s="15" t="str">
        <f t="shared" si="324"/>
        <v/>
      </c>
      <c r="AH35" s="14" t="str">
        <f t="shared" si="324"/>
        <v/>
      </c>
      <c r="AI35" s="14">
        <f t="shared" si="324"/>
        <v>16</v>
      </c>
      <c r="AJ35" s="14" t="str">
        <f t="shared" si="324"/>
        <v/>
      </c>
      <c r="AK35" s="14">
        <f t="shared" si="324"/>
        <v>15</v>
      </c>
      <c r="AL35" s="14">
        <f t="shared" si="324"/>
        <v>10</v>
      </c>
      <c r="AM35" s="14" t="str">
        <f t="shared" si="324"/>
        <v/>
      </c>
      <c r="AN35" s="15" t="str">
        <f t="shared" si="324"/>
        <v/>
      </c>
      <c r="AO35" s="14" t="str">
        <f t="shared" si="324"/>
        <v/>
      </c>
      <c r="AP35" s="14">
        <f t="shared" si="324"/>
        <v>15</v>
      </c>
      <c r="AQ35" s="14" t="str">
        <f t="shared" si="324"/>
        <v/>
      </c>
      <c r="AR35" s="14">
        <f t="shared" si="324"/>
        <v>16</v>
      </c>
      <c r="AS35" s="14">
        <f t="shared" si="324"/>
        <v>11</v>
      </c>
      <c r="AT35" s="14" t="str">
        <f t="shared" si="324"/>
        <v/>
      </c>
      <c r="AU35" s="15" t="str">
        <f t="shared" si="324"/>
        <v/>
      </c>
      <c r="AV35" s="14" t="str">
        <f t="shared" si="324"/>
        <v/>
      </c>
      <c r="AW35" s="14">
        <f t="shared" si="324"/>
        <v>14</v>
      </c>
      <c r="AX35" s="14">
        <f t="shared" si="324"/>
        <v>2</v>
      </c>
      <c r="AY35" s="14">
        <f t="shared" ref="AY35:BW35" si="325">IF(SUM(AY6:AY34) &gt; 0, SUM(AY6:AY34), "")</f>
        <v>13</v>
      </c>
      <c r="AZ35" s="14">
        <f t="shared" si="325"/>
        <v>12</v>
      </c>
      <c r="BA35" s="14" t="str">
        <f t="shared" si="325"/>
        <v/>
      </c>
      <c r="BB35" s="15" t="str">
        <f t="shared" si="325"/>
        <v/>
      </c>
      <c r="BC35" s="14" t="str">
        <f t="shared" si="325"/>
        <v/>
      </c>
      <c r="BD35" s="14">
        <f t="shared" si="325"/>
        <v>14</v>
      </c>
      <c r="BE35" s="14" t="str">
        <f t="shared" si="325"/>
        <v/>
      </c>
      <c r="BF35" s="14">
        <f t="shared" si="325"/>
        <v>14</v>
      </c>
      <c r="BG35" s="14">
        <f t="shared" si="325"/>
        <v>11</v>
      </c>
      <c r="BH35" s="14" t="str">
        <f t="shared" si="325"/>
        <v/>
      </c>
      <c r="BI35" s="15" t="str">
        <f t="shared" si="325"/>
        <v/>
      </c>
      <c r="BJ35" s="14" t="str">
        <f t="shared" si="325"/>
        <v/>
      </c>
      <c r="BK35" s="14">
        <f t="shared" si="325"/>
        <v>16</v>
      </c>
      <c r="BL35" s="14" t="str">
        <f t="shared" si="325"/>
        <v/>
      </c>
      <c r="BM35" s="14">
        <f t="shared" si="325"/>
        <v>16</v>
      </c>
      <c r="BN35" s="14" t="str">
        <f t="shared" si="325"/>
        <v/>
      </c>
      <c r="BO35" s="14" t="str">
        <f t="shared" si="325"/>
        <v/>
      </c>
      <c r="BP35" s="15">
        <f t="shared" si="325"/>
        <v>8</v>
      </c>
      <c r="BQ35" s="14" t="str">
        <f t="shared" si="325"/>
        <v/>
      </c>
      <c r="BR35" s="14">
        <f t="shared" si="325"/>
        <v>17</v>
      </c>
      <c r="BS35" s="14" t="str">
        <f t="shared" si="325"/>
        <v/>
      </c>
      <c r="BT35" s="14">
        <f t="shared" si="325"/>
        <v>14</v>
      </c>
      <c r="BU35" s="14" t="str">
        <f t="shared" si="325"/>
        <v/>
      </c>
      <c r="BV35" s="14" t="str">
        <f t="shared" si="325"/>
        <v/>
      </c>
      <c r="BW35" s="14">
        <f t="shared" si="325"/>
        <v>3</v>
      </c>
      <c r="BX35" s="14"/>
      <c r="BY35" s="15">
        <f>VisibleSum(BY6:BY28)</f>
        <v>-3.3529411764705883</v>
      </c>
      <c r="BZ35" s="14" t="str">
        <f t="shared" ref="BZ35:CF35" si="326">IF(SUM(BZ6:BZ34) &gt; 0, SUM(BZ6:BZ34), "")</f>
        <v/>
      </c>
      <c r="CA35" s="14" t="str">
        <f t="shared" si="326"/>
        <v/>
      </c>
      <c r="CB35" s="14" t="str">
        <f t="shared" si="326"/>
        <v/>
      </c>
      <c r="CC35" s="14">
        <f t="shared" si="326"/>
        <v>9</v>
      </c>
      <c r="CD35" s="14" t="str">
        <f t="shared" si="326"/>
        <v/>
      </c>
      <c r="CE35" s="14" t="str">
        <f t="shared" si="326"/>
        <v/>
      </c>
      <c r="CF35" s="14">
        <f t="shared" si="326"/>
        <v>6</v>
      </c>
      <c r="CG35" s="14"/>
      <c r="CH35" s="15">
        <f>VisibleSum(CH6:CH28)</f>
        <v>-4.3529411764705879</v>
      </c>
      <c r="CI35" s="14" t="str">
        <f t="shared" ref="CI35:CO35" si="327">IF(SUM(CI6:CI34) &gt; 0, SUM(CI6:CI34), "")</f>
        <v/>
      </c>
      <c r="CJ35" s="14" t="str">
        <f t="shared" si="327"/>
        <v/>
      </c>
      <c r="CK35" s="14" t="str">
        <f t="shared" si="327"/>
        <v/>
      </c>
      <c r="CL35" s="14">
        <f t="shared" si="327"/>
        <v>10</v>
      </c>
      <c r="CM35" s="14" t="str">
        <f t="shared" si="327"/>
        <v/>
      </c>
      <c r="CN35" s="14" t="str">
        <f t="shared" si="327"/>
        <v/>
      </c>
      <c r="CO35" s="14">
        <f t="shared" si="327"/>
        <v>8</v>
      </c>
      <c r="CP35" s="14"/>
      <c r="CQ35" s="15">
        <f>VisibleSum(CQ6:CQ28)</f>
        <v>-4.4705882352941178</v>
      </c>
      <c r="CR35" s="14" t="str">
        <f>IF(SUM(CR6:CR34) &gt; 0, SUM(CR6:CR34), "")</f>
        <v/>
      </c>
      <c r="CS35" s="14">
        <f>IF(SUM(CS6:CS34) &gt; 0, SUM(CS6:CS34), "")</f>
        <v>13</v>
      </c>
      <c r="CT35" s="14" t="str">
        <f>IF(SUM(CT6:CT34) &gt; 0, SUM(CT6:CT34), "")</f>
        <v/>
      </c>
      <c r="CU35" s="14">
        <f>IF(SUM(CU6:CU34) &gt; 0, SUM(CU6:CU34), "")</f>
        <v>10</v>
      </c>
      <c r="CV35" s="14">
        <f>IF(SUM(CV6:CV34) &gt; 0, SUM(CV6:CV34), "")</f>
        <v>13</v>
      </c>
      <c r="CW35" s="14"/>
      <c r="CX35" s="14">
        <f>IF(SUM(CX6:CX34) &gt; 0, SUM(CX6:CX34), "")</f>
        <v>7</v>
      </c>
      <c r="CY35" s="14" t="str">
        <f>IF(SUM(CY6:CY34) &gt; 0, SUM(CY6:CY34), "")</f>
        <v/>
      </c>
      <c r="CZ35" s="15">
        <f>VisibleSum(CZ6:CZ28)</f>
        <v>-0.29411764705882354</v>
      </c>
      <c r="DA35" s="14" t="str">
        <f t="shared" ref="DA35:DG35" si="328">IF(SUM(DA6:DA34) &gt; 0, SUM(DA6:DA34), "")</f>
        <v/>
      </c>
      <c r="DB35" s="14">
        <f t="shared" si="328"/>
        <v>11</v>
      </c>
      <c r="DC35" s="14" t="str">
        <f t="shared" si="328"/>
        <v/>
      </c>
      <c r="DD35" s="14" t="str">
        <f t="shared" si="328"/>
        <v/>
      </c>
      <c r="DE35" s="14">
        <f t="shared" si="328"/>
        <v>8</v>
      </c>
      <c r="DF35" s="14" t="str">
        <f t="shared" si="328"/>
        <v/>
      </c>
      <c r="DG35" s="14">
        <f t="shared" si="328"/>
        <v>4</v>
      </c>
      <c r="DH35" s="14"/>
      <c r="DI35" s="135">
        <f>IF(VisibleSum(DI6:DI28) = "", "??", VisibleSum(DI6:DI28))</f>
        <v>-1.4705882352941178</v>
      </c>
      <c r="DJ35" s="14" t="str">
        <f t="shared" ref="DJ35:DP35" si="329">IF(SUM(DJ6:DJ34) &gt; 0, SUM(DJ6:DJ34), "")</f>
        <v/>
      </c>
      <c r="DK35" s="14">
        <f t="shared" si="329"/>
        <v>15</v>
      </c>
      <c r="DL35" s="14" t="str">
        <f t="shared" si="329"/>
        <v/>
      </c>
      <c r="DM35" s="14">
        <f t="shared" si="329"/>
        <v>12</v>
      </c>
      <c r="DN35" s="14">
        <f t="shared" si="329"/>
        <v>11</v>
      </c>
      <c r="DO35" s="14" t="str">
        <f t="shared" si="329"/>
        <v/>
      </c>
      <c r="DP35" s="14">
        <f t="shared" si="329"/>
        <v>7</v>
      </c>
      <c r="DQ35" s="14"/>
      <c r="DR35" s="135">
        <f>IF(VisibleSum(DR6:DR28) = "", "??", VisibleSum(DR6:DR28))</f>
        <v>-1.1764705882352942</v>
      </c>
      <c r="DS35" s="14" t="str">
        <f>IF(SUM(DS6:DS34) &gt; 0, SUM(DS6:DS34), "")</f>
        <v/>
      </c>
      <c r="DT35" s="14">
        <f>IF(SUM(DT6:DT34) &gt; 0, SUM(DT6:DT34), "")</f>
        <v>8</v>
      </c>
      <c r="DU35" s="14" t="str">
        <f>IF(SUM(DU6:DU34) &gt; 0, SUM(DU6:DU34), "")</f>
        <v/>
      </c>
      <c r="DV35" s="14">
        <f>IF(SUM(DV6:DV34) &gt; 0, SUM(DV6:DV34), "")</f>
        <v>8</v>
      </c>
      <c r="DW35" s="14">
        <f>IF(SUM(DW6:DW34) &gt; 0, SUM(DW6:DW34), "")</f>
        <v>12</v>
      </c>
      <c r="DX35" s="14"/>
      <c r="DY35" s="14"/>
      <c r="DZ35" s="137"/>
      <c r="EA35" s="135">
        <f>IF(VisibleSum(EA6:EA28) = "", "??", VisibleSum(EA6:EA28))</f>
        <v>-1.1764705882352942</v>
      </c>
      <c r="EB35" s="14">
        <f>IF(SUM(EB6:EB34) &gt; 0, SUM(EB6:EB34), "")</f>
        <v>12</v>
      </c>
      <c r="EC35" s="14">
        <f>IF(SUM(EC6:EC34) &gt; 0, SUM(EC6:EC34), "")</f>
        <v>14</v>
      </c>
      <c r="ED35" s="14" t="str">
        <f>IF(SUM(ED6:ED34) &gt; 0, SUM(ED6:ED34), "")</f>
        <v/>
      </c>
      <c r="EE35" s="14">
        <f>IF(SUM(EE6:EE34) &gt; 0, SUM(EE6:EE34), "")</f>
        <v>17</v>
      </c>
      <c r="EF35" s="14">
        <f>IF(SUM(EF6:EF34) &gt; 0, SUM(EF6:EF34), "")</f>
        <v>10</v>
      </c>
      <c r="EG35" s="14"/>
      <c r="EH35" s="14"/>
      <c r="EI35" s="137" t="str">
        <f>IF(SUM(EI6:EI34) &gt; 0, SUM(EI6:EI34), "")</f>
        <v/>
      </c>
      <c r="EJ35" s="135">
        <f>IF(VisibleSum(EJ6:EJ28) = "", "??", VisibleSum(EJ6:EJ28))</f>
        <v>-1.0588235294117647</v>
      </c>
      <c r="EK35" s="14">
        <f t="shared" ref="EK35:EQ35" si="330">IF(SUM(EK6:EK34) &gt; 0, SUM(EK6:EK34), "")</f>
        <v>15</v>
      </c>
      <c r="EL35" s="14">
        <f t="shared" si="330"/>
        <v>17</v>
      </c>
      <c r="EM35" s="14" t="str">
        <f t="shared" si="330"/>
        <v/>
      </c>
      <c r="EN35" s="14">
        <f t="shared" si="330"/>
        <v>14</v>
      </c>
      <c r="EO35" s="14">
        <f t="shared" si="330"/>
        <v>16</v>
      </c>
      <c r="EP35" s="14" t="str">
        <f t="shared" si="330"/>
        <v/>
      </c>
      <c r="EQ35" s="14">
        <f t="shared" si="330"/>
        <v>15</v>
      </c>
      <c r="ER35" s="14"/>
      <c r="ES35" s="135">
        <f>IF(VisibleSum(ES6:ES28) = "", "??", VisibleSum(ES6:ES28))</f>
        <v>0.88888888888888884</v>
      </c>
      <c r="ET35" s="14" t="str">
        <f t="shared" ref="ET35:FY35" si="331">IF(SUM(ET6:ET34) &gt; 0, SUM(ET6:ET34), "")</f>
        <v/>
      </c>
      <c r="EU35" s="14" t="str">
        <f t="shared" si="331"/>
        <v/>
      </c>
      <c r="EV35" s="14" t="str">
        <f t="shared" si="331"/>
        <v/>
      </c>
      <c r="EW35" s="14" t="str">
        <f t="shared" si="331"/>
        <v/>
      </c>
      <c r="EX35" s="14" t="str">
        <f t="shared" si="331"/>
        <v/>
      </c>
      <c r="EY35" s="14" t="str">
        <f t="shared" si="331"/>
        <v/>
      </c>
      <c r="EZ35" s="15" t="str">
        <f t="shared" si="331"/>
        <v/>
      </c>
      <c r="FA35" s="14" t="str">
        <f t="shared" si="331"/>
        <v/>
      </c>
      <c r="FB35" s="14" t="str">
        <f t="shared" si="331"/>
        <v/>
      </c>
      <c r="FC35" s="14" t="str">
        <f t="shared" si="331"/>
        <v/>
      </c>
      <c r="FD35" s="14" t="str">
        <f t="shared" si="331"/>
        <v/>
      </c>
      <c r="FE35" s="14" t="str">
        <f t="shared" si="331"/>
        <v/>
      </c>
      <c r="FF35" s="14" t="str">
        <f t="shared" si="331"/>
        <v/>
      </c>
      <c r="FG35" s="15" t="str">
        <f t="shared" si="331"/>
        <v/>
      </c>
      <c r="FH35" s="14" t="str">
        <f t="shared" si="331"/>
        <v/>
      </c>
      <c r="FI35" s="14" t="str">
        <f t="shared" si="331"/>
        <v/>
      </c>
      <c r="FJ35" s="14" t="str">
        <f t="shared" si="331"/>
        <v/>
      </c>
      <c r="FK35" s="14" t="str">
        <f t="shared" si="331"/>
        <v/>
      </c>
      <c r="FL35" s="14" t="str">
        <f t="shared" si="331"/>
        <v/>
      </c>
      <c r="FM35" s="14" t="str">
        <f t="shared" si="331"/>
        <v/>
      </c>
      <c r="FN35" s="15" t="str">
        <f t="shared" si="331"/>
        <v/>
      </c>
      <c r="FO35" s="14" t="str">
        <f t="shared" si="331"/>
        <v/>
      </c>
      <c r="FP35" s="14" t="str">
        <f t="shared" si="331"/>
        <v/>
      </c>
      <c r="FQ35" s="14" t="str">
        <f t="shared" si="331"/>
        <v/>
      </c>
      <c r="FR35" s="14" t="str">
        <f t="shared" si="331"/>
        <v/>
      </c>
      <c r="FS35" s="14" t="str">
        <f t="shared" si="331"/>
        <v/>
      </c>
      <c r="FT35" s="14" t="str">
        <f t="shared" si="331"/>
        <v/>
      </c>
      <c r="FU35" s="15" t="str">
        <f t="shared" si="331"/>
        <v/>
      </c>
      <c r="FV35" s="14" t="str">
        <f t="shared" si="331"/>
        <v/>
      </c>
      <c r="FW35" s="14" t="str">
        <f t="shared" si="331"/>
        <v/>
      </c>
      <c r="FX35" s="14" t="str">
        <f t="shared" si="331"/>
        <v/>
      </c>
      <c r="FY35" s="14" t="str">
        <f t="shared" si="331"/>
        <v/>
      </c>
      <c r="FZ35" s="14" t="str">
        <f t="shared" ref="FZ35:GU35" si="332">IF(SUM(FZ6:FZ34) &gt; 0, SUM(FZ6:FZ34), "")</f>
        <v/>
      </c>
      <c r="GA35" s="14" t="str">
        <f t="shared" si="332"/>
        <v/>
      </c>
      <c r="GB35" s="15" t="str">
        <f t="shared" si="332"/>
        <v/>
      </c>
      <c r="GC35" s="14" t="str">
        <f t="shared" si="332"/>
        <v/>
      </c>
      <c r="GD35" s="14" t="str">
        <f t="shared" si="332"/>
        <v/>
      </c>
      <c r="GE35" s="14" t="str">
        <f t="shared" si="332"/>
        <v/>
      </c>
      <c r="GF35" s="14" t="str">
        <f t="shared" si="332"/>
        <v/>
      </c>
      <c r="GG35" s="14" t="str">
        <f t="shared" si="332"/>
        <v/>
      </c>
      <c r="GH35" s="14" t="str">
        <f t="shared" si="332"/>
        <v/>
      </c>
      <c r="GI35" s="15" t="str">
        <f t="shared" si="332"/>
        <v/>
      </c>
      <c r="GJ35" s="14" t="str">
        <f t="shared" si="332"/>
        <v/>
      </c>
      <c r="GK35" s="14" t="str">
        <f t="shared" si="332"/>
        <v/>
      </c>
      <c r="GL35" s="14" t="str">
        <f t="shared" si="332"/>
        <v/>
      </c>
      <c r="GM35" s="14" t="str">
        <f t="shared" si="332"/>
        <v/>
      </c>
      <c r="GN35" s="14" t="str">
        <f t="shared" si="332"/>
        <v/>
      </c>
      <c r="GO35" s="14" t="str">
        <f t="shared" si="332"/>
        <v/>
      </c>
      <c r="GP35" s="15" t="str">
        <f t="shared" si="332"/>
        <v/>
      </c>
      <c r="GQ35" s="14" t="str">
        <f t="shared" si="332"/>
        <v/>
      </c>
      <c r="GR35" s="14" t="str">
        <f t="shared" si="332"/>
        <v/>
      </c>
      <c r="GS35" s="14" t="str">
        <f t="shared" si="332"/>
        <v/>
      </c>
      <c r="GT35" s="14" t="str">
        <f t="shared" si="332"/>
        <v/>
      </c>
      <c r="GU35" s="14" t="str">
        <f t="shared" si="332"/>
        <v/>
      </c>
      <c r="GV35" s="14"/>
      <c r="GW35" s="15" t="str">
        <f t="shared" ref="GW35:IB35" si="333">IF(SUM(GW6:GW34) &gt; 0, SUM(GW6:GW34), "")</f>
        <v/>
      </c>
      <c r="GX35" s="14" t="str">
        <f t="shared" si="333"/>
        <v/>
      </c>
      <c r="GY35" s="14" t="str">
        <f t="shared" si="333"/>
        <v/>
      </c>
      <c r="GZ35" s="14" t="str">
        <f t="shared" si="333"/>
        <v/>
      </c>
      <c r="HA35" s="14" t="str">
        <f t="shared" si="333"/>
        <v/>
      </c>
      <c r="HB35" s="14" t="str">
        <f t="shared" si="333"/>
        <v/>
      </c>
      <c r="HC35" s="14" t="str">
        <f t="shared" si="333"/>
        <v/>
      </c>
      <c r="HD35" s="15" t="str">
        <f t="shared" si="333"/>
        <v/>
      </c>
      <c r="HE35" s="14" t="str">
        <f t="shared" si="333"/>
        <v/>
      </c>
      <c r="HF35" s="14" t="str">
        <f t="shared" si="333"/>
        <v/>
      </c>
      <c r="HG35" s="14" t="str">
        <f t="shared" si="333"/>
        <v/>
      </c>
      <c r="HH35" s="14" t="str">
        <f t="shared" si="333"/>
        <v/>
      </c>
      <c r="HI35" s="14" t="str">
        <f t="shared" si="333"/>
        <v/>
      </c>
      <c r="HJ35" s="14" t="str">
        <f t="shared" si="333"/>
        <v/>
      </c>
      <c r="HK35" s="15" t="str">
        <f t="shared" si="333"/>
        <v/>
      </c>
      <c r="HL35" s="14" t="str">
        <f t="shared" si="333"/>
        <v/>
      </c>
      <c r="HM35" s="14" t="str">
        <f t="shared" si="333"/>
        <v/>
      </c>
      <c r="HN35" s="14" t="str">
        <f t="shared" si="333"/>
        <v/>
      </c>
      <c r="HO35" s="14" t="str">
        <f t="shared" si="333"/>
        <v/>
      </c>
      <c r="HP35" s="14" t="str">
        <f t="shared" si="333"/>
        <v/>
      </c>
      <c r="HQ35" s="14" t="str">
        <f t="shared" si="333"/>
        <v/>
      </c>
      <c r="HR35" s="15" t="str">
        <f t="shared" si="333"/>
        <v/>
      </c>
      <c r="HS35" s="14" t="str">
        <f t="shared" si="333"/>
        <v/>
      </c>
      <c r="HT35" s="14" t="str">
        <f t="shared" si="333"/>
        <v/>
      </c>
      <c r="HU35" s="14" t="str">
        <f t="shared" si="333"/>
        <v/>
      </c>
      <c r="HV35" s="14" t="str">
        <f t="shared" si="333"/>
        <v/>
      </c>
      <c r="HW35" s="14" t="str">
        <f t="shared" si="333"/>
        <v/>
      </c>
      <c r="HX35" s="14" t="str">
        <f t="shared" si="333"/>
        <v/>
      </c>
      <c r="HY35" s="15" t="str">
        <f t="shared" si="333"/>
        <v/>
      </c>
      <c r="HZ35" s="14" t="str">
        <f t="shared" si="333"/>
        <v/>
      </c>
      <c r="IA35" s="14" t="str">
        <f t="shared" si="333"/>
        <v/>
      </c>
      <c r="IB35" s="14" t="str">
        <f t="shared" si="333"/>
        <v/>
      </c>
      <c r="IC35" s="14" t="str">
        <f t="shared" ref="IC35:JH35" si="334">IF(SUM(IC6:IC34) &gt; 0, SUM(IC6:IC34), "")</f>
        <v/>
      </c>
      <c r="ID35" s="14" t="str">
        <f t="shared" si="334"/>
        <v/>
      </c>
      <c r="IE35" s="14" t="str">
        <f t="shared" si="334"/>
        <v/>
      </c>
      <c r="IF35" s="15" t="str">
        <f t="shared" si="334"/>
        <v/>
      </c>
      <c r="IG35" s="14" t="str">
        <f t="shared" si="334"/>
        <v/>
      </c>
      <c r="IH35" s="14" t="str">
        <f t="shared" si="334"/>
        <v/>
      </c>
      <c r="II35" s="14" t="str">
        <f t="shared" si="334"/>
        <v/>
      </c>
      <c r="IJ35" s="14" t="str">
        <f t="shared" si="334"/>
        <v/>
      </c>
      <c r="IK35" s="14" t="str">
        <f t="shared" si="334"/>
        <v/>
      </c>
      <c r="IL35" s="14" t="str">
        <f t="shared" si="334"/>
        <v/>
      </c>
      <c r="IM35" s="15" t="str">
        <f t="shared" si="334"/>
        <v/>
      </c>
      <c r="IN35" s="14" t="str">
        <f t="shared" si="334"/>
        <v/>
      </c>
      <c r="IO35" s="14" t="str">
        <f t="shared" si="334"/>
        <v/>
      </c>
      <c r="IP35" s="14" t="str">
        <f t="shared" si="334"/>
        <v/>
      </c>
      <c r="IQ35" s="14" t="str">
        <f t="shared" si="334"/>
        <v/>
      </c>
      <c r="IR35" s="14" t="str">
        <f t="shared" si="334"/>
        <v/>
      </c>
      <c r="IS35" s="14" t="str">
        <f t="shared" si="334"/>
        <v/>
      </c>
      <c r="IT35" s="15" t="str">
        <f t="shared" si="334"/>
        <v/>
      </c>
      <c r="IU35" s="14" t="str">
        <f t="shared" si="334"/>
        <v/>
      </c>
      <c r="IV35" s="14" t="str">
        <f t="shared" si="334"/>
        <v/>
      </c>
      <c r="IW35" s="14" t="str">
        <f t="shared" si="334"/>
        <v/>
      </c>
      <c r="IX35" s="14" t="str">
        <f t="shared" si="334"/>
        <v/>
      </c>
      <c r="IY35" s="14" t="str">
        <f t="shared" si="334"/>
        <v/>
      </c>
      <c r="IZ35" s="14" t="str">
        <f t="shared" si="334"/>
        <v/>
      </c>
      <c r="JA35" s="15" t="str">
        <f t="shared" si="334"/>
        <v/>
      </c>
      <c r="JB35" s="14" t="str">
        <f t="shared" si="334"/>
        <v/>
      </c>
      <c r="JC35" s="14" t="str">
        <f t="shared" si="334"/>
        <v/>
      </c>
      <c r="JD35" s="14" t="str">
        <f t="shared" si="334"/>
        <v/>
      </c>
      <c r="JE35" s="14" t="str">
        <f t="shared" si="334"/>
        <v/>
      </c>
      <c r="JF35" s="14" t="str">
        <f t="shared" si="334"/>
        <v/>
      </c>
      <c r="JG35" s="14" t="str">
        <f t="shared" si="334"/>
        <v/>
      </c>
      <c r="JH35" s="15" t="str">
        <f t="shared" si="334"/>
        <v/>
      </c>
      <c r="JI35" s="14" t="str">
        <f t="shared" ref="JI35:KN35" si="335">IF(SUM(JI6:JI34) &gt; 0, SUM(JI6:JI34), "")</f>
        <v/>
      </c>
      <c r="JJ35" s="14" t="str">
        <f t="shared" si="335"/>
        <v/>
      </c>
      <c r="JK35" s="14" t="str">
        <f t="shared" si="335"/>
        <v/>
      </c>
      <c r="JL35" s="14" t="str">
        <f t="shared" si="335"/>
        <v/>
      </c>
      <c r="JM35" s="14" t="str">
        <f t="shared" si="335"/>
        <v/>
      </c>
      <c r="JN35" s="14" t="str">
        <f t="shared" si="335"/>
        <v/>
      </c>
      <c r="JO35" s="15" t="str">
        <f t="shared" si="335"/>
        <v/>
      </c>
      <c r="JP35" s="14" t="str">
        <f t="shared" si="335"/>
        <v/>
      </c>
      <c r="JQ35" s="14" t="str">
        <f t="shared" si="335"/>
        <v/>
      </c>
      <c r="JR35" s="14" t="str">
        <f t="shared" si="335"/>
        <v/>
      </c>
      <c r="JS35" s="14" t="str">
        <f t="shared" si="335"/>
        <v/>
      </c>
      <c r="JT35" s="14" t="str">
        <f t="shared" si="335"/>
        <v/>
      </c>
      <c r="JU35" s="14" t="str">
        <f t="shared" si="335"/>
        <v/>
      </c>
      <c r="JV35" s="15" t="str">
        <f t="shared" si="335"/>
        <v/>
      </c>
      <c r="JW35" s="14" t="str">
        <f t="shared" si="335"/>
        <v/>
      </c>
      <c r="JX35" s="14" t="str">
        <f t="shared" si="335"/>
        <v/>
      </c>
      <c r="JY35" s="14" t="str">
        <f t="shared" si="335"/>
        <v/>
      </c>
      <c r="JZ35" s="14" t="str">
        <f t="shared" si="335"/>
        <v/>
      </c>
      <c r="KA35" s="14" t="str">
        <f t="shared" si="335"/>
        <v/>
      </c>
      <c r="KB35" s="14" t="str">
        <f t="shared" si="335"/>
        <v/>
      </c>
      <c r="KC35" s="15" t="str">
        <f t="shared" si="335"/>
        <v/>
      </c>
      <c r="KD35" s="14" t="str">
        <f t="shared" si="335"/>
        <v/>
      </c>
      <c r="KE35" s="14" t="str">
        <f t="shared" si="335"/>
        <v/>
      </c>
      <c r="KF35" s="14" t="str">
        <f t="shared" si="335"/>
        <v/>
      </c>
      <c r="KG35" s="14" t="str">
        <f t="shared" si="335"/>
        <v/>
      </c>
      <c r="KH35" s="14" t="str">
        <f t="shared" si="335"/>
        <v/>
      </c>
      <c r="KI35" s="14" t="str">
        <f t="shared" si="335"/>
        <v/>
      </c>
      <c r="KJ35" s="15" t="str">
        <f t="shared" si="335"/>
        <v/>
      </c>
      <c r="KK35" s="14" t="str">
        <f t="shared" si="335"/>
        <v/>
      </c>
      <c r="KL35" s="14" t="str">
        <f t="shared" si="335"/>
        <v/>
      </c>
      <c r="KM35" s="14" t="str">
        <f t="shared" si="335"/>
        <v/>
      </c>
      <c r="KN35" s="14" t="str">
        <f t="shared" si="335"/>
        <v/>
      </c>
      <c r="KO35" s="14" t="str">
        <f t="shared" ref="KO35:LT35" si="336">IF(SUM(KO6:KO34) &gt; 0, SUM(KO6:KO34), "")</f>
        <v/>
      </c>
      <c r="KP35" s="14" t="str">
        <f t="shared" si="336"/>
        <v/>
      </c>
      <c r="KQ35" s="15" t="str">
        <f t="shared" si="336"/>
        <v/>
      </c>
      <c r="KR35" s="14" t="str">
        <f t="shared" si="336"/>
        <v/>
      </c>
      <c r="KS35" s="14" t="str">
        <f t="shared" si="336"/>
        <v/>
      </c>
      <c r="KT35" s="14" t="str">
        <f t="shared" si="336"/>
        <v/>
      </c>
      <c r="KU35" s="14" t="str">
        <f t="shared" si="336"/>
        <v/>
      </c>
      <c r="KV35" s="14" t="str">
        <f t="shared" si="336"/>
        <v/>
      </c>
      <c r="KW35" s="14" t="str">
        <f t="shared" si="336"/>
        <v/>
      </c>
      <c r="KX35" s="15" t="str">
        <f t="shared" si="336"/>
        <v/>
      </c>
      <c r="KY35" s="14" t="str">
        <f t="shared" si="336"/>
        <v/>
      </c>
      <c r="KZ35" s="14" t="str">
        <f t="shared" si="336"/>
        <v/>
      </c>
      <c r="LA35" s="14" t="str">
        <f t="shared" si="336"/>
        <v/>
      </c>
      <c r="LB35" s="14" t="str">
        <f t="shared" si="336"/>
        <v/>
      </c>
      <c r="LC35" s="14" t="str">
        <f t="shared" si="336"/>
        <v/>
      </c>
      <c r="LD35" s="14" t="str">
        <f t="shared" si="336"/>
        <v/>
      </c>
      <c r="LE35" s="15" t="str">
        <f t="shared" si="336"/>
        <v/>
      </c>
      <c r="LF35" s="14" t="str">
        <f t="shared" si="336"/>
        <v/>
      </c>
      <c r="LG35" s="14" t="str">
        <f t="shared" si="336"/>
        <v/>
      </c>
      <c r="LH35" s="14" t="str">
        <f t="shared" si="336"/>
        <v/>
      </c>
      <c r="LI35" s="14" t="str">
        <f t="shared" si="336"/>
        <v/>
      </c>
      <c r="LJ35" s="14" t="str">
        <f t="shared" si="336"/>
        <v/>
      </c>
      <c r="LK35" s="14" t="str">
        <f t="shared" si="336"/>
        <v/>
      </c>
      <c r="LL35" s="15" t="str">
        <f t="shared" si="336"/>
        <v/>
      </c>
      <c r="LM35" s="14" t="str">
        <f t="shared" si="336"/>
        <v/>
      </c>
      <c r="LN35" s="14" t="str">
        <f t="shared" si="336"/>
        <v/>
      </c>
      <c r="LO35" s="14" t="str">
        <f t="shared" si="336"/>
        <v/>
      </c>
      <c r="LP35" s="14" t="str">
        <f t="shared" si="336"/>
        <v/>
      </c>
      <c r="LQ35" s="14" t="str">
        <f t="shared" si="336"/>
        <v/>
      </c>
      <c r="LR35" s="14" t="str">
        <f t="shared" si="336"/>
        <v/>
      </c>
      <c r="LS35" s="15" t="str">
        <f t="shared" si="336"/>
        <v/>
      </c>
      <c r="LT35" s="14" t="str">
        <f t="shared" si="336"/>
        <v/>
      </c>
      <c r="LU35" s="14" t="str">
        <f t="shared" ref="LU35:MN35" si="337">IF(SUM(LU6:LU34) &gt; 0, SUM(LU6:LU34), "")</f>
        <v/>
      </c>
      <c r="LV35" s="14" t="str">
        <f t="shared" si="337"/>
        <v/>
      </c>
      <c r="LW35" s="14" t="str">
        <f t="shared" si="337"/>
        <v/>
      </c>
      <c r="LX35" s="14" t="str">
        <f t="shared" si="337"/>
        <v/>
      </c>
      <c r="LY35" s="14" t="str">
        <f t="shared" si="337"/>
        <v/>
      </c>
      <c r="LZ35" s="15" t="str">
        <f t="shared" si="337"/>
        <v/>
      </c>
      <c r="MA35" s="14" t="str">
        <f t="shared" si="337"/>
        <v/>
      </c>
      <c r="MB35" s="14" t="str">
        <f t="shared" si="337"/>
        <v/>
      </c>
      <c r="MC35" s="14" t="str">
        <f t="shared" si="337"/>
        <v/>
      </c>
      <c r="MD35" s="14" t="str">
        <f t="shared" si="337"/>
        <v/>
      </c>
      <c r="ME35" s="14" t="str">
        <f t="shared" si="337"/>
        <v/>
      </c>
      <c r="MF35" s="14" t="str">
        <f t="shared" si="337"/>
        <v/>
      </c>
      <c r="MG35" s="15" t="str">
        <f t="shared" si="337"/>
        <v/>
      </c>
      <c r="MH35" s="14" t="str">
        <f t="shared" si="337"/>
        <v/>
      </c>
      <c r="MI35" s="14" t="str">
        <f t="shared" si="337"/>
        <v/>
      </c>
      <c r="MJ35" s="14" t="str">
        <f t="shared" si="337"/>
        <v/>
      </c>
      <c r="MK35" s="14" t="str">
        <f t="shared" si="337"/>
        <v/>
      </c>
      <c r="ML35" s="14" t="str">
        <f t="shared" si="337"/>
        <v/>
      </c>
      <c r="MM35" s="14" t="str">
        <f t="shared" si="337"/>
        <v/>
      </c>
      <c r="MN35" s="116" t="str">
        <f t="shared" si="337"/>
        <v/>
      </c>
    </row>
    <row r="36" spans="1:352" x14ac:dyDescent="0.25">
      <c r="A36" s="112" t="s">
        <v>18</v>
      </c>
      <c r="B36" s="111"/>
      <c r="C36" s="111"/>
      <c r="D36" s="111"/>
      <c r="E36" s="111"/>
      <c r="F36" s="113"/>
      <c r="G36" s="111"/>
      <c r="H36" s="111"/>
      <c r="I36" s="111"/>
      <c r="J36" s="111"/>
      <c r="K36" s="111"/>
      <c r="L36" s="111"/>
      <c r="M36" s="111"/>
      <c r="N36" s="111"/>
      <c r="O36" s="114"/>
      <c r="P36" s="111">
        <f>SUM(S36:MN36)</f>
        <v>49</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v>1</v>
      </c>
      <c r="ED36" s="111"/>
      <c r="EE36" s="111">
        <v>1</v>
      </c>
      <c r="EF36" s="111">
        <v>1</v>
      </c>
      <c r="EG36" s="111"/>
      <c r="EH36" s="111"/>
      <c r="EI36" s="111"/>
      <c r="EJ36" s="114"/>
      <c r="EK36" s="111">
        <v>1</v>
      </c>
      <c r="EL36" s="111">
        <v>1</v>
      </c>
      <c r="EM36" s="111"/>
      <c r="EN36" s="111"/>
      <c r="EO36" s="111"/>
      <c r="EP36" s="111"/>
      <c r="EQ36" s="111"/>
      <c r="ER36" s="111"/>
      <c r="ES36" s="114"/>
      <c r="ET36" s="111"/>
      <c r="EU36" s="111"/>
      <c r="EV36" s="111"/>
      <c r="EW36" s="111"/>
      <c r="EX36" s="111"/>
      <c r="EY36" s="111"/>
      <c r="EZ36" s="114"/>
      <c r="FA36" s="111"/>
      <c r="FB36" s="111"/>
      <c r="FC36" s="111"/>
      <c r="FD36" s="111"/>
      <c r="FE36" s="111"/>
      <c r="FF36" s="111"/>
      <c r="FG36" s="114"/>
      <c r="FH36" s="111"/>
      <c r="FI36" s="111"/>
      <c r="FJ36" s="111"/>
      <c r="FK36" s="111"/>
      <c r="FL36" s="111"/>
      <c r="FM36" s="111"/>
      <c r="FN36" s="114"/>
      <c r="FO36" s="111"/>
      <c r="FP36" s="111"/>
      <c r="FQ36" s="111"/>
      <c r="FR36" s="111"/>
      <c r="FS36" s="111"/>
      <c r="FT36" s="111"/>
      <c r="FU36" s="114"/>
      <c r="FV36" s="111"/>
      <c r="FW36" s="111"/>
      <c r="FX36" s="111"/>
      <c r="FY36" s="111"/>
      <c r="FZ36" s="111"/>
      <c r="GA36" s="111"/>
      <c r="GB36" s="114"/>
      <c r="GC36" s="111"/>
      <c r="GD36" s="111"/>
      <c r="GE36" s="111"/>
      <c r="GF36" s="111"/>
      <c r="GG36" s="111"/>
      <c r="GH36" s="111"/>
      <c r="GI36" s="114"/>
      <c r="GJ36" s="111"/>
      <c r="GK36" s="111"/>
      <c r="GL36" s="111"/>
      <c r="GM36" s="111"/>
      <c r="GN36" s="111"/>
      <c r="GO36" s="111"/>
      <c r="GP36" s="114"/>
      <c r="GQ36" s="111"/>
      <c r="GR36" s="111"/>
      <c r="GS36" s="111"/>
      <c r="GT36" s="111"/>
      <c r="GU36" s="111"/>
      <c r="GV36" s="111"/>
      <c r="GW36" s="114"/>
      <c r="GX36" s="111"/>
      <c r="GY36" s="111"/>
      <c r="GZ36" s="111"/>
      <c r="HA36" s="111"/>
      <c r="HB36" s="111"/>
      <c r="HC36" s="111"/>
      <c r="HD36" s="114"/>
      <c r="HE36" s="111"/>
      <c r="HF36" s="111"/>
      <c r="HG36" s="111"/>
      <c r="HH36" s="111"/>
      <c r="HI36" s="111"/>
      <c r="HJ36" s="111"/>
      <c r="HK36" s="114"/>
      <c r="HL36" s="111"/>
      <c r="HM36" s="111"/>
      <c r="HN36" s="111"/>
      <c r="HO36" s="111"/>
      <c r="HP36" s="111"/>
      <c r="HQ36" s="111"/>
      <c r="HR36" s="114"/>
      <c r="HS36" s="111"/>
      <c r="HT36" s="111"/>
      <c r="HU36" s="111"/>
      <c r="HV36" s="111"/>
      <c r="HW36" s="111"/>
      <c r="HX36" s="111"/>
      <c r="HY36" s="114"/>
      <c r="HZ36" s="111"/>
      <c r="IA36" s="111"/>
      <c r="IB36" s="111"/>
      <c r="IC36" s="111"/>
      <c r="ID36" s="111"/>
      <c r="IE36" s="111"/>
      <c r="IF36" s="114"/>
      <c r="IG36" s="111"/>
      <c r="IH36" s="111"/>
      <c r="II36" s="111"/>
      <c r="IJ36" s="111"/>
      <c r="IK36" s="111"/>
      <c r="IL36" s="111"/>
      <c r="IM36" s="114"/>
      <c r="IN36" s="111"/>
      <c r="IO36" s="111"/>
      <c r="IP36" s="111"/>
      <c r="IQ36" s="111"/>
      <c r="IR36" s="111"/>
      <c r="IS36" s="111"/>
      <c r="IT36" s="114"/>
      <c r="IU36" s="111"/>
      <c r="IV36" s="111"/>
      <c r="IW36" s="111"/>
      <c r="IX36" s="111"/>
      <c r="IY36" s="111"/>
      <c r="IZ36" s="111"/>
      <c r="JA36" s="114"/>
      <c r="JB36" s="111"/>
      <c r="JC36" s="111"/>
      <c r="JD36" s="111"/>
      <c r="JE36" s="111"/>
      <c r="JF36" s="111"/>
      <c r="JG36" s="111"/>
      <c r="JH36" s="114"/>
      <c r="JI36" s="111"/>
      <c r="JJ36" s="111"/>
      <c r="JK36" s="111"/>
      <c r="JL36" s="111"/>
      <c r="JM36" s="111"/>
      <c r="JN36" s="111"/>
      <c r="JO36" s="114"/>
      <c r="JP36" s="111"/>
      <c r="JQ36" s="111"/>
      <c r="JR36" s="111"/>
      <c r="JS36" s="111"/>
      <c r="JT36" s="111"/>
      <c r="JU36" s="111"/>
      <c r="JV36" s="114"/>
      <c r="JW36" s="111"/>
      <c r="JX36" s="111"/>
      <c r="JY36" s="111"/>
      <c r="JZ36" s="111"/>
      <c r="KA36" s="111"/>
      <c r="KB36" s="111"/>
      <c r="KC36" s="114"/>
      <c r="KD36" s="111"/>
      <c r="KE36" s="111"/>
      <c r="KF36" s="111"/>
      <c r="KG36" s="111"/>
      <c r="KH36" s="111"/>
      <c r="KI36" s="111"/>
      <c r="KJ36" s="114"/>
      <c r="KK36" s="111"/>
      <c r="KL36" s="111"/>
      <c r="KM36" s="111"/>
      <c r="KN36" s="111"/>
      <c r="KO36" s="111"/>
      <c r="KP36" s="111"/>
      <c r="KQ36" s="114"/>
      <c r="KR36" s="111"/>
      <c r="KS36" s="111"/>
      <c r="KT36" s="111"/>
      <c r="KU36" s="111"/>
      <c r="KV36" s="111"/>
      <c r="KW36" s="111"/>
      <c r="KX36" s="114"/>
      <c r="KY36" s="111"/>
      <c r="KZ36" s="111"/>
      <c r="LA36" s="111"/>
      <c r="LB36" s="111"/>
      <c r="LC36" s="111"/>
      <c r="LD36" s="111"/>
      <c r="LE36" s="114"/>
      <c r="LF36" s="111"/>
      <c r="LG36" s="111"/>
      <c r="LH36" s="111"/>
      <c r="LI36" s="111"/>
      <c r="LJ36" s="111"/>
      <c r="LK36" s="111"/>
      <c r="LL36" s="114"/>
      <c r="LM36" s="111"/>
      <c r="LN36" s="111"/>
      <c r="LO36" s="111"/>
      <c r="LP36" s="111"/>
      <c r="LQ36" s="111"/>
      <c r="LR36" s="111"/>
      <c r="LS36" s="114"/>
      <c r="LT36" s="111"/>
      <c r="LU36" s="111"/>
      <c r="LV36" s="111"/>
      <c r="LW36" s="111"/>
      <c r="LX36" s="111"/>
      <c r="LY36" s="111"/>
      <c r="LZ36" s="114"/>
      <c r="MA36" s="111"/>
      <c r="MB36" s="111"/>
      <c r="MC36" s="111"/>
      <c r="MD36" s="111"/>
      <c r="ME36" s="111"/>
      <c r="MF36" s="111"/>
      <c r="MG36" s="114"/>
      <c r="MH36" s="111"/>
      <c r="MI36" s="111"/>
      <c r="MJ36" s="111"/>
      <c r="MK36" s="111"/>
      <c r="ML36" s="111"/>
      <c r="MM36" s="111"/>
      <c r="MN36" s="114"/>
    </row>
    <row r="37" spans="1:352"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132"/>
      <c r="EI37" s="132"/>
      <c r="EJ37" s="37"/>
      <c r="EK37" s="132"/>
      <c r="EL37" s="132"/>
      <c r="EM37" s="132"/>
      <c r="EN37" s="132"/>
      <c r="EO37" s="132"/>
      <c r="EP37" s="132"/>
      <c r="EQ37" s="132"/>
      <c r="ER37" s="132"/>
      <c r="ES37" s="37"/>
      <c r="ET37" s="132"/>
      <c r="EU37" s="132"/>
      <c r="EV37" s="132"/>
      <c r="EW37" s="132"/>
      <c r="EX37" s="132"/>
      <c r="EY37" s="132"/>
      <c r="EZ37" s="37"/>
      <c r="FA37" s="132"/>
      <c r="FB37" s="132"/>
      <c r="FC37" s="132"/>
      <c r="FD37" s="132"/>
      <c r="FE37" s="132"/>
      <c r="FF37" s="132"/>
      <c r="FG37" s="37"/>
      <c r="FH37" s="132"/>
      <c r="FI37" s="132"/>
      <c r="FJ37" s="132"/>
      <c r="FK37" s="132"/>
      <c r="FL37" s="132"/>
      <c r="FM37" s="132"/>
      <c r="FN37" s="37"/>
      <c r="FO37" s="132"/>
      <c r="FP37" s="132"/>
      <c r="FQ37" s="132"/>
      <c r="FR37" s="132"/>
      <c r="FS37" s="132"/>
      <c r="FT37" s="132"/>
      <c r="FU37" s="37"/>
      <c r="FV37" s="132"/>
      <c r="FW37" s="132"/>
      <c r="FX37" s="132"/>
      <c r="FY37" s="132"/>
      <c r="FZ37" s="132"/>
      <c r="GA37" s="132"/>
      <c r="GB37" s="37"/>
      <c r="GC37" s="132"/>
      <c r="GD37" s="132"/>
      <c r="GE37" s="132"/>
      <c r="GF37" s="132"/>
      <c r="GG37" s="132"/>
      <c r="GH37" s="132"/>
      <c r="GI37" s="37"/>
      <c r="GJ37" s="132"/>
      <c r="GK37" s="132"/>
      <c r="GL37" s="132"/>
      <c r="GM37" s="132"/>
      <c r="GN37" s="132"/>
      <c r="GO37" s="132"/>
      <c r="GP37" s="37"/>
      <c r="GQ37" s="132"/>
      <c r="GR37" s="132"/>
      <c r="GS37" s="132"/>
      <c r="GT37" s="132"/>
      <c r="GU37" s="132"/>
      <c r="GV37" s="132"/>
      <c r="GW37" s="37"/>
      <c r="GX37" s="132"/>
      <c r="GY37" s="132"/>
      <c r="GZ37" s="132"/>
      <c r="HA37" s="132"/>
      <c r="HB37" s="132"/>
      <c r="HC37" s="132"/>
      <c r="HD37" s="37"/>
      <c r="HE37" s="132"/>
      <c r="HF37" s="132"/>
      <c r="HG37" s="132"/>
      <c r="HH37" s="132"/>
      <c r="HI37" s="132"/>
      <c r="HJ37" s="132"/>
      <c r="HK37" s="37"/>
      <c r="HL37" s="132"/>
      <c r="HM37" s="132"/>
      <c r="HN37" s="132"/>
      <c r="HO37" s="132"/>
      <c r="HP37" s="132"/>
      <c r="HQ37" s="132"/>
      <c r="HR37" s="37"/>
      <c r="HS37" s="132"/>
      <c r="HT37" s="132"/>
      <c r="HU37" s="132"/>
      <c r="HV37" s="132"/>
      <c r="HW37" s="132"/>
      <c r="HX37" s="132"/>
      <c r="HY37" s="37"/>
      <c r="HZ37" s="132"/>
      <c r="IA37" s="132"/>
      <c r="IB37" s="132"/>
      <c r="IC37" s="132"/>
      <c r="ID37" s="132"/>
      <c r="IE37" s="132"/>
      <c r="IF37" s="37"/>
      <c r="IG37" s="132"/>
      <c r="IH37" s="132"/>
      <c r="II37" s="132"/>
      <c r="IJ37" s="132"/>
      <c r="IK37" s="132"/>
      <c r="IL37" s="132"/>
      <c r="IM37" s="37"/>
      <c r="IN37" s="132"/>
      <c r="IO37" s="132"/>
      <c r="IP37" s="132"/>
      <c r="IQ37" s="132"/>
      <c r="IR37" s="132"/>
      <c r="IS37" s="132"/>
      <c r="IT37" s="37"/>
      <c r="IU37" s="132"/>
      <c r="IV37" s="132"/>
      <c r="IW37" s="132"/>
      <c r="IX37" s="132"/>
      <c r="IY37" s="132"/>
      <c r="IZ37" s="132"/>
      <c r="JA37" s="37"/>
      <c r="JB37" s="132"/>
      <c r="JC37" s="132"/>
      <c r="JD37" s="132"/>
      <c r="JE37" s="132"/>
      <c r="JF37" s="132"/>
      <c r="JG37" s="132"/>
      <c r="JH37" s="37"/>
      <c r="JI37" s="132"/>
      <c r="JJ37" s="132"/>
      <c r="JK37" s="132"/>
      <c r="JL37" s="132"/>
      <c r="JM37" s="132"/>
      <c r="JN37" s="132"/>
      <c r="JO37" s="37"/>
      <c r="JP37" s="132"/>
      <c r="JQ37" s="132"/>
      <c r="JR37" s="132"/>
      <c r="JS37" s="132"/>
      <c r="JT37" s="132"/>
      <c r="JU37" s="132"/>
      <c r="JV37" s="37"/>
      <c r="JW37" s="132"/>
      <c r="JX37" s="132"/>
      <c r="JY37" s="132"/>
      <c r="JZ37" s="132"/>
      <c r="KA37" s="132"/>
      <c r="KB37" s="132"/>
      <c r="KC37" s="37"/>
      <c r="KD37" s="132"/>
      <c r="KE37" s="132"/>
      <c r="KF37" s="132"/>
      <c r="KG37" s="132"/>
      <c r="KH37" s="132"/>
      <c r="KI37" s="132"/>
      <c r="KJ37" s="37"/>
      <c r="KK37" s="132"/>
      <c r="KL37" s="132"/>
      <c r="KM37" s="132"/>
      <c r="KN37" s="132"/>
      <c r="KO37" s="132"/>
      <c r="KP37" s="132"/>
      <c r="KQ37" s="37"/>
      <c r="KR37" s="132"/>
      <c r="KS37" s="132"/>
      <c r="KT37" s="132"/>
      <c r="KU37" s="132"/>
      <c r="KV37" s="132"/>
      <c r="KW37" s="132"/>
      <c r="KX37" s="37"/>
      <c r="KY37" s="132"/>
      <c r="KZ37" s="132"/>
      <c r="LA37" s="132"/>
      <c r="LB37" s="132"/>
      <c r="LC37" s="132"/>
      <c r="LD37" s="132"/>
      <c r="LE37" s="37"/>
      <c r="LF37" s="132"/>
      <c r="LG37" s="132"/>
      <c r="LH37" s="132"/>
      <c r="LI37" s="132"/>
      <c r="LJ37" s="132"/>
      <c r="LK37" s="132"/>
      <c r="LL37" s="37"/>
      <c r="LM37" s="132"/>
      <c r="LN37" s="132"/>
      <c r="LO37" s="132"/>
      <c r="LP37" s="132"/>
      <c r="LQ37" s="132"/>
      <c r="LR37" s="132"/>
      <c r="LS37" s="37"/>
      <c r="LT37" s="132"/>
      <c r="LU37" s="132"/>
      <c r="LV37" s="132"/>
      <c r="LW37" s="132"/>
      <c r="LX37" s="132"/>
      <c r="LY37" s="132"/>
      <c r="LZ37" s="37"/>
      <c r="MA37" s="132"/>
      <c r="MB37" s="132"/>
      <c r="MC37" s="132"/>
      <c r="MD37" s="132"/>
      <c r="ME37" s="132"/>
      <c r="MF37" s="132"/>
      <c r="MG37" s="37"/>
      <c r="MH37" s="132"/>
      <c r="MI37" s="132"/>
      <c r="MJ37" s="132"/>
      <c r="MK37" s="132"/>
      <c r="ML37" s="132"/>
      <c r="MM37" s="132"/>
      <c r="MN37" s="37"/>
    </row>
    <row r="38" spans="1:352" ht="66" hidden="1" customHeight="1" x14ac:dyDescent="0.25">
      <c r="A38" s="19"/>
      <c r="B38" s="19"/>
      <c r="C38" s="19"/>
      <c r="D38" s="19"/>
      <c r="E38" s="9"/>
      <c r="F38" s="19"/>
      <c r="G38" s="19"/>
      <c r="H38" s="19"/>
      <c r="I38" s="19"/>
      <c r="J38" s="19"/>
      <c r="K38" s="19"/>
      <c r="L38" s="19"/>
      <c r="M38" s="19"/>
      <c r="N38" s="19"/>
      <c r="O38" s="9"/>
      <c r="P38" s="124" t="s">
        <v>409</v>
      </c>
      <c r="Q38" s="125" t="s">
        <v>409</v>
      </c>
      <c r="R38" s="126"/>
      <c r="S38" s="49">
        <f t="shared" ref="S38:AX38" si="338">S1</f>
        <v>43975</v>
      </c>
      <c r="T38" s="49">
        <f t="shared" si="338"/>
        <v>43976</v>
      </c>
      <c r="U38" s="49">
        <f t="shared" si="338"/>
        <v>43977</v>
      </c>
      <c r="V38" s="49">
        <f t="shared" si="338"/>
        <v>43978</v>
      </c>
      <c r="W38" s="49">
        <f t="shared" si="338"/>
        <v>43979</v>
      </c>
      <c r="X38" s="49">
        <f t="shared" si="338"/>
        <v>43980</v>
      </c>
      <c r="Y38" s="49">
        <f t="shared" si="338"/>
        <v>43981</v>
      </c>
      <c r="Z38" s="49">
        <f t="shared" si="338"/>
        <v>43982</v>
      </c>
      <c r="AA38" s="49">
        <f t="shared" si="338"/>
        <v>43983</v>
      </c>
      <c r="AB38" s="49">
        <f t="shared" si="338"/>
        <v>43984</v>
      </c>
      <c r="AC38" s="49">
        <f t="shared" si="338"/>
        <v>43985</v>
      </c>
      <c r="AD38" s="49">
        <f t="shared" si="338"/>
        <v>43986</v>
      </c>
      <c r="AE38" s="49">
        <f t="shared" si="338"/>
        <v>43987</v>
      </c>
      <c r="AF38" s="49">
        <f t="shared" si="338"/>
        <v>43988</v>
      </c>
      <c r="AG38" s="49">
        <f t="shared" si="338"/>
        <v>43989</v>
      </c>
      <c r="AH38" s="49">
        <f t="shared" si="338"/>
        <v>43990</v>
      </c>
      <c r="AI38" s="49">
        <f t="shared" si="338"/>
        <v>43991</v>
      </c>
      <c r="AJ38" s="49">
        <f t="shared" si="338"/>
        <v>43992</v>
      </c>
      <c r="AK38" s="49">
        <f t="shared" si="338"/>
        <v>43993</v>
      </c>
      <c r="AL38" s="49">
        <f t="shared" si="338"/>
        <v>43994</v>
      </c>
      <c r="AM38" s="49">
        <f t="shared" si="338"/>
        <v>43995</v>
      </c>
      <c r="AN38" s="49">
        <f t="shared" si="338"/>
        <v>43996</v>
      </c>
      <c r="AO38" s="49">
        <f t="shared" si="338"/>
        <v>43997</v>
      </c>
      <c r="AP38" s="49">
        <f t="shared" si="338"/>
        <v>43998</v>
      </c>
      <c r="AQ38" s="49">
        <f t="shared" si="338"/>
        <v>43999</v>
      </c>
      <c r="AR38" s="49">
        <f t="shared" si="338"/>
        <v>44000</v>
      </c>
      <c r="AS38" s="49">
        <f t="shared" si="338"/>
        <v>44001</v>
      </c>
      <c r="AT38" s="49">
        <f t="shared" si="338"/>
        <v>44002</v>
      </c>
      <c r="AU38" s="49">
        <f t="shared" si="338"/>
        <v>44003</v>
      </c>
      <c r="AV38" s="49">
        <f t="shared" si="338"/>
        <v>44004</v>
      </c>
      <c r="AW38" s="49">
        <f t="shared" si="338"/>
        <v>44005</v>
      </c>
      <c r="AX38" s="49">
        <f t="shared" si="338"/>
        <v>44006</v>
      </c>
      <c r="AY38" s="49">
        <f t="shared" ref="AY38:BW38" si="339">AY1</f>
        <v>44007</v>
      </c>
      <c r="AZ38" s="49">
        <f t="shared" si="339"/>
        <v>44008</v>
      </c>
      <c r="BA38" s="49">
        <f t="shared" si="339"/>
        <v>44009</v>
      </c>
      <c r="BB38" s="49">
        <f t="shared" si="339"/>
        <v>44010</v>
      </c>
      <c r="BC38" s="49">
        <f t="shared" si="339"/>
        <v>44011</v>
      </c>
      <c r="BD38" s="49">
        <f t="shared" si="339"/>
        <v>44012</v>
      </c>
      <c r="BE38" s="49">
        <f t="shared" si="339"/>
        <v>44013</v>
      </c>
      <c r="BF38" s="49">
        <f t="shared" si="339"/>
        <v>44014</v>
      </c>
      <c r="BG38" s="49">
        <f t="shared" si="339"/>
        <v>44015</v>
      </c>
      <c r="BH38" s="49">
        <f t="shared" si="339"/>
        <v>44016</v>
      </c>
      <c r="BI38" s="49">
        <f t="shared" si="339"/>
        <v>44017</v>
      </c>
      <c r="BJ38" s="49">
        <f t="shared" si="339"/>
        <v>44018</v>
      </c>
      <c r="BK38" s="49">
        <f t="shared" si="339"/>
        <v>44019</v>
      </c>
      <c r="BL38" s="49">
        <f t="shared" si="339"/>
        <v>44020</v>
      </c>
      <c r="BM38" s="49">
        <f t="shared" si="339"/>
        <v>44021</v>
      </c>
      <c r="BN38" s="49">
        <f t="shared" si="339"/>
        <v>44022</v>
      </c>
      <c r="BO38" s="49">
        <f t="shared" si="339"/>
        <v>44023</v>
      </c>
      <c r="BP38" s="49">
        <f t="shared" si="339"/>
        <v>44024</v>
      </c>
      <c r="BQ38" s="49">
        <f t="shared" si="339"/>
        <v>44025</v>
      </c>
      <c r="BR38" s="49">
        <f t="shared" si="339"/>
        <v>44026</v>
      </c>
      <c r="BS38" s="49">
        <f t="shared" si="339"/>
        <v>44027</v>
      </c>
      <c r="BT38" s="49">
        <f t="shared" si="339"/>
        <v>44028</v>
      </c>
      <c r="BU38" s="49">
        <f t="shared" si="339"/>
        <v>44029</v>
      </c>
      <c r="BV38" s="49">
        <f t="shared" si="339"/>
        <v>44030</v>
      </c>
      <c r="BW38" s="49">
        <f t="shared" si="339"/>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 t="shared" ref="DS38:DY38" si="340">DS1</f>
        <v>44067</v>
      </c>
      <c r="DT38" s="49">
        <f t="shared" si="340"/>
        <v>44068</v>
      </c>
      <c r="DU38" s="49">
        <f t="shared" si="340"/>
        <v>44069</v>
      </c>
      <c r="DV38" s="49">
        <f t="shared" si="340"/>
        <v>44070</v>
      </c>
      <c r="DW38" s="49">
        <f t="shared" si="340"/>
        <v>44071</v>
      </c>
      <c r="DX38" s="49">
        <f t="shared" si="340"/>
        <v>44072</v>
      </c>
      <c r="DY38" s="49">
        <f t="shared" si="340"/>
        <v>44073</v>
      </c>
      <c r="DZ38" s="49"/>
      <c r="EA38" s="49"/>
      <c r="EB38" s="49">
        <f t="shared" ref="EB38:EH38" si="341">EB1</f>
        <v>44074</v>
      </c>
      <c r="EC38" s="49">
        <f t="shared" si="341"/>
        <v>44075</v>
      </c>
      <c r="ED38" s="49">
        <f t="shared" si="341"/>
        <v>44076</v>
      </c>
      <c r="EE38" s="49">
        <f t="shared" si="341"/>
        <v>44077</v>
      </c>
      <c r="EF38" s="49">
        <f t="shared" si="341"/>
        <v>44078</v>
      </c>
      <c r="EG38" s="49">
        <f t="shared" si="341"/>
        <v>44079</v>
      </c>
      <c r="EH38" s="49">
        <f t="shared" si="341"/>
        <v>44080</v>
      </c>
      <c r="EI38" s="49"/>
      <c r="EJ38" s="49"/>
      <c r="EK38" s="49">
        <f t="shared" ref="EK38:EQ38" si="342">EK1</f>
        <v>44081</v>
      </c>
      <c r="EL38" s="49">
        <f t="shared" si="342"/>
        <v>44082</v>
      </c>
      <c r="EM38" s="49">
        <f t="shared" si="342"/>
        <v>44083</v>
      </c>
      <c r="EN38" s="49">
        <f t="shared" si="342"/>
        <v>44084</v>
      </c>
      <c r="EO38" s="49">
        <f t="shared" si="342"/>
        <v>44085</v>
      </c>
      <c r="EP38" s="49">
        <f t="shared" si="342"/>
        <v>44086</v>
      </c>
      <c r="EQ38" s="49">
        <f t="shared" si="342"/>
        <v>44087</v>
      </c>
      <c r="ER38" s="49"/>
      <c r="ES38" s="49"/>
      <c r="ET38" s="49">
        <f t="shared" ref="ET38:HE38" si="343">ET1</f>
        <v>44088</v>
      </c>
      <c r="EU38" s="49">
        <f t="shared" si="343"/>
        <v>44089</v>
      </c>
      <c r="EV38" s="49">
        <f t="shared" si="343"/>
        <v>44090</v>
      </c>
      <c r="EW38" s="49">
        <f t="shared" si="343"/>
        <v>44091</v>
      </c>
      <c r="EX38" s="49">
        <f t="shared" si="343"/>
        <v>44092</v>
      </c>
      <c r="EY38" s="49">
        <f t="shared" si="343"/>
        <v>44093</v>
      </c>
      <c r="EZ38" s="49">
        <f t="shared" si="343"/>
        <v>44094</v>
      </c>
      <c r="FA38" s="49">
        <f t="shared" si="343"/>
        <v>44095</v>
      </c>
      <c r="FB38" s="49">
        <f t="shared" si="343"/>
        <v>44096</v>
      </c>
      <c r="FC38" s="49">
        <f t="shared" si="343"/>
        <v>44097</v>
      </c>
      <c r="FD38" s="49">
        <f t="shared" si="343"/>
        <v>44098</v>
      </c>
      <c r="FE38" s="49">
        <f t="shared" si="343"/>
        <v>44099</v>
      </c>
      <c r="FF38" s="49">
        <f t="shared" si="343"/>
        <v>44100</v>
      </c>
      <c r="FG38" s="49">
        <f t="shared" si="343"/>
        <v>44101</v>
      </c>
      <c r="FH38" s="49">
        <f t="shared" si="343"/>
        <v>44102</v>
      </c>
      <c r="FI38" s="49">
        <f t="shared" si="343"/>
        <v>44103</v>
      </c>
      <c r="FJ38" s="49">
        <f t="shared" si="343"/>
        <v>44104</v>
      </c>
      <c r="FK38" s="49">
        <f t="shared" si="343"/>
        <v>44105</v>
      </c>
      <c r="FL38" s="49">
        <f t="shared" si="343"/>
        <v>44106</v>
      </c>
      <c r="FM38" s="49">
        <f t="shared" si="343"/>
        <v>44107</v>
      </c>
      <c r="FN38" s="49">
        <f t="shared" si="343"/>
        <v>44108</v>
      </c>
      <c r="FO38" s="49">
        <f t="shared" si="343"/>
        <v>44109</v>
      </c>
      <c r="FP38" s="49">
        <f t="shared" si="343"/>
        <v>44110</v>
      </c>
      <c r="FQ38" s="49">
        <f t="shared" si="343"/>
        <v>44111</v>
      </c>
      <c r="FR38" s="49">
        <f t="shared" si="343"/>
        <v>44112</v>
      </c>
      <c r="FS38" s="49">
        <f t="shared" si="343"/>
        <v>44113</v>
      </c>
      <c r="FT38" s="49">
        <f t="shared" si="343"/>
        <v>44114</v>
      </c>
      <c r="FU38" s="49">
        <f t="shared" si="343"/>
        <v>44115</v>
      </c>
      <c r="FV38" s="49">
        <f t="shared" si="343"/>
        <v>44116</v>
      </c>
      <c r="FW38" s="49">
        <f t="shared" si="343"/>
        <v>44117</v>
      </c>
      <c r="FX38" s="49">
        <f t="shared" si="343"/>
        <v>44118</v>
      </c>
      <c r="FY38" s="49">
        <f t="shared" si="343"/>
        <v>44119</v>
      </c>
      <c r="FZ38" s="49">
        <f t="shared" si="343"/>
        <v>44120</v>
      </c>
      <c r="GA38" s="49">
        <f t="shared" si="343"/>
        <v>44121</v>
      </c>
      <c r="GB38" s="49">
        <f t="shared" si="343"/>
        <v>44122</v>
      </c>
      <c r="GC38" s="49">
        <f t="shared" si="343"/>
        <v>44123</v>
      </c>
      <c r="GD38" s="49">
        <f t="shared" si="343"/>
        <v>44124</v>
      </c>
      <c r="GE38" s="49">
        <f t="shared" si="343"/>
        <v>44125</v>
      </c>
      <c r="GF38" s="49">
        <f t="shared" si="343"/>
        <v>44126</v>
      </c>
      <c r="GG38" s="49">
        <f t="shared" si="343"/>
        <v>44127</v>
      </c>
      <c r="GH38" s="49">
        <f t="shared" si="343"/>
        <v>44128</v>
      </c>
      <c r="GI38" s="49">
        <f t="shared" si="343"/>
        <v>44129</v>
      </c>
      <c r="GJ38" s="49">
        <f t="shared" si="343"/>
        <v>44130</v>
      </c>
      <c r="GK38" s="49">
        <f t="shared" si="343"/>
        <v>44131</v>
      </c>
      <c r="GL38" s="49">
        <f t="shared" si="343"/>
        <v>44132</v>
      </c>
      <c r="GM38" s="49">
        <f t="shared" si="343"/>
        <v>44133</v>
      </c>
      <c r="GN38" s="49">
        <f t="shared" si="343"/>
        <v>44134</v>
      </c>
      <c r="GO38" s="49">
        <f t="shared" si="343"/>
        <v>44135</v>
      </c>
      <c r="GP38" s="49">
        <f t="shared" si="343"/>
        <v>44136</v>
      </c>
      <c r="GQ38" s="49">
        <f t="shared" si="343"/>
        <v>44137</v>
      </c>
      <c r="GR38" s="49">
        <f t="shared" si="343"/>
        <v>44138</v>
      </c>
      <c r="GS38" s="49">
        <f t="shared" si="343"/>
        <v>44139</v>
      </c>
      <c r="GT38" s="49">
        <f t="shared" si="343"/>
        <v>44140</v>
      </c>
      <c r="GU38" s="49">
        <f t="shared" si="343"/>
        <v>44141</v>
      </c>
      <c r="GV38" s="49">
        <f t="shared" si="343"/>
        <v>44142</v>
      </c>
      <c r="GW38" s="49">
        <f t="shared" si="343"/>
        <v>44143</v>
      </c>
      <c r="GX38" s="49">
        <f t="shared" si="343"/>
        <v>44144</v>
      </c>
      <c r="GY38" s="49">
        <f t="shared" si="343"/>
        <v>44145</v>
      </c>
      <c r="GZ38" s="49">
        <f t="shared" si="343"/>
        <v>44146</v>
      </c>
      <c r="HA38" s="49">
        <f t="shared" si="343"/>
        <v>44147</v>
      </c>
      <c r="HB38" s="49">
        <f t="shared" si="343"/>
        <v>44148</v>
      </c>
      <c r="HC38" s="49">
        <f t="shared" si="343"/>
        <v>44149</v>
      </c>
      <c r="HD38" s="49">
        <f t="shared" si="343"/>
        <v>44150</v>
      </c>
      <c r="HE38" s="49">
        <f t="shared" si="343"/>
        <v>44151</v>
      </c>
      <c r="HF38" s="49">
        <f t="shared" ref="HF38:JQ38" si="344">HF1</f>
        <v>44152</v>
      </c>
      <c r="HG38" s="49">
        <f t="shared" si="344"/>
        <v>44153</v>
      </c>
      <c r="HH38" s="49">
        <f t="shared" si="344"/>
        <v>44154</v>
      </c>
      <c r="HI38" s="49">
        <f t="shared" si="344"/>
        <v>44155</v>
      </c>
      <c r="HJ38" s="49">
        <f t="shared" si="344"/>
        <v>44156</v>
      </c>
      <c r="HK38" s="49">
        <f t="shared" si="344"/>
        <v>44157</v>
      </c>
      <c r="HL38" s="49">
        <f t="shared" si="344"/>
        <v>44158</v>
      </c>
      <c r="HM38" s="49">
        <f t="shared" si="344"/>
        <v>44159</v>
      </c>
      <c r="HN38" s="49">
        <f t="shared" si="344"/>
        <v>44160</v>
      </c>
      <c r="HO38" s="49">
        <f t="shared" si="344"/>
        <v>44161</v>
      </c>
      <c r="HP38" s="49">
        <f t="shared" si="344"/>
        <v>44162</v>
      </c>
      <c r="HQ38" s="49">
        <f t="shared" si="344"/>
        <v>44163</v>
      </c>
      <c r="HR38" s="49">
        <f t="shared" si="344"/>
        <v>44164</v>
      </c>
      <c r="HS38" s="49">
        <f t="shared" si="344"/>
        <v>44165</v>
      </c>
      <c r="HT38" s="49">
        <f t="shared" si="344"/>
        <v>44166</v>
      </c>
      <c r="HU38" s="49">
        <f t="shared" si="344"/>
        <v>44167</v>
      </c>
      <c r="HV38" s="49">
        <f t="shared" si="344"/>
        <v>44168</v>
      </c>
      <c r="HW38" s="49">
        <f t="shared" si="344"/>
        <v>44169</v>
      </c>
      <c r="HX38" s="49">
        <f t="shared" si="344"/>
        <v>44170</v>
      </c>
      <c r="HY38" s="49">
        <f t="shared" si="344"/>
        <v>44171</v>
      </c>
      <c r="HZ38" s="49">
        <f t="shared" si="344"/>
        <v>44172</v>
      </c>
      <c r="IA38" s="49">
        <f t="shared" si="344"/>
        <v>44173</v>
      </c>
      <c r="IB38" s="49">
        <f t="shared" si="344"/>
        <v>44174</v>
      </c>
      <c r="IC38" s="49">
        <f t="shared" si="344"/>
        <v>44175</v>
      </c>
      <c r="ID38" s="49">
        <f t="shared" si="344"/>
        <v>44176</v>
      </c>
      <c r="IE38" s="49">
        <f t="shared" si="344"/>
        <v>44177</v>
      </c>
      <c r="IF38" s="49">
        <f t="shared" si="344"/>
        <v>44178</v>
      </c>
      <c r="IG38" s="49">
        <f t="shared" si="344"/>
        <v>44179</v>
      </c>
      <c r="IH38" s="49">
        <f t="shared" si="344"/>
        <v>44180</v>
      </c>
      <c r="II38" s="49">
        <f t="shared" si="344"/>
        <v>44181</v>
      </c>
      <c r="IJ38" s="49">
        <f t="shared" si="344"/>
        <v>44182</v>
      </c>
      <c r="IK38" s="49">
        <f t="shared" si="344"/>
        <v>44183</v>
      </c>
      <c r="IL38" s="49">
        <f t="shared" si="344"/>
        <v>44184</v>
      </c>
      <c r="IM38" s="49">
        <f t="shared" si="344"/>
        <v>44185</v>
      </c>
      <c r="IN38" s="49">
        <f t="shared" si="344"/>
        <v>44186</v>
      </c>
      <c r="IO38" s="49">
        <f t="shared" si="344"/>
        <v>44187</v>
      </c>
      <c r="IP38" s="49">
        <f t="shared" si="344"/>
        <v>44188</v>
      </c>
      <c r="IQ38" s="49">
        <f t="shared" si="344"/>
        <v>44189</v>
      </c>
      <c r="IR38" s="49">
        <f t="shared" si="344"/>
        <v>44190</v>
      </c>
      <c r="IS38" s="49">
        <f t="shared" si="344"/>
        <v>44191</v>
      </c>
      <c r="IT38" s="49">
        <f t="shared" si="344"/>
        <v>44192</v>
      </c>
      <c r="IU38" s="49">
        <f t="shared" si="344"/>
        <v>44193</v>
      </c>
      <c r="IV38" s="49">
        <f t="shared" si="344"/>
        <v>44194</v>
      </c>
      <c r="IW38" s="49">
        <f t="shared" si="344"/>
        <v>44195</v>
      </c>
      <c r="IX38" s="49">
        <f t="shared" si="344"/>
        <v>44196</v>
      </c>
      <c r="IY38" s="49">
        <f t="shared" si="344"/>
        <v>44197</v>
      </c>
      <c r="IZ38" s="49">
        <f t="shared" si="344"/>
        <v>44198</v>
      </c>
      <c r="JA38" s="49">
        <f t="shared" si="344"/>
        <v>44199</v>
      </c>
      <c r="JB38" s="49">
        <f t="shared" si="344"/>
        <v>44200</v>
      </c>
      <c r="JC38" s="49">
        <f t="shared" si="344"/>
        <v>44201</v>
      </c>
      <c r="JD38" s="49">
        <f t="shared" si="344"/>
        <v>44202</v>
      </c>
      <c r="JE38" s="49">
        <f t="shared" si="344"/>
        <v>44203</v>
      </c>
      <c r="JF38" s="49">
        <f t="shared" si="344"/>
        <v>44204</v>
      </c>
      <c r="JG38" s="49">
        <f t="shared" si="344"/>
        <v>44205</v>
      </c>
      <c r="JH38" s="49">
        <f t="shared" si="344"/>
        <v>44206</v>
      </c>
      <c r="JI38" s="49">
        <f t="shared" si="344"/>
        <v>44207</v>
      </c>
      <c r="JJ38" s="49">
        <f t="shared" si="344"/>
        <v>44208</v>
      </c>
      <c r="JK38" s="49">
        <f t="shared" si="344"/>
        <v>44209</v>
      </c>
      <c r="JL38" s="49">
        <f t="shared" si="344"/>
        <v>44210</v>
      </c>
      <c r="JM38" s="49">
        <f t="shared" si="344"/>
        <v>44211</v>
      </c>
      <c r="JN38" s="49">
        <f t="shared" si="344"/>
        <v>44212</v>
      </c>
      <c r="JO38" s="49">
        <f t="shared" si="344"/>
        <v>44213</v>
      </c>
      <c r="JP38" s="49">
        <f t="shared" si="344"/>
        <v>44214</v>
      </c>
      <c r="JQ38" s="49">
        <f t="shared" si="344"/>
        <v>44215</v>
      </c>
      <c r="JR38" s="49">
        <f t="shared" ref="JR38:MC38" si="345">JR1</f>
        <v>44216</v>
      </c>
      <c r="JS38" s="49">
        <f t="shared" si="345"/>
        <v>44217</v>
      </c>
      <c r="JT38" s="49">
        <f t="shared" si="345"/>
        <v>44218</v>
      </c>
      <c r="JU38" s="49">
        <f t="shared" si="345"/>
        <v>44219</v>
      </c>
      <c r="JV38" s="49">
        <f t="shared" si="345"/>
        <v>44220</v>
      </c>
      <c r="JW38" s="49">
        <f t="shared" si="345"/>
        <v>44221</v>
      </c>
      <c r="JX38" s="49">
        <f t="shared" si="345"/>
        <v>44222</v>
      </c>
      <c r="JY38" s="49">
        <f t="shared" si="345"/>
        <v>44223</v>
      </c>
      <c r="JZ38" s="49">
        <f t="shared" si="345"/>
        <v>44224</v>
      </c>
      <c r="KA38" s="49">
        <f t="shared" si="345"/>
        <v>44225</v>
      </c>
      <c r="KB38" s="49">
        <f t="shared" si="345"/>
        <v>44226</v>
      </c>
      <c r="KC38" s="49">
        <f t="shared" si="345"/>
        <v>44227</v>
      </c>
      <c r="KD38" s="49">
        <f t="shared" si="345"/>
        <v>44228</v>
      </c>
      <c r="KE38" s="49">
        <f t="shared" si="345"/>
        <v>44229</v>
      </c>
      <c r="KF38" s="49">
        <f t="shared" si="345"/>
        <v>44230</v>
      </c>
      <c r="KG38" s="49">
        <f t="shared" si="345"/>
        <v>44231</v>
      </c>
      <c r="KH38" s="49">
        <f t="shared" si="345"/>
        <v>44232</v>
      </c>
      <c r="KI38" s="49">
        <f t="shared" si="345"/>
        <v>44233</v>
      </c>
      <c r="KJ38" s="49">
        <f t="shared" si="345"/>
        <v>44234</v>
      </c>
      <c r="KK38" s="49">
        <f t="shared" si="345"/>
        <v>44235</v>
      </c>
      <c r="KL38" s="49">
        <f t="shared" si="345"/>
        <v>44236</v>
      </c>
      <c r="KM38" s="49">
        <f t="shared" si="345"/>
        <v>44237</v>
      </c>
      <c r="KN38" s="49">
        <f t="shared" si="345"/>
        <v>44238</v>
      </c>
      <c r="KO38" s="49">
        <f t="shared" si="345"/>
        <v>44239</v>
      </c>
      <c r="KP38" s="49">
        <f t="shared" si="345"/>
        <v>44240</v>
      </c>
      <c r="KQ38" s="49">
        <f t="shared" si="345"/>
        <v>44241</v>
      </c>
      <c r="KR38" s="49">
        <f t="shared" si="345"/>
        <v>44242</v>
      </c>
      <c r="KS38" s="49">
        <f t="shared" si="345"/>
        <v>44243</v>
      </c>
      <c r="KT38" s="49">
        <f t="shared" si="345"/>
        <v>44244</v>
      </c>
      <c r="KU38" s="49">
        <f t="shared" si="345"/>
        <v>44245</v>
      </c>
      <c r="KV38" s="49">
        <f t="shared" si="345"/>
        <v>44246</v>
      </c>
      <c r="KW38" s="49">
        <f t="shared" si="345"/>
        <v>44247</v>
      </c>
      <c r="KX38" s="49">
        <f t="shared" si="345"/>
        <v>44248</v>
      </c>
      <c r="KY38" s="49">
        <f t="shared" si="345"/>
        <v>44249</v>
      </c>
      <c r="KZ38" s="49">
        <f t="shared" si="345"/>
        <v>44250</v>
      </c>
      <c r="LA38" s="49">
        <f t="shared" si="345"/>
        <v>44251</v>
      </c>
      <c r="LB38" s="49">
        <f t="shared" si="345"/>
        <v>44252</v>
      </c>
      <c r="LC38" s="49">
        <f t="shared" si="345"/>
        <v>44253</v>
      </c>
      <c r="LD38" s="49">
        <f t="shared" si="345"/>
        <v>44254</v>
      </c>
      <c r="LE38" s="49">
        <f t="shared" si="345"/>
        <v>44255</v>
      </c>
      <c r="LF38" s="49">
        <f t="shared" si="345"/>
        <v>44256</v>
      </c>
      <c r="LG38" s="49">
        <f t="shared" si="345"/>
        <v>44257</v>
      </c>
      <c r="LH38" s="49">
        <f t="shared" si="345"/>
        <v>44258</v>
      </c>
      <c r="LI38" s="49">
        <f t="shared" si="345"/>
        <v>44259</v>
      </c>
      <c r="LJ38" s="49">
        <f t="shared" si="345"/>
        <v>44260</v>
      </c>
      <c r="LK38" s="49">
        <f t="shared" si="345"/>
        <v>44261</v>
      </c>
      <c r="LL38" s="49">
        <f t="shared" si="345"/>
        <v>44262</v>
      </c>
      <c r="LM38" s="49">
        <f t="shared" si="345"/>
        <v>44263</v>
      </c>
      <c r="LN38" s="49">
        <f t="shared" si="345"/>
        <v>44264</v>
      </c>
      <c r="LO38" s="49">
        <f t="shared" si="345"/>
        <v>44265</v>
      </c>
      <c r="LP38" s="49">
        <f t="shared" si="345"/>
        <v>44266</v>
      </c>
      <c r="LQ38" s="49">
        <f t="shared" si="345"/>
        <v>44267</v>
      </c>
      <c r="LR38" s="49">
        <f t="shared" si="345"/>
        <v>44268</v>
      </c>
      <c r="LS38" s="49">
        <f t="shared" si="345"/>
        <v>44269</v>
      </c>
      <c r="LT38" s="49">
        <f t="shared" si="345"/>
        <v>44270</v>
      </c>
      <c r="LU38" s="49">
        <f t="shared" si="345"/>
        <v>44271</v>
      </c>
      <c r="LV38" s="49">
        <f t="shared" si="345"/>
        <v>44272</v>
      </c>
      <c r="LW38" s="49">
        <f t="shared" si="345"/>
        <v>44273</v>
      </c>
      <c r="LX38" s="49">
        <f t="shared" si="345"/>
        <v>44274</v>
      </c>
      <c r="LY38" s="49">
        <f t="shared" si="345"/>
        <v>44275</v>
      </c>
      <c r="LZ38" s="49">
        <f t="shared" si="345"/>
        <v>44276</v>
      </c>
      <c r="MA38" s="49">
        <f t="shared" si="345"/>
        <v>44277</v>
      </c>
      <c r="MB38" s="49">
        <f t="shared" si="345"/>
        <v>44278</v>
      </c>
      <c r="MC38" s="49">
        <f t="shared" si="345"/>
        <v>44279</v>
      </c>
      <c r="MD38" s="49">
        <f t="shared" ref="MD38:MN38" si="346">MD1</f>
        <v>44280</v>
      </c>
      <c r="ME38" s="49">
        <f t="shared" si="346"/>
        <v>44281</v>
      </c>
      <c r="MF38" s="49">
        <f t="shared" si="346"/>
        <v>44282</v>
      </c>
      <c r="MG38" s="49">
        <f t="shared" si="346"/>
        <v>44283</v>
      </c>
      <c r="MH38" s="49">
        <f t="shared" si="346"/>
        <v>44284</v>
      </c>
      <c r="MI38" s="49">
        <f t="shared" si="346"/>
        <v>44285</v>
      </c>
      <c r="MJ38" s="49">
        <f t="shared" si="346"/>
        <v>44286</v>
      </c>
      <c r="MK38" s="49">
        <f t="shared" si="346"/>
        <v>44287</v>
      </c>
      <c r="ML38" s="49">
        <f t="shared" si="346"/>
        <v>44288</v>
      </c>
      <c r="MM38" s="49">
        <f t="shared" si="346"/>
        <v>44289</v>
      </c>
      <c r="MN38" s="49">
        <f t="shared" si="346"/>
        <v>44290</v>
      </c>
    </row>
    <row r="39" spans="1:352" ht="15" customHeight="1" x14ac:dyDescent="0.25">
      <c r="A39" s="146" t="s">
        <v>144</v>
      </c>
      <c r="B39" s="146"/>
      <c r="C39" s="146"/>
      <c r="D39" s="146"/>
      <c r="E39" s="147"/>
      <c r="F39" s="36"/>
      <c r="G39" s="36"/>
      <c r="H39" s="36"/>
      <c r="I39" s="36"/>
      <c r="J39" s="36"/>
      <c r="K39" s="36"/>
      <c r="L39" s="36"/>
      <c r="M39" s="36"/>
      <c r="N39" s="36"/>
      <c r="O39" s="35"/>
      <c r="P39" s="157" t="s">
        <v>49</v>
      </c>
      <c r="Q39" s="157" t="s">
        <v>48</v>
      </c>
      <c r="R39" s="158"/>
      <c r="S39" s="54">
        <f>S38</f>
        <v>43975</v>
      </c>
      <c r="T39" s="55">
        <f t="shared" ref="T39:BV39" si="347">T38</f>
        <v>43976</v>
      </c>
      <c r="U39" s="54">
        <f t="shared" si="347"/>
        <v>43977</v>
      </c>
      <c r="V39" s="54">
        <f t="shared" si="347"/>
        <v>43978</v>
      </c>
      <c r="W39" s="54">
        <f t="shared" si="347"/>
        <v>43979</v>
      </c>
      <c r="X39" s="54">
        <f t="shared" si="347"/>
        <v>43980</v>
      </c>
      <c r="Y39" s="54">
        <f t="shared" si="347"/>
        <v>43981</v>
      </c>
      <c r="Z39" s="53">
        <f t="shared" si="347"/>
        <v>43982</v>
      </c>
      <c r="AA39" s="54">
        <f t="shared" si="347"/>
        <v>43983</v>
      </c>
      <c r="AB39" s="54">
        <f t="shared" si="347"/>
        <v>43984</v>
      </c>
      <c r="AC39" s="54">
        <f t="shared" si="347"/>
        <v>43985</v>
      </c>
      <c r="AD39" s="54">
        <f t="shared" si="347"/>
        <v>43986</v>
      </c>
      <c r="AE39" s="54">
        <f t="shared" si="347"/>
        <v>43987</v>
      </c>
      <c r="AF39" s="54">
        <f t="shared" si="347"/>
        <v>43988</v>
      </c>
      <c r="AG39" s="53">
        <f t="shared" si="347"/>
        <v>43989</v>
      </c>
      <c r="AH39" s="54">
        <f t="shared" si="347"/>
        <v>43990</v>
      </c>
      <c r="AI39" s="54">
        <f t="shared" si="347"/>
        <v>43991</v>
      </c>
      <c r="AJ39" s="54">
        <f t="shared" si="347"/>
        <v>43992</v>
      </c>
      <c r="AK39" s="54">
        <f t="shared" si="347"/>
        <v>43993</v>
      </c>
      <c r="AL39" s="54">
        <f t="shared" si="347"/>
        <v>43994</v>
      </c>
      <c r="AM39" s="54">
        <f t="shared" si="347"/>
        <v>43995</v>
      </c>
      <c r="AN39" s="53">
        <f t="shared" si="347"/>
        <v>43996</v>
      </c>
      <c r="AO39" s="54">
        <f t="shared" si="347"/>
        <v>43997</v>
      </c>
      <c r="AP39" s="54">
        <f t="shared" si="347"/>
        <v>43998</v>
      </c>
      <c r="AQ39" s="54">
        <f t="shared" si="347"/>
        <v>43999</v>
      </c>
      <c r="AR39" s="54">
        <f t="shared" si="347"/>
        <v>44000</v>
      </c>
      <c r="AS39" s="54">
        <f t="shared" si="347"/>
        <v>44001</v>
      </c>
      <c r="AT39" s="54">
        <f t="shared" si="347"/>
        <v>44002</v>
      </c>
      <c r="AU39" s="53">
        <f t="shared" si="347"/>
        <v>44003</v>
      </c>
      <c r="AV39" s="54">
        <f t="shared" si="347"/>
        <v>44004</v>
      </c>
      <c r="AW39" s="54">
        <f t="shared" si="347"/>
        <v>44005</v>
      </c>
      <c r="AX39" s="54">
        <f t="shared" si="347"/>
        <v>44006</v>
      </c>
      <c r="AY39" s="54">
        <f t="shared" si="347"/>
        <v>44007</v>
      </c>
      <c r="AZ39" s="54">
        <f t="shared" si="347"/>
        <v>44008</v>
      </c>
      <c r="BA39" s="54">
        <f t="shared" si="347"/>
        <v>44009</v>
      </c>
      <c r="BB39" s="53">
        <f t="shared" si="347"/>
        <v>44010</v>
      </c>
      <c r="BC39" s="54">
        <f t="shared" si="347"/>
        <v>44011</v>
      </c>
      <c r="BD39" s="54">
        <f t="shared" si="347"/>
        <v>44012</v>
      </c>
      <c r="BE39" s="54">
        <f t="shared" si="347"/>
        <v>44013</v>
      </c>
      <c r="BF39" s="54">
        <f t="shared" si="347"/>
        <v>44014</v>
      </c>
      <c r="BG39" s="54">
        <f t="shared" si="347"/>
        <v>44015</v>
      </c>
      <c r="BH39" s="54">
        <f t="shared" si="347"/>
        <v>44016</v>
      </c>
      <c r="BI39" s="53">
        <f t="shared" si="347"/>
        <v>44017</v>
      </c>
      <c r="BJ39" s="54">
        <f t="shared" si="347"/>
        <v>44018</v>
      </c>
      <c r="BK39" s="54">
        <f t="shared" si="347"/>
        <v>44019</v>
      </c>
      <c r="BL39" s="54">
        <f t="shared" si="347"/>
        <v>44020</v>
      </c>
      <c r="BM39" s="54">
        <f t="shared" si="347"/>
        <v>44021</v>
      </c>
      <c r="BN39" s="54">
        <f t="shared" si="347"/>
        <v>44022</v>
      </c>
      <c r="BO39" s="54">
        <f t="shared" si="347"/>
        <v>44023</v>
      </c>
      <c r="BP39" s="53">
        <v>12</v>
      </c>
      <c r="BQ39" s="54">
        <f t="shared" si="347"/>
        <v>44025</v>
      </c>
      <c r="BR39" s="54">
        <f t="shared" si="347"/>
        <v>44026</v>
      </c>
      <c r="BS39" s="54">
        <f t="shared" si="347"/>
        <v>44027</v>
      </c>
      <c r="BT39" s="54">
        <f t="shared" si="347"/>
        <v>44028</v>
      </c>
      <c r="BU39" s="54">
        <f t="shared" si="347"/>
        <v>44029</v>
      </c>
      <c r="BV39" s="54">
        <f t="shared" si="347"/>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H39" si="348">DS38</f>
        <v>44067</v>
      </c>
      <c r="DT39" s="54">
        <f t="shared" si="348"/>
        <v>44068</v>
      </c>
      <c r="DU39" s="54">
        <f t="shared" si="348"/>
        <v>44069</v>
      </c>
      <c r="DV39" s="54">
        <f t="shared" si="348"/>
        <v>44070</v>
      </c>
      <c r="DW39" s="54">
        <f t="shared" si="348"/>
        <v>44071</v>
      </c>
      <c r="DX39" s="54">
        <f t="shared" ref="DX39:DY39" si="349">DX38</f>
        <v>44072</v>
      </c>
      <c r="DY39" s="54">
        <f t="shared" si="349"/>
        <v>44073</v>
      </c>
      <c r="DZ39" s="54"/>
      <c r="EA39" s="53"/>
      <c r="EB39" s="54">
        <f t="shared" si="348"/>
        <v>44074</v>
      </c>
      <c r="EC39" s="54">
        <f t="shared" si="348"/>
        <v>44075</v>
      </c>
      <c r="ED39" s="54">
        <f t="shared" si="348"/>
        <v>44076</v>
      </c>
      <c r="EE39" s="54">
        <f t="shared" si="348"/>
        <v>44077</v>
      </c>
      <c r="EF39" s="54">
        <f t="shared" si="348"/>
        <v>44078</v>
      </c>
      <c r="EG39" s="54">
        <f t="shared" si="348"/>
        <v>44079</v>
      </c>
      <c r="EH39" s="54">
        <f t="shared" si="348"/>
        <v>44080</v>
      </c>
      <c r="EI39" s="54"/>
      <c r="EJ39" s="53"/>
      <c r="EK39" s="54">
        <f t="shared" si="348"/>
        <v>44081</v>
      </c>
      <c r="EL39" s="54">
        <f t="shared" si="348"/>
        <v>44082</v>
      </c>
      <c r="EM39" s="54">
        <f t="shared" si="348"/>
        <v>44083</v>
      </c>
      <c r="EN39" s="54">
        <f t="shared" si="348"/>
        <v>44084</v>
      </c>
      <c r="EO39" s="54">
        <f t="shared" si="348"/>
        <v>44085</v>
      </c>
      <c r="EP39" s="54">
        <f t="shared" si="348"/>
        <v>44086</v>
      </c>
      <c r="EQ39" s="54">
        <f t="shared" si="348"/>
        <v>44087</v>
      </c>
      <c r="ER39" s="54"/>
      <c r="ES39" s="53"/>
      <c r="ET39" s="54">
        <f t="shared" si="348"/>
        <v>44088</v>
      </c>
      <c r="EU39" s="54">
        <f t="shared" si="348"/>
        <v>44089</v>
      </c>
      <c r="EV39" s="54">
        <f t="shared" si="348"/>
        <v>44090</v>
      </c>
      <c r="EW39" s="54">
        <f t="shared" si="348"/>
        <v>44091</v>
      </c>
      <c r="EX39" s="54">
        <f t="shared" si="348"/>
        <v>44092</v>
      </c>
      <c r="EY39" s="54">
        <f t="shared" si="348"/>
        <v>44093</v>
      </c>
      <c r="EZ39" s="53">
        <f t="shared" si="348"/>
        <v>44094</v>
      </c>
      <c r="FA39" s="54">
        <f t="shared" si="348"/>
        <v>44095</v>
      </c>
      <c r="FB39" s="54">
        <f t="shared" si="348"/>
        <v>44096</v>
      </c>
      <c r="FC39" s="54">
        <f t="shared" si="348"/>
        <v>44097</v>
      </c>
      <c r="FD39" s="54">
        <f t="shared" si="348"/>
        <v>44098</v>
      </c>
      <c r="FE39" s="54">
        <f t="shared" si="348"/>
        <v>44099</v>
      </c>
      <c r="FF39" s="54">
        <f t="shared" si="348"/>
        <v>44100</v>
      </c>
      <c r="FG39" s="53">
        <f t="shared" si="348"/>
        <v>44101</v>
      </c>
      <c r="FH39" s="54">
        <f t="shared" si="348"/>
        <v>44102</v>
      </c>
      <c r="FI39" s="54">
        <f t="shared" ref="FI39:HT39" si="350">FI38</f>
        <v>44103</v>
      </c>
      <c r="FJ39" s="54">
        <f t="shared" si="350"/>
        <v>44104</v>
      </c>
      <c r="FK39" s="54">
        <f t="shared" si="350"/>
        <v>44105</v>
      </c>
      <c r="FL39" s="54">
        <f t="shared" si="350"/>
        <v>44106</v>
      </c>
      <c r="FM39" s="54">
        <f t="shared" si="350"/>
        <v>44107</v>
      </c>
      <c r="FN39" s="53">
        <f t="shared" si="350"/>
        <v>44108</v>
      </c>
      <c r="FO39" s="54">
        <f t="shared" si="350"/>
        <v>44109</v>
      </c>
      <c r="FP39" s="54">
        <f t="shared" si="350"/>
        <v>44110</v>
      </c>
      <c r="FQ39" s="54">
        <f t="shared" si="350"/>
        <v>44111</v>
      </c>
      <c r="FR39" s="54">
        <f t="shared" si="350"/>
        <v>44112</v>
      </c>
      <c r="FS39" s="54">
        <f t="shared" si="350"/>
        <v>44113</v>
      </c>
      <c r="FT39" s="54">
        <f t="shared" si="350"/>
        <v>44114</v>
      </c>
      <c r="FU39" s="53">
        <f t="shared" si="350"/>
        <v>44115</v>
      </c>
      <c r="FV39" s="54">
        <f t="shared" si="350"/>
        <v>44116</v>
      </c>
      <c r="FW39" s="54">
        <f t="shared" si="350"/>
        <v>44117</v>
      </c>
      <c r="FX39" s="54">
        <f t="shared" si="350"/>
        <v>44118</v>
      </c>
      <c r="FY39" s="54">
        <f t="shared" si="350"/>
        <v>44119</v>
      </c>
      <c r="FZ39" s="54">
        <f t="shared" si="350"/>
        <v>44120</v>
      </c>
      <c r="GA39" s="54">
        <f t="shared" si="350"/>
        <v>44121</v>
      </c>
      <c r="GB39" s="53">
        <f t="shared" si="350"/>
        <v>44122</v>
      </c>
      <c r="GC39" s="54">
        <f t="shared" si="350"/>
        <v>44123</v>
      </c>
      <c r="GD39" s="54">
        <f t="shared" si="350"/>
        <v>44124</v>
      </c>
      <c r="GE39" s="54">
        <f t="shared" si="350"/>
        <v>44125</v>
      </c>
      <c r="GF39" s="54">
        <f t="shared" si="350"/>
        <v>44126</v>
      </c>
      <c r="GG39" s="54">
        <f t="shared" si="350"/>
        <v>44127</v>
      </c>
      <c r="GH39" s="54">
        <f t="shared" si="350"/>
        <v>44128</v>
      </c>
      <c r="GI39" s="53">
        <f t="shared" si="350"/>
        <v>44129</v>
      </c>
      <c r="GJ39" s="54">
        <f t="shared" si="350"/>
        <v>44130</v>
      </c>
      <c r="GK39" s="54">
        <f t="shared" si="350"/>
        <v>44131</v>
      </c>
      <c r="GL39" s="54">
        <f t="shared" si="350"/>
        <v>44132</v>
      </c>
      <c r="GM39" s="54">
        <f t="shared" si="350"/>
        <v>44133</v>
      </c>
      <c r="GN39" s="54">
        <f t="shared" si="350"/>
        <v>44134</v>
      </c>
      <c r="GO39" s="54">
        <f t="shared" si="350"/>
        <v>44135</v>
      </c>
      <c r="GP39" s="53">
        <f t="shared" si="350"/>
        <v>44136</v>
      </c>
      <c r="GQ39" s="54">
        <f t="shared" si="350"/>
        <v>44137</v>
      </c>
      <c r="GR39" s="54">
        <f t="shared" si="350"/>
        <v>44138</v>
      </c>
      <c r="GS39" s="54">
        <f t="shared" si="350"/>
        <v>44139</v>
      </c>
      <c r="GT39" s="54">
        <f t="shared" si="350"/>
        <v>44140</v>
      </c>
      <c r="GU39" s="54">
        <f t="shared" si="350"/>
        <v>44141</v>
      </c>
      <c r="GV39" s="54">
        <f t="shared" si="350"/>
        <v>44142</v>
      </c>
      <c r="GW39" s="53">
        <f t="shared" si="350"/>
        <v>44143</v>
      </c>
      <c r="GX39" s="54">
        <f t="shared" si="350"/>
        <v>44144</v>
      </c>
      <c r="GY39" s="54">
        <f t="shared" si="350"/>
        <v>44145</v>
      </c>
      <c r="GZ39" s="54">
        <f t="shared" si="350"/>
        <v>44146</v>
      </c>
      <c r="HA39" s="54">
        <f t="shared" si="350"/>
        <v>44147</v>
      </c>
      <c r="HB39" s="54">
        <f t="shared" si="350"/>
        <v>44148</v>
      </c>
      <c r="HC39" s="54">
        <f t="shared" si="350"/>
        <v>44149</v>
      </c>
      <c r="HD39" s="53">
        <f t="shared" si="350"/>
        <v>44150</v>
      </c>
      <c r="HE39" s="54">
        <f t="shared" si="350"/>
        <v>44151</v>
      </c>
      <c r="HF39" s="54">
        <f t="shared" si="350"/>
        <v>44152</v>
      </c>
      <c r="HG39" s="54">
        <f t="shared" si="350"/>
        <v>44153</v>
      </c>
      <c r="HH39" s="54">
        <f t="shared" si="350"/>
        <v>44154</v>
      </c>
      <c r="HI39" s="54">
        <f t="shared" si="350"/>
        <v>44155</v>
      </c>
      <c r="HJ39" s="54">
        <f t="shared" si="350"/>
        <v>44156</v>
      </c>
      <c r="HK39" s="53">
        <f t="shared" si="350"/>
        <v>44157</v>
      </c>
      <c r="HL39" s="54">
        <f t="shared" si="350"/>
        <v>44158</v>
      </c>
      <c r="HM39" s="54">
        <f t="shared" si="350"/>
        <v>44159</v>
      </c>
      <c r="HN39" s="54">
        <f t="shared" si="350"/>
        <v>44160</v>
      </c>
      <c r="HO39" s="54">
        <f t="shared" si="350"/>
        <v>44161</v>
      </c>
      <c r="HP39" s="54">
        <f t="shared" si="350"/>
        <v>44162</v>
      </c>
      <c r="HQ39" s="54">
        <f t="shared" si="350"/>
        <v>44163</v>
      </c>
      <c r="HR39" s="53">
        <f t="shared" si="350"/>
        <v>44164</v>
      </c>
      <c r="HS39" s="54">
        <f t="shared" si="350"/>
        <v>44165</v>
      </c>
      <c r="HT39" s="54">
        <f t="shared" si="350"/>
        <v>44166</v>
      </c>
      <c r="HU39" s="54">
        <f t="shared" ref="HU39:KF39" si="351">HU38</f>
        <v>44167</v>
      </c>
      <c r="HV39" s="54">
        <f t="shared" si="351"/>
        <v>44168</v>
      </c>
      <c r="HW39" s="54">
        <f t="shared" si="351"/>
        <v>44169</v>
      </c>
      <c r="HX39" s="54">
        <f t="shared" si="351"/>
        <v>44170</v>
      </c>
      <c r="HY39" s="53">
        <f t="shared" si="351"/>
        <v>44171</v>
      </c>
      <c r="HZ39" s="54">
        <f t="shared" si="351"/>
        <v>44172</v>
      </c>
      <c r="IA39" s="54">
        <f t="shared" si="351"/>
        <v>44173</v>
      </c>
      <c r="IB39" s="54">
        <f t="shared" si="351"/>
        <v>44174</v>
      </c>
      <c r="IC39" s="54">
        <f t="shared" si="351"/>
        <v>44175</v>
      </c>
      <c r="ID39" s="54">
        <f t="shared" si="351"/>
        <v>44176</v>
      </c>
      <c r="IE39" s="54">
        <f t="shared" si="351"/>
        <v>44177</v>
      </c>
      <c r="IF39" s="53">
        <f t="shared" si="351"/>
        <v>44178</v>
      </c>
      <c r="IG39" s="54">
        <f t="shared" si="351"/>
        <v>44179</v>
      </c>
      <c r="IH39" s="54">
        <f t="shared" si="351"/>
        <v>44180</v>
      </c>
      <c r="II39" s="54">
        <f t="shared" si="351"/>
        <v>44181</v>
      </c>
      <c r="IJ39" s="54">
        <f t="shared" si="351"/>
        <v>44182</v>
      </c>
      <c r="IK39" s="54">
        <f t="shared" si="351"/>
        <v>44183</v>
      </c>
      <c r="IL39" s="54">
        <f t="shared" si="351"/>
        <v>44184</v>
      </c>
      <c r="IM39" s="53">
        <f t="shared" si="351"/>
        <v>44185</v>
      </c>
      <c r="IN39" s="54">
        <f t="shared" si="351"/>
        <v>44186</v>
      </c>
      <c r="IO39" s="54">
        <f t="shared" si="351"/>
        <v>44187</v>
      </c>
      <c r="IP39" s="54">
        <f t="shared" si="351"/>
        <v>44188</v>
      </c>
      <c r="IQ39" s="54">
        <f t="shared" si="351"/>
        <v>44189</v>
      </c>
      <c r="IR39" s="54">
        <f t="shared" si="351"/>
        <v>44190</v>
      </c>
      <c r="IS39" s="54">
        <f t="shared" si="351"/>
        <v>44191</v>
      </c>
      <c r="IT39" s="53">
        <f t="shared" si="351"/>
        <v>44192</v>
      </c>
      <c r="IU39" s="54">
        <f t="shared" si="351"/>
        <v>44193</v>
      </c>
      <c r="IV39" s="54">
        <f t="shared" si="351"/>
        <v>44194</v>
      </c>
      <c r="IW39" s="54">
        <f t="shared" si="351"/>
        <v>44195</v>
      </c>
      <c r="IX39" s="54">
        <f t="shared" si="351"/>
        <v>44196</v>
      </c>
      <c r="IY39" s="54">
        <f t="shared" si="351"/>
        <v>44197</v>
      </c>
      <c r="IZ39" s="54">
        <f t="shared" si="351"/>
        <v>44198</v>
      </c>
      <c r="JA39" s="53">
        <f t="shared" si="351"/>
        <v>44199</v>
      </c>
      <c r="JB39" s="54">
        <f t="shared" si="351"/>
        <v>44200</v>
      </c>
      <c r="JC39" s="54">
        <f t="shared" si="351"/>
        <v>44201</v>
      </c>
      <c r="JD39" s="54">
        <f t="shared" si="351"/>
        <v>44202</v>
      </c>
      <c r="JE39" s="54">
        <f t="shared" si="351"/>
        <v>44203</v>
      </c>
      <c r="JF39" s="54">
        <f t="shared" si="351"/>
        <v>44204</v>
      </c>
      <c r="JG39" s="54">
        <f t="shared" si="351"/>
        <v>44205</v>
      </c>
      <c r="JH39" s="53">
        <f t="shared" si="351"/>
        <v>44206</v>
      </c>
      <c r="JI39" s="54">
        <f t="shared" si="351"/>
        <v>44207</v>
      </c>
      <c r="JJ39" s="54">
        <f t="shared" si="351"/>
        <v>44208</v>
      </c>
      <c r="JK39" s="54">
        <f t="shared" si="351"/>
        <v>44209</v>
      </c>
      <c r="JL39" s="54">
        <f t="shared" si="351"/>
        <v>44210</v>
      </c>
      <c r="JM39" s="54">
        <f t="shared" si="351"/>
        <v>44211</v>
      </c>
      <c r="JN39" s="54">
        <f t="shared" si="351"/>
        <v>44212</v>
      </c>
      <c r="JO39" s="53">
        <f t="shared" si="351"/>
        <v>44213</v>
      </c>
      <c r="JP39" s="54">
        <f t="shared" si="351"/>
        <v>44214</v>
      </c>
      <c r="JQ39" s="54">
        <f t="shared" si="351"/>
        <v>44215</v>
      </c>
      <c r="JR39" s="54">
        <f t="shared" si="351"/>
        <v>44216</v>
      </c>
      <c r="JS39" s="54">
        <f t="shared" si="351"/>
        <v>44217</v>
      </c>
      <c r="JT39" s="54">
        <f t="shared" si="351"/>
        <v>44218</v>
      </c>
      <c r="JU39" s="54">
        <f t="shared" si="351"/>
        <v>44219</v>
      </c>
      <c r="JV39" s="53">
        <f t="shared" si="351"/>
        <v>44220</v>
      </c>
      <c r="JW39" s="54">
        <f t="shared" si="351"/>
        <v>44221</v>
      </c>
      <c r="JX39" s="54">
        <f t="shared" si="351"/>
        <v>44222</v>
      </c>
      <c r="JY39" s="54">
        <f t="shared" si="351"/>
        <v>44223</v>
      </c>
      <c r="JZ39" s="54">
        <f t="shared" si="351"/>
        <v>44224</v>
      </c>
      <c r="KA39" s="54">
        <f t="shared" si="351"/>
        <v>44225</v>
      </c>
      <c r="KB39" s="54">
        <f t="shared" si="351"/>
        <v>44226</v>
      </c>
      <c r="KC39" s="53">
        <f t="shared" si="351"/>
        <v>44227</v>
      </c>
      <c r="KD39" s="54">
        <f t="shared" si="351"/>
        <v>44228</v>
      </c>
      <c r="KE39" s="54">
        <f t="shared" si="351"/>
        <v>44229</v>
      </c>
      <c r="KF39" s="54">
        <f t="shared" si="351"/>
        <v>44230</v>
      </c>
      <c r="KG39" s="54">
        <f t="shared" ref="KG39:MN39" si="352">KG38</f>
        <v>44231</v>
      </c>
      <c r="KH39" s="54">
        <f t="shared" si="352"/>
        <v>44232</v>
      </c>
      <c r="KI39" s="54">
        <f t="shared" si="352"/>
        <v>44233</v>
      </c>
      <c r="KJ39" s="53">
        <f t="shared" si="352"/>
        <v>44234</v>
      </c>
      <c r="KK39" s="54">
        <f t="shared" si="352"/>
        <v>44235</v>
      </c>
      <c r="KL39" s="54">
        <f t="shared" si="352"/>
        <v>44236</v>
      </c>
      <c r="KM39" s="54">
        <f t="shared" si="352"/>
        <v>44237</v>
      </c>
      <c r="KN39" s="54">
        <f t="shared" si="352"/>
        <v>44238</v>
      </c>
      <c r="KO39" s="54">
        <f t="shared" si="352"/>
        <v>44239</v>
      </c>
      <c r="KP39" s="54">
        <f t="shared" si="352"/>
        <v>44240</v>
      </c>
      <c r="KQ39" s="53">
        <f t="shared" si="352"/>
        <v>44241</v>
      </c>
      <c r="KR39" s="54">
        <f t="shared" si="352"/>
        <v>44242</v>
      </c>
      <c r="KS39" s="54">
        <f t="shared" si="352"/>
        <v>44243</v>
      </c>
      <c r="KT39" s="54">
        <f t="shared" si="352"/>
        <v>44244</v>
      </c>
      <c r="KU39" s="54">
        <f t="shared" si="352"/>
        <v>44245</v>
      </c>
      <c r="KV39" s="54">
        <f t="shared" si="352"/>
        <v>44246</v>
      </c>
      <c r="KW39" s="54">
        <f t="shared" si="352"/>
        <v>44247</v>
      </c>
      <c r="KX39" s="53">
        <f t="shared" si="352"/>
        <v>44248</v>
      </c>
      <c r="KY39" s="54">
        <f t="shared" si="352"/>
        <v>44249</v>
      </c>
      <c r="KZ39" s="54">
        <f t="shared" si="352"/>
        <v>44250</v>
      </c>
      <c r="LA39" s="54">
        <f t="shared" si="352"/>
        <v>44251</v>
      </c>
      <c r="LB39" s="54">
        <f t="shared" si="352"/>
        <v>44252</v>
      </c>
      <c r="LC39" s="54">
        <f t="shared" si="352"/>
        <v>44253</v>
      </c>
      <c r="LD39" s="54">
        <f t="shared" si="352"/>
        <v>44254</v>
      </c>
      <c r="LE39" s="53">
        <f t="shared" si="352"/>
        <v>44255</v>
      </c>
      <c r="LF39" s="54">
        <f t="shared" si="352"/>
        <v>44256</v>
      </c>
      <c r="LG39" s="54">
        <f t="shared" si="352"/>
        <v>44257</v>
      </c>
      <c r="LH39" s="54">
        <f t="shared" si="352"/>
        <v>44258</v>
      </c>
      <c r="LI39" s="54">
        <f t="shared" si="352"/>
        <v>44259</v>
      </c>
      <c r="LJ39" s="54">
        <f t="shared" si="352"/>
        <v>44260</v>
      </c>
      <c r="LK39" s="54">
        <f t="shared" si="352"/>
        <v>44261</v>
      </c>
      <c r="LL39" s="53">
        <f t="shared" si="352"/>
        <v>44262</v>
      </c>
      <c r="LM39" s="54">
        <f t="shared" si="352"/>
        <v>44263</v>
      </c>
      <c r="LN39" s="54">
        <f t="shared" si="352"/>
        <v>44264</v>
      </c>
      <c r="LO39" s="54">
        <f t="shared" si="352"/>
        <v>44265</v>
      </c>
      <c r="LP39" s="54">
        <f t="shared" si="352"/>
        <v>44266</v>
      </c>
      <c r="LQ39" s="54">
        <f t="shared" si="352"/>
        <v>44267</v>
      </c>
      <c r="LR39" s="54">
        <f t="shared" si="352"/>
        <v>44268</v>
      </c>
      <c r="LS39" s="53">
        <f t="shared" si="352"/>
        <v>44269</v>
      </c>
      <c r="LT39" s="54">
        <f t="shared" si="352"/>
        <v>44270</v>
      </c>
      <c r="LU39" s="54">
        <f t="shared" si="352"/>
        <v>44271</v>
      </c>
      <c r="LV39" s="54">
        <f t="shared" si="352"/>
        <v>44272</v>
      </c>
      <c r="LW39" s="54">
        <f t="shared" si="352"/>
        <v>44273</v>
      </c>
      <c r="LX39" s="54">
        <f t="shared" si="352"/>
        <v>44274</v>
      </c>
      <c r="LY39" s="54">
        <f t="shared" si="352"/>
        <v>44275</v>
      </c>
      <c r="LZ39" s="53">
        <f t="shared" si="352"/>
        <v>44276</v>
      </c>
      <c r="MA39" s="54">
        <f t="shared" si="352"/>
        <v>44277</v>
      </c>
      <c r="MB39" s="54">
        <f t="shared" si="352"/>
        <v>44278</v>
      </c>
      <c r="MC39" s="54">
        <f t="shared" si="352"/>
        <v>44279</v>
      </c>
      <c r="MD39" s="54">
        <f t="shared" si="352"/>
        <v>44280</v>
      </c>
      <c r="ME39" s="54">
        <f t="shared" si="352"/>
        <v>44281</v>
      </c>
      <c r="MF39" s="54">
        <f t="shared" si="352"/>
        <v>44282</v>
      </c>
      <c r="MG39" s="53">
        <f t="shared" si="352"/>
        <v>44283</v>
      </c>
      <c r="MH39" s="54">
        <f t="shared" si="352"/>
        <v>44284</v>
      </c>
      <c r="MI39" s="54">
        <f t="shared" si="352"/>
        <v>44285</v>
      </c>
      <c r="MJ39" s="54">
        <f t="shared" si="352"/>
        <v>44286</v>
      </c>
      <c r="MK39" s="54">
        <f t="shared" si="352"/>
        <v>44287</v>
      </c>
      <c r="ML39" s="54">
        <f t="shared" si="352"/>
        <v>44288</v>
      </c>
      <c r="MM39" s="54">
        <f t="shared" si="352"/>
        <v>44289</v>
      </c>
      <c r="MN39" s="53">
        <f t="shared" si="352"/>
        <v>44290</v>
      </c>
    </row>
    <row r="40" spans="1:352" ht="15" customHeight="1" x14ac:dyDescent="0.25">
      <c r="A40" s="148"/>
      <c r="B40" s="148"/>
      <c r="C40" s="148"/>
      <c r="D40" s="148"/>
      <c r="E40" s="149"/>
      <c r="F40" s="19"/>
      <c r="G40" s="19"/>
      <c r="H40" s="19"/>
      <c r="I40" s="19"/>
      <c r="J40" s="19"/>
      <c r="K40" s="19"/>
      <c r="L40" s="19"/>
      <c r="M40" s="19"/>
      <c r="N40" s="19"/>
      <c r="O40" s="9"/>
      <c r="P40" s="151"/>
      <c r="Q40" s="151"/>
      <c r="R40" s="153"/>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481</v>
      </c>
      <c r="EF40" s="25" t="s">
        <v>38</v>
      </c>
      <c r="EG40" s="25"/>
      <c r="EH40" s="25"/>
      <c r="EI40" s="25"/>
      <c r="EJ40" s="24"/>
      <c r="EK40" s="25"/>
      <c r="EL40" s="25" t="s">
        <v>38</v>
      </c>
      <c r="EM40" s="25"/>
      <c r="EN40" s="25" t="s">
        <v>38</v>
      </c>
      <c r="EO40" s="25" t="s">
        <v>481</v>
      </c>
      <c r="EP40" s="25"/>
      <c r="EQ40" s="25"/>
      <c r="ER40" s="25"/>
      <c r="ES40" s="24"/>
      <c r="ET40" s="25"/>
      <c r="EU40" s="25" t="s">
        <v>38</v>
      </c>
      <c r="EV40" s="25"/>
      <c r="EW40" s="25" t="s">
        <v>38</v>
      </c>
      <c r="EX40" s="25" t="s">
        <v>38</v>
      </c>
      <c r="EY40" s="25"/>
      <c r="EZ40" s="24"/>
      <c r="FA40" s="25"/>
      <c r="FB40" s="25" t="s">
        <v>38</v>
      </c>
      <c r="FC40" s="25"/>
      <c r="FD40" s="25" t="s">
        <v>38</v>
      </c>
      <c r="FE40" s="25" t="s">
        <v>38</v>
      </c>
      <c r="FF40" s="25"/>
      <c r="FG40" s="24"/>
      <c r="FH40" s="25"/>
      <c r="FI40" s="25" t="s">
        <v>38</v>
      </c>
      <c r="FJ40" s="25"/>
      <c r="FK40" s="25" t="s">
        <v>38</v>
      </c>
      <c r="FL40" s="25" t="s">
        <v>38</v>
      </c>
      <c r="FM40" s="25"/>
      <c r="FN40" s="24"/>
      <c r="FO40" s="25"/>
      <c r="FP40" s="25" t="s">
        <v>38</v>
      </c>
      <c r="FQ40" s="25"/>
      <c r="FR40" s="25" t="s">
        <v>38</v>
      </c>
      <c r="FS40" s="25" t="s">
        <v>38</v>
      </c>
      <c r="FT40" s="25"/>
      <c r="FU40" s="24"/>
      <c r="FV40" s="25"/>
      <c r="FW40" s="25" t="s">
        <v>38</v>
      </c>
      <c r="FX40" s="25"/>
      <c r="FY40" s="25" t="s">
        <v>38</v>
      </c>
      <c r="FZ40" s="25" t="s">
        <v>38</v>
      </c>
      <c r="GA40" s="25"/>
      <c r="GB40" s="24"/>
      <c r="GC40" s="25"/>
      <c r="GD40" s="25" t="s">
        <v>38</v>
      </c>
      <c r="GE40" s="25"/>
      <c r="GF40" s="25" t="s">
        <v>38</v>
      </c>
      <c r="GG40" s="25" t="s">
        <v>38</v>
      </c>
      <c r="GH40" s="25"/>
      <c r="GI40" s="24"/>
      <c r="GJ40" s="25"/>
      <c r="GK40" s="25" t="s">
        <v>38</v>
      </c>
      <c r="GL40" s="25"/>
      <c r="GM40" s="25" t="s">
        <v>38</v>
      </c>
      <c r="GN40" s="25" t="s">
        <v>38</v>
      </c>
      <c r="GO40" s="25"/>
      <c r="GP40" s="24"/>
      <c r="GQ40" s="25"/>
      <c r="GR40" s="25" t="s">
        <v>38</v>
      </c>
      <c r="GS40" s="25"/>
      <c r="GT40" s="25" t="s">
        <v>38</v>
      </c>
      <c r="GU40" s="25" t="s">
        <v>38</v>
      </c>
      <c r="GV40" s="25"/>
      <c r="GW40" s="24"/>
      <c r="GX40" s="25"/>
      <c r="GY40" s="25" t="s">
        <v>38</v>
      </c>
      <c r="GZ40" s="25"/>
      <c r="HA40" s="25" t="s">
        <v>38</v>
      </c>
      <c r="HB40" s="25" t="s">
        <v>38</v>
      </c>
      <c r="HC40" s="25"/>
      <c r="HD40" s="24"/>
      <c r="HE40" s="25"/>
      <c r="HF40" s="25" t="s">
        <v>38</v>
      </c>
      <c r="HG40" s="25"/>
      <c r="HH40" s="25" t="s">
        <v>38</v>
      </c>
      <c r="HI40" s="25" t="s">
        <v>38</v>
      </c>
      <c r="HJ40" s="25"/>
      <c r="HK40" s="24"/>
      <c r="HL40" s="25"/>
      <c r="HM40" s="25" t="s">
        <v>38</v>
      </c>
      <c r="HN40" s="25"/>
      <c r="HO40" s="25" t="s">
        <v>38</v>
      </c>
      <c r="HP40" s="25" t="s">
        <v>38</v>
      </c>
      <c r="HQ40" s="25"/>
      <c r="HR40" s="24"/>
      <c r="HS40" s="25"/>
      <c r="HT40" s="25" t="s">
        <v>38</v>
      </c>
      <c r="HU40" s="25" t="s">
        <v>38</v>
      </c>
      <c r="HV40" s="25"/>
      <c r="HW40" s="25" t="s">
        <v>38</v>
      </c>
      <c r="HX40" s="25"/>
      <c r="HY40" s="24"/>
      <c r="HZ40" s="25"/>
      <c r="IA40" s="25" t="s">
        <v>38</v>
      </c>
      <c r="IB40" s="25"/>
      <c r="IC40" s="25" t="s">
        <v>38</v>
      </c>
      <c r="ID40" s="25" t="s">
        <v>38</v>
      </c>
      <c r="IE40" s="25"/>
      <c r="IF40" s="24"/>
      <c r="IG40" s="25"/>
      <c r="IH40" s="25" t="s">
        <v>38</v>
      </c>
      <c r="II40" s="25"/>
      <c r="IJ40" s="25" t="s">
        <v>38</v>
      </c>
      <c r="IK40" s="25" t="s">
        <v>38</v>
      </c>
      <c r="IL40" s="25"/>
      <c r="IM40" s="24"/>
      <c r="IN40" s="25"/>
      <c r="IO40" s="25" t="s">
        <v>38</v>
      </c>
      <c r="IP40" s="25"/>
      <c r="IQ40" s="25" t="s">
        <v>38</v>
      </c>
      <c r="IR40" s="25" t="s">
        <v>38</v>
      </c>
      <c r="IS40" s="25"/>
      <c r="IT40" s="24"/>
      <c r="IU40" s="25"/>
      <c r="IV40" s="25" t="s">
        <v>38</v>
      </c>
      <c r="IW40" s="25"/>
      <c r="IX40" s="25" t="s">
        <v>38</v>
      </c>
      <c r="IY40" s="25" t="s">
        <v>38</v>
      </c>
      <c r="IZ40" s="25"/>
      <c r="JA40" s="24"/>
      <c r="JB40" s="25"/>
      <c r="JC40" s="25" t="s">
        <v>38</v>
      </c>
      <c r="JD40" s="25"/>
      <c r="JE40" s="25" t="s">
        <v>38</v>
      </c>
      <c r="JF40" s="25" t="s">
        <v>38</v>
      </c>
      <c r="JG40" s="25"/>
      <c r="JH40" s="24"/>
      <c r="JI40" s="25"/>
      <c r="JJ40" s="25" t="s">
        <v>38</v>
      </c>
      <c r="JK40" s="25"/>
      <c r="JL40" s="25" t="s">
        <v>38</v>
      </c>
      <c r="JM40" s="25" t="s">
        <v>38</v>
      </c>
      <c r="JN40" s="25"/>
      <c r="JO40" s="24"/>
      <c r="JP40" s="25"/>
      <c r="JQ40" s="25" t="s">
        <v>38</v>
      </c>
      <c r="JR40" s="25"/>
      <c r="JS40" s="25" t="s">
        <v>38</v>
      </c>
      <c r="JT40" s="25" t="s">
        <v>38</v>
      </c>
      <c r="JU40" s="25"/>
      <c r="JV40" s="24"/>
      <c r="JW40" s="25"/>
      <c r="JX40" s="25" t="s">
        <v>38</v>
      </c>
      <c r="JY40" s="25"/>
      <c r="JZ40" s="25" t="s">
        <v>38</v>
      </c>
      <c r="KA40" s="25" t="s">
        <v>38</v>
      </c>
      <c r="KB40" s="25"/>
      <c r="KC40" s="24"/>
      <c r="KD40" s="25"/>
      <c r="KE40" s="25" t="s">
        <v>38</v>
      </c>
      <c r="KF40" s="25"/>
      <c r="KG40" s="25" t="s">
        <v>38</v>
      </c>
      <c r="KH40" s="25" t="s">
        <v>38</v>
      </c>
      <c r="KI40" s="25"/>
      <c r="KJ40" s="24"/>
      <c r="KK40" s="25"/>
      <c r="KL40" s="25" t="s">
        <v>38</v>
      </c>
      <c r="KM40" s="25"/>
      <c r="KN40" s="25" t="s">
        <v>38</v>
      </c>
      <c r="KO40" s="25" t="s">
        <v>38</v>
      </c>
      <c r="KP40" s="25"/>
      <c r="KQ40" s="24"/>
      <c r="KR40" s="25"/>
      <c r="KS40" s="25" t="s">
        <v>38</v>
      </c>
      <c r="KT40" s="25"/>
      <c r="KU40" s="25" t="s">
        <v>38</v>
      </c>
      <c r="KV40" s="25" t="s">
        <v>38</v>
      </c>
      <c r="KW40" s="25"/>
      <c r="KX40" s="24"/>
      <c r="KY40" s="25"/>
      <c r="KZ40" s="25" t="s">
        <v>38</v>
      </c>
      <c r="LA40" s="25"/>
      <c r="LB40" s="25" t="s">
        <v>38</v>
      </c>
      <c r="LC40" s="25" t="s">
        <v>38</v>
      </c>
      <c r="LD40" s="25"/>
      <c r="LE40" s="24"/>
      <c r="LF40" s="25"/>
      <c r="LG40" s="25" t="s">
        <v>38</v>
      </c>
      <c r="LH40" s="25"/>
      <c r="LI40" s="25" t="s">
        <v>38</v>
      </c>
      <c r="LJ40" s="25"/>
      <c r="LK40" s="25"/>
      <c r="LL40" s="26"/>
      <c r="LM40" s="25"/>
      <c r="LN40" s="25" t="s">
        <v>38</v>
      </c>
      <c r="LO40" s="25"/>
      <c r="LP40" s="25" t="s">
        <v>38</v>
      </c>
      <c r="LQ40" s="25"/>
      <c r="LR40" s="25"/>
      <c r="LS40" s="24"/>
      <c r="LT40" s="25"/>
      <c r="LU40" s="25"/>
      <c r="LV40" s="25"/>
      <c r="LW40" s="25"/>
      <c r="LX40" s="25"/>
      <c r="LY40" s="25"/>
      <c r="LZ40" s="24"/>
      <c r="MA40" s="25"/>
      <c r="MB40" s="25"/>
      <c r="MC40" s="25"/>
      <c r="MD40" s="25"/>
      <c r="ME40" s="25"/>
      <c r="MF40" s="25"/>
      <c r="MG40" s="24"/>
      <c r="MH40" s="25"/>
      <c r="MI40" s="25"/>
      <c r="MJ40" s="25"/>
      <c r="MK40" s="25"/>
      <c r="ML40" s="25"/>
      <c r="MM40" s="25"/>
      <c r="MN40" s="24"/>
    </row>
    <row r="41" spans="1:352" x14ac:dyDescent="0.25">
      <c r="A41" s="11" t="s">
        <v>148</v>
      </c>
      <c r="B41" s="11"/>
      <c r="C41" s="11"/>
      <c r="D41" s="11"/>
      <c r="E41" s="11"/>
      <c r="F41" s="138" t="s">
        <v>147</v>
      </c>
      <c r="G41" s="139" t="s">
        <v>146</v>
      </c>
      <c r="H41" s="139" t="s">
        <v>119</v>
      </c>
      <c r="I41" s="140" t="s">
        <v>41</v>
      </c>
      <c r="J41" s="140" t="s">
        <v>118</v>
      </c>
      <c r="K41" s="140" t="s">
        <v>42</v>
      </c>
      <c r="L41" s="140" t="s">
        <v>117</v>
      </c>
      <c r="M41" s="140" t="s">
        <v>47</v>
      </c>
      <c r="N41" s="140" t="s">
        <v>100</v>
      </c>
      <c r="O41" s="141"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1"/>
      <c r="EI41" s="11"/>
      <c r="EJ41" s="12"/>
      <c r="EK41" s="11"/>
      <c r="EL41" s="11"/>
      <c r="EM41" s="11"/>
      <c r="EN41" s="11"/>
      <c r="EO41" s="11"/>
      <c r="EP41" s="11"/>
      <c r="EQ41" s="11"/>
      <c r="ER41" s="11"/>
      <c r="ES41" s="12"/>
      <c r="ET41" s="11"/>
      <c r="EU41" s="11"/>
      <c r="EV41" s="11"/>
      <c r="EW41" s="11"/>
      <c r="EX41" s="11"/>
      <c r="EY41" s="11"/>
      <c r="EZ41" s="12"/>
      <c r="FA41" s="11"/>
      <c r="FB41" s="11"/>
      <c r="FC41" s="11"/>
      <c r="FD41" s="11"/>
      <c r="FE41" s="11"/>
      <c r="FF41" s="11"/>
      <c r="FG41" s="12"/>
      <c r="FH41" s="11"/>
      <c r="FI41" s="11"/>
      <c r="FJ41" s="11"/>
      <c r="FK41" s="11"/>
      <c r="FL41" s="11"/>
      <c r="FM41" s="11"/>
      <c r="FN41" s="12"/>
      <c r="FO41" s="11"/>
      <c r="FP41" s="11"/>
      <c r="FQ41" s="11"/>
      <c r="FR41" s="11"/>
      <c r="FS41" s="11"/>
      <c r="FT41" s="11"/>
      <c r="FU41" s="12"/>
      <c r="FV41" s="11"/>
      <c r="FW41" s="11"/>
      <c r="FX41" s="11"/>
      <c r="FY41" s="11"/>
      <c r="FZ41" s="11"/>
      <c r="GA41" s="11"/>
      <c r="GB41" s="12"/>
      <c r="GC41" s="11"/>
      <c r="GD41" s="11"/>
      <c r="GE41" s="11"/>
      <c r="GF41" s="11"/>
      <c r="GG41" s="11"/>
      <c r="GH41" s="11"/>
      <c r="GI41" s="12"/>
      <c r="GJ41" s="11"/>
      <c r="GK41" s="11"/>
      <c r="GL41" s="11"/>
      <c r="GM41" s="11"/>
      <c r="GN41" s="11"/>
      <c r="GO41" s="11"/>
      <c r="GP41" s="12"/>
      <c r="GQ41" s="11"/>
      <c r="GR41" s="11"/>
      <c r="GS41" s="11"/>
      <c r="GT41" s="11"/>
      <c r="GU41" s="11"/>
      <c r="GV41" s="11"/>
      <c r="GW41" s="12"/>
      <c r="GX41" s="11"/>
      <c r="GY41" s="11"/>
      <c r="GZ41" s="11"/>
      <c r="HA41" s="11"/>
      <c r="HB41" s="11"/>
      <c r="HC41" s="11"/>
      <c r="HD41" s="12"/>
      <c r="HE41" s="11"/>
      <c r="HF41" s="11"/>
      <c r="HG41" s="11"/>
      <c r="HH41" s="11"/>
      <c r="HI41" s="11"/>
      <c r="HJ41" s="11"/>
      <c r="HK41" s="12"/>
      <c r="HL41" s="11"/>
      <c r="HM41" s="11"/>
      <c r="HN41" s="11"/>
      <c r="HO41" s="11"/>
      <c r="HP41" s="11"/>
      <c r="HQ41" s="11"/>
      <c r="HR41" s="12"/>
      <c r="HS41" s="11"/>
      <c r="HT41" s="11"/>
      <c r="HU41" s="11"/>
      <c r="HV41" s="11"/>
      <c r="HW41" s="11"/>
      <c r="HX41" s="11"/>
      <c r="HY41" s="12"/>
      <c r="HZ41" s="11"/>
      <c r="IA41" s="11"/>
      <c r="IB41" s="11"/>
      <c r="IC41" s="11"/>
      <c r="ID41" s="11"/>
      <c r="IE41" s="11"/>
      <c r="IF41" s="12"/>
      <c r="IG41" s="11"/>
      <c r="IH41" s="11"/>
      <c r="II41" s="11"/>
      <c r="IJ41" s="11"/>
      <c r="IK41" s="11"/>
      <c r="IL41" s="11"/>
      <c r="IM41" s="12"/>
      <c r="IN41" s="11"/>
      <c r="IO41" s="11"/>
      <c r="IP41" s="11"/>
      <c r="IQ41" s="11"/>
      <c r="IR41" s="11"/>
      <c r="IS41" s="11"/>
      <c r="IT41" s="12"/>
      <c r="IU41" s="11"/>
      <c r="IV41" s="11"/>
      <c r="IW41" s="11"/>
      <c r="IX41" s="11"/>
      <c r="IY41" s="11"/>
      <c r="IZ41" s="11"/>
      <c r="JA41" s="12"/>
      <c r="JB41" s="11"/>
      <c r="JC41" s="11"/>
      <c r="JD41" s="11"/>
      <c r="JE41" s="11"/>
      <c r="JF41" s="11"/>
      <c r="JG41" s="11"/>
      <c r="JH41" s="12"/>
      <c r="JI41" s="11"/>
      <c r="JJ41" s="11"/>
      <c r="JK41" s="11"/>
      <c r="JL41" s="11"/>
      <c r="JM41" s="11"/>
      <c r="JN41" s="11"/>
      <c r="JO41" s="12"/>
      <c r="JP41" s="11"/>
      <c r="JQ41" s="11"/>
      <c r="JR41" s="11"/>
      <c r="JS41" s="11"/>
      <c r="JT41" s="11"/>
      <c r="JU41" s="11"/>
      <c r="JV41" s="12"/>
      <c r="JW41" s="11"/>
      <c r="JX41" s="11"/>
      <c r="JY41" s="11"/>
      <c r="JZ41" s="11"/>
      <c r="KA41" s="11"/>
      <c r="KB41" s="11"/>
      <c r="KC41" s="12"/>
      <c r="KD41" s="11"/>
      <c r="KE41" s="11"/>
      <c r="KF41" s="11"/>
      <c r="KG41" s="11"/>
      <c r="KH41" s="11"/>
      <c r="KI41" s="11"/>
      <c r="KJ41" s="12"/>
      <c r="KK41" s="11"/>
      <c r="KL41" s="11"/>
      <c r="KM41" s="11"/>
      <c r="KN41" s="11"/>
      <c r="KO41" s="11"/>
      <c r="KP41" s="11"/>
      <c r="KQ41" s="12"/>
      <c r="KR41" s="11"/>
      <c r="KS41" s="11"/>
      <c r="KT41" s="11"/>
      <c r="KU41" s="11"/>
      <c r="KV41" s="11"/>
      <c r="KW41" s="11"/>
      <c r="KX41" s="12"/>
      <c r="KY41" s="11"/>
      <c r="KZ41" s="11"/>
      <c r="LA41" s="11"/>
      <c r="LB41" s="11"/>
      <c r="LC41" s="11"/>
      <c r="LD41" s="11"/>
      <c r="LE41" s="12"/>
      <c r="LF41" s="11"/>
      <c r="LG41" s="11"/>
      <c r="LH41" s="11"/>
      <c r="LI41" s="11"/>
      <c r="LJ41" s="11"/>
      <c r="LK41" s="11"/>
      <c r="LL41" s="12"/>
      <c r="LM41" s="11"/>
      <c r="LN41" s="11"/>
      <c r="LO41" s="11"/>
      <c r="LP41" s="11"/>
      <c r="LQ41" s="11"/>
      <c r="LR41" s="11"/>
      <c r="LS41" s="12"/>
      <c r="LT41" s="11"/>
      <c r="LU41" s="11"/>
      <c r="LV41" s="11"/>
      <c r="LW41" s="11"/>
      <c r="LX41" s="11"/>
      <c r="LY41" s="11"/>
      <c r="LZ41" s="12"/>
      <c r="MA41" s="11"/>
      <c r="MB41" s="11"/>
      <c r="MC41" s="11"/>
      <c r="MD41" s="11"/>
      <c r="ME41" s="11"/>
      <c r="MF41" s="11"/>
      <c r="MG41" s="12"/>
      <c r="MH41" s="11"/>
      <c r="MI41" s="11"/>
      <c r="MJ41" s="11"/>
      <c r="MK41" s="11"/>
      <c r="ML41" s="11"/>
      <c r="MM41" s="11"/>
      <c r="MN41" s="12"/>
    </row>
    <row r="42" spans="1:352"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2"/>
      <c r="FA42" s="11"/>
      <c r="FB42" s="11"/>
      <c r="FC42" s="11"/>
      <c r="FD42" s="11"/>
      <c r="FE42" s="11"/>
      <c r="FF42" s="11"/>
      <c r="FG42" s="12"/>
      <c r="FH42" s="11"/>
      <c r="FI42" s="11"/>
      <c r="FJ42" s="11"/>
      <c r="FK42" s="11"/>
      <c r="FL42" s="11"/>
      <c r="FM42" s="11"/>
      <c r="FN42" s="12"/>
      <c r="FO42" s="11"/>
      <c r="FP42" s="11"/>
      <c r="FQ42" s="11"/>
      <c r="FR42" s="11"/>
      <c r="FS42" s="11"/>
      <c r="FT42" s="11"/>
      <c r="FU42" s="12"/>
      <c r="FV42" s="11"/>
      <c r="FW42" s="11"/>
      <c r="FX42" s="11"/>
      <c r="FY42" s="11"/>
      <c r="FZ42" s="11"/>
      <c r="GA42" s="11"/>
      <c r="GB42" s="12"/>
      <c r="GC42" s="11"/>
      <c r="GD42" s="11"/>
      <c r="GE42" s="11"/>
      <c r="GF42" s="11"/>
      <c r="GG42" s="11"/>
      <c r="GH42" s="11"/>
      <c r="GI42" s="12"/>
      <c r="GJ42" s="11"/>
      <c r="GK42" s="11"/>
      <c r="GL42" s="11"/>
      <c r="GM42" s="11"/>
      <c r="GN42" s="11"/>
      <c r="GO42" s="11"/>
      <c r="GP42" s="12"/>
      <c r="GQ42" s="11"/>
      <c r="GR42" s="11"/>
      <c r="GS42" s="11"/>
      <c r="GT42" s="11"/>
      <c r="GU42" s="11"/>
      <c r="GV42" s="11"/>
      <c r="GW42" s="12"/>
      <c r="GX42" s="11"/>
      <c r="GY42" s="11"/>
      <c r="GZ42" s="11"/>
      <c r="HA42" s="11"/>
      <c r="HB42" s="11"/>
      <c r="HC42" s="11"/>
      <c r="HD42" s="12"/>
      <c r="HE42" s="11"/>
      <c r="HF42" s="11"/>
      <c r="HG42" s="11"/>
      <c r="HH42" s="11"/>
      <c r="HI42" s="11"/>
      <c r="HJ42" s="11"/>
      <c r="HK42" s="12"/>
      <c r="HL42" s="11"/>
      <c r="HM42" s="11"/>
      <c r="HN42" s="11"/>
      <c r="HO42" s="11"/>
      <c r="HP42" s="11"/>
      <c r="HQ42" s="11"/>
      <c r="HR42" s="12"/>
      <c r="HS42" s="11"/>
      <c r="HT42" s="11"/>
      <c r="HU42" s="11"/>
      <c r="HV42" s="11"/>
      <c r="HW42" s="11"/>
      <c r="HX42" s="11"/>
      <c r="HY42" s="12"/>
      <c r="HZ42" s="11"/>
      <c r="IA42" s="11"/>
      <c r="IB42" s="11"/>
      <c r="IC42" s="11"/>
      <c r="ID42" s="11"/>
      <c r="IE42" s="11"/>
      <c r="IF42" s="12"/>
      <c r="IG42" s="11"/>
      <c r="IH42" s="11"/>
      <c r="II42" s="11"/>
      <c r="IJ42" s="11"/>
      <c r="IK42" s="11"/>
      <c r="IL42" s="11"/>
      <c r="IM42" s="12"/>
      <c r="IN42" s="11"/>
      <c r="IO42" s="11"/>
      <c r="IP42" s="11"/>
      <c r="IQ42" s="11"/>
      <c r="IR42" s="11"/>
      <c r="IS42" s="11"/>
      <c r="IT42" s="12"/>
      <c r="IU42" s="11"/>
      <c r="IV42" s="11"/>
      <c r="IW42" s="11"/>
      <c r="IX42" s="11"/>
      <c r="IY42" s="11"/>
      <c r="IZ42" s="11"/>
      <c r="JA42" s="12"/>
      <c r="JB42" s="11"/>
      <c r="JC42" s="11"/>
      <c r="JD42" s="11"/>
      <c r="JE42" s="11"/>
      <c r="JF42" s="11"/>
      <c r="JG42" s="11"/>
      <c r="JH42" s="12"/>
      <c r="JI42" s="11"/>
      <c r="JJ42" s="11"/>
      <c r="JK42" s="11"/>
      <c r="JL42" s="11"/>
      <c r="JM42" s="11"/>
      <c r="JN42" s="11"/>
      <c r="JO42" s="12"/>
      <c r="JP42" s="11"/>
      <c r="JQ42" s="11"/>
      <c r="JR42" s="11"/>
      <c r="JS42" s="11"/>
      <c r="JT42" s="11"/>
      <c r="JU42" s="11"/>
      <c r="JV42" s="12"/>
      <c r="JW42" s="11"/>
      <c r="JX42" s="11"/>
      <c r="JY42" s="11"/>
      <c r="JZ42" s="11"/>
      <c r="KA42" s="11"/>
      <c r="KB42" s="11"/>
      <c r="KC42" s="12"/>
      <c r="KD42" s="11"/>
      <c r="KE42" s="11"/>
      <c r="KF42" s="11"/>
      <c r="KG42" s="11"/>
      <c r="KH42" s="11"/>
      <c r="KI42" s="11"/>
      <c r="KJ42" s="12"/>
      <c r="KK42" s="11"/>
      <c r="KL42" s="11"/>
      <c r="KM42" s="11"/>
      <c r="KN42" s="11"/>
      <c r="KO42" s="11"/>
      <c r="KP42" s="11"/>
      <c r="KQ42" s="12"/>
      <c r="KR42" s="11"/>
      <c r="KS42" s="11"/>
      <c r="KT42" s="11"/>
      <c r="KU42" s="11"/>
      <c r="KV42" s="11"/>
      <c r="KW42" s="11"/>
      <c r="KX42" s="12"/>
      <c r="KY42" s="11"/>
      <c r="KZ42" s="11"/>
      <c r="LA42" s="11"/>
      <c r="LB42" s="11"/>
      <c r="LC42" s="11"/>
      <c r="LD42" s="11"/>
      <c r="LE42" s="12"/>
      <c r="LF42" s="11"/>
      <c r="LG42" s="11"/>
      <c r="LH42" s="11"/>
      <c r="LI42" s="11"/>
      <c r="LJ42" s="11"/>
      <c r="LK42" s="11"/>
      <c r="LL42" s="12"/>
      <c r="LM42" s="11"/>
      <c r="LN42" s="11"/>
      <c r="LO42" s="11"/>
      <c r="LP42" s="11"/>
      <c r="LQ42" s="11"/>
      <c r="LR42" s="11"/>
      <c r="LS42" s="12"/>
      <c r="LT42" s="11"/>
      <c r="LU42" s="11"/>
      <c r="LV42" s="11"/>
      <c r="LW42" s="11"/>
      <c r="LX42" s="11"/>
      <c r="LY42" s="11"/>
      <c r="LZ42" s="12"/>
      <c r="MA42" s="11"/>
      <c r="MB42" s="11"/>
      <c r="MC42" s="11"/>
      <c r="MD42" s="11"/>
      <c r="ME42" s="11"/>
      <c r="MF42" s="11"/>
      <c r="MG42" s="12"/>
      <c r="MH42" s="11"/>
      <c r="MI42" s="11"/>
      <c r="MJ42" s="11"/>
      <c r="MK42" s="11"/>
      <c r="ML42" s="11"/>
      <c r="MM42" s="11"/>
      <c r="MN42" s="12"/>
    </row>
    <row r="43" spans="1:352" ht="7.5" customHeight="1" x14ac:dyDescent="0.25">
      <c r="A43" s="8"/>
      <c r="B43" s="8"/>
      <c r="C43" s="8"/>
      <c r="D43" s="8"/>
      <c r="E43" s="8"/>
      <c r="F43" s="10"/>
      <c r="G43" s="19"/>
      <c r="H43" s="19"/>
      <c r="I43" s="8"/>
      <c r="J43" s="8"/>
      <c r="K43" s="8"/>
      <c r="L43" s="8"/>
      <c r="M43" s="8"/>
      <c r="N43" s="8"/>
      <c r="O43" s="9"/>
      <c r="P43" s="8" t="str">
        <f>IF(SUM(R43:MN43) &gt; 0, SUM(R43:MN43), "")</f>
        <v/>
      </c>
      <c r="Q43" s="8"/>
      <c r="R43" s="84"/>
      <c r="S43" s="7"/>
      <c r="Z43" s="7"/>
      <c r="AG43" s="7"/>
      <c r="AN43" s="7"/>
      <c r="AU43" s="7"/>
      <c r="BB43" s="7"/>
      <c r="BI43" s="7"/>
      <c r="BP43" s="7"/>
      <c r="BY43" s="7"/>
      <c r="CH43" s="7"/>
      <c r="CQ43" s="7"/>
      <c r="CZ43" s="7"/>
      <c r="DI43" s="7"/>
      <c r="DR43" s="7"/>
      <c r="EA43" s="7"/>
      <c r="EJ43" s="7"/>
      <c r="ES43" s="7"/>
      <c r="EZ43" s="7"/>
      <c r="FG43" s="7"/>
      <c r="FN43" s="7"/>
      <c r="FU43" s="7"/>
      <c r="GB43" s="7"/>
      <c r="GI43" s="7"/>
      <c r="GP43" s="7"/>
      <c r="GW43" s="7"/>
      <c r="HD43" s="7"/>
      <c r="HK43" s="7"/>
      <c r="HR43" s="7"/>
      <c r="HY43" s="7"/>
      <c r="IF43" s="7"/>
      <c r="IM43" s="7"/>
      <c r="IT43" s="7"/>
      <c r="JA43" s="7"/>
      <c r="JH43" s="7"/>
      <c r="JO43" s="7"/>
      <c r="JV43" s="7"/>
      <c r="KC43" s="7"/>
      <c r="KJ43" s="7"/>
      <c r="KQ43" s="7"/>
      <c r="KX43" s="7"/>
      <c r="LE43" s="7"/>
      <c r="LL43" s="7"/>
      <c r="LS43" s="7"/>
      <c r="LZ43" s="7"/>
      <c r="MG43" s="7"/>
      <c r="MN43" s="7"/>
    </row>
    <row r="44" spans="1:352" ht="15" customHeight="1" x14ac:dyDescent="0.25">
      <c r="A44" s="8" t="s">
        <v>116</v>
      </c>
      <c r="B44" s="8" t="s">
        <v>115</v>
      </c>
      <c r="C44" s="8" t="s">
        <v>114</v>
      </c>
      <c r="D44" s="8" t="s">
        <v>113</v>
      </c>
      <c r="E44" s="56">
        <v>40073</v>
      </c>
      <c r="F44" s="19">
        <f t="shared" ref="F44:L56" si="353">IF($E44 &gt;= F$42, 1, "")</f>
        <v>1</v>
      </c>
      <c r="G44" s="19">
        <f t="shared" si="353"/>
        <v>1</v>
      </c>
      <c r="H44" s="19">
        <f t="shared" si="353"/>
        <v>1</v>
      </c>
      <c r="I44" s="19">
        <f t="shared" si="353"/>
        <v>1</v>
      </c>
      <c r="J44" s="19">
        <f t="shared" si="353"/>
        <v>1</v>
      </c>
      <c r="K44" s="19">
        <f t="shared" si="353"/>
        <v>1</v>
      </c>
      <c r="L44" s="19" t="str">
        <f t="shared" si="353"/>
        <v/>
      </c>
      <c r="M44" s="8">
        <v>1</v>
      </c>
      <c r="N44" s="8"/>
      <c r="O44" s="9"/>
      <c r="P44" s="8">
        <f t="shared" ref="P44:P63" si="354">IF(SUM(S44:MN44) &gt; 0, SUM(S44:MN44), "")</f>
        <v>16</v>
      </c>
      <c r="Q44" s="109">
        <f t="shared" ref="Q44:Q63" si="355">IF(SUM(S44:XFD44) &gt; 0, SUM(S44:XFD44) / $P$64 * 100, "")</f>
        <v>69.565217391304344</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C44">
        <v>1</v>
      </c>
      <c r="EF44">
        <v>1</v>
      </c>
      <c r="EJ44" s="7"/>
      <c r="EL44">
        <v>1</v>
      </c>
      <c r="EN44">
        <v>1</v>
      </c>
      <c r="ES44" s="7"/>
      <c r="EZ44" s="7"/>
      <c r="FB44" t="s">
        <v>58</v>
      </c>
      <c r="FG44" s="7"/>
      <c r="FN44" s="7"/>
      <c r="FU44" s="7"/>
      <c r="GB44" s="7"/>
      <c r="GI44" s="7"/>
      <c r="GP44" s="7"/>
      <c r="GW44" s="7"/>
      <c r="HD44" s="7"/>
      <c r="HK44" s="7"/>
      <c r="HR44" s="7"/>
      <c r="HY44" s="7"/>
      <c r="IF44" s="7"/>
      <c r="IM44" s="7"/>
      <c r="IT44" s="7"/>
      <c r="JA44" s="7"/>
      <c r="JH44" s="7"/>
      <c r="JO44" s="7"/>
      <c r="JV44" s="7"/>
      <c r="KC44" s="7"/>
      <c r="KJ44" s="7"/>
      <c r="KQ44" s="7"/>
      <c r="KX44" s="7"/>
      <c r="LE44" s="7"/>
      <c r="LL44" s="7"/>
      <c r="LS44" s="7"/>
      <c r="LZ44" s="7"/>
      <c r="MG44" s="7"/>
      <c r="MN44" s="7"/>
    </row>
    <row r="45" spans="1:352" ht="15" customHeight="1" x14ac:dyDescent="0.25">
      <c r="A45" s="8" t="s">
        <v>112</v>
      </c>
      <c r="B45" s="8" t="s">
        <v>111</v>
      </c>
      <c r="C45" s="8" t="s">
        <v>110</v>
      </c>
      <c r="D45" s="8" t="s">
        <v>109</v>
      </c>
      <c r="E45" s="56">
        <v>40099</v>
      </c>
      <c r="F45" s="19">
        <f t="shared" si="353"/>
        <v>1</v>
      </c>
      <c r="G45" s="19">
        <f t="shared" si="353"/>
        <v>1</v>
      </c>
      <c r="H45" s="19">
        <f t="shared" si="353"/>
        <v>1</v>
      </c>
      <c r="I45" s="19">
        <f t="shared" si="353"/>
        <v>1</v>
      </c>
      <c r="J45" s="19">
        <f t="shared" si="353"/>
        <v>1</v>
      </c>
      <c r="K45" s="19">
        <f t="shared" si="353"/>
        <v>1</v>
      </c>
      <c r="L45" s="19" t="str">
        <f t="shared" si="353"/>
        <v/>
      </c>
      <c r="M45" s="8">
        <v>1</v>
      </c>
      <c r="N45" s="8"/>
      <c r="O45" s="9"/>
      <c r="P45" s="8">
        <f t="shared" si="354"/>
        <v>5</v>
      </c>
      <c r="Q45" s="109">
        <f t="shared" si="355"/>
        <v>21.739130434782609</v>
      </c>
      <c r="R45" s="84"/>
      <c r="S45" s="7"/>
      <c r="Z45" s="7"/>
      <c r="AG45" s="7"/>
      <c r="AN45" s="7"/>
      <c r="AU45" s="7"/>
      <c r="BB45" s="7"/>
      <c r="BI45" s="7"/>
      <c r="BP45" s="7"/>
      <c r="BY45" s="7"/>
      <c r="CH45" s="7"/>
      <c r="CQ45" s="7"/>
      <c r="CZ45" s="7"/>
      <c r="DI45" s="7"/>
      <c r="DR45" s="7"/>
      <c r="DT45">
        <v>1</v>
      </c>
      <c r="DW45">
        <v>1</v>
      </c>
      <c r="EA45" s="7"/>
      <c r="EC45" t="s">
        <v>464</v>
      </c>
      <c r="EJ45" s="7"/>
      <c r="EL45">
        <v>1</v>
      </c>
      <c r="EN45">
        <v>1</v>
      </c>
      <c r="EO45">
        <v>1</v>
      </c>
      <c r="ES45" s="7"/>
      <c r="EZ45" s="7"/>
      <c r="FB45" t="s">
        <v>463</v>
      </c>
      <c r="FG45" s="7"/>
      <c r="FN45" s="7"/>
      <c r="FU45" s="7"/>
      <c r="GB45" s="7"/>
      <c r="GI45" s="7"/>
      <c r="GP45" s="7"/>
      <c r="GW45" s="7"/>
      <c r="HD45" s="7"/>
      <c r="HK45" s="7"/>
      <c r="HR45" s="7"/>
      <c r="HY45" s="7"/>
      <c r="IF45" s="7"/>
      <c r="IM45" s="7"/>
      <c r="IT45" s="7"/>
      <c r="JA45" s="7"/>
      <c r="JH45" s="7"/>
      <c r="JO45" s="7"/>
      <c r="JV45" s="7"/>
      <c r="KC45" s="7"/>
      <c r="KJ45" s="7"/>
      <c r="KQ45" s="7"/>
      <c r="KX45" s="7"/>
      <c r="LE45" s="7"/>
      <c r="LL45" s="7"/>
      <c r="LS45" s="7"/>
      <c r="LZ45" s="7"/>
      <c r="MG45" s="7"/>
      <c r="MN45" s="7"/>
    </row>
    <row r="46" spans="1:352" ht="15" customHeight="1" x14ac:dyDescent="0.25">
      <c r="A46" s="8" t="s">
        <v>73</v>
      </c>
      <c r="B46" s="8" t="s">
        <v>108</v>
      </c>
      <c r="C46" s="8" t="s">
        <v>107</v>
      </c>
      <c r="D46" s="8" t="s">
        <v>106</v>
      </c>
      <c r="E46" s="18">
        <v>39474</v>
      </c>
      <c r="F46" s="10">
        <f t="shared" si="353"/>
        <v>1</v>
      </c>
      <c r="G46" s="19">
        <f t="shared" si="353"/>
        <v>1</v>
      </c>
      <c r="H46" s="19">
        <f t="shared" si="353"/>
        <v>1</v>
      </c>
      <c r="I46" s="19">
        <f t="shared" si="353"/>
        <v>1</v>
      </c>
      <c r="J46" s="19">
        <f t="shared" si="353"/>
        <v>1</v>
      </c>
      <c r="K46" s="19" t="str">
        <f t="shared" si="353"/>
        <v/>
      </c>
      <c r="L46" s="19" t="str">
        <f t="shared" si="353"/>
        <v/>
      </c>
      <c r="M46" s="8">
        <v>1</v>
      </c>
      <c r="N46" s="8"/>
      <c r="O46" s="9"/>
      <c r="P46" s="8">
        <f t="shared" si="354"/>
        <v>22</v>
      </c>
      <c r="Q46" s="109">
        <f t="shared" si="355"/>
        <v>95.652173913043484</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C46">
        <v>1</v>
      </c>
      <c r="EE46">
        <v>1</v>
      </c>
      <c r="EF46">
        <v>1</v>
      </c>
      <c r="EJ46" s="7"/>
      <c r="EL46">
        <v>1</v>
      </c>
      <c r="EN46">
        <v>1</v>
      </c>
      <c r="EO46">
        <v>1</v>
      </c>
      <c r="ES46" s="7"/>
      <c r="EZ46" s="7"/>
      <c r="FG46" s="7"/>
      <c r="FN46" s="7"/>
      <c r="FU46" s="7"/>
      <c r="GB46" s="7"/>
      <c r="GI46" s="7"/>
      <c r="GP46" s="7"/>
      <c r="GW46" s="7"/>
      <c r="HD46" s="7"/>
      <c r="HK46" s="7"/>
      <c r="HR46" s="7"/>
      <c r="HY46" s="7"/>
      <c r="IF46" s="7"/>
      <c r="IM46" s="7"/>
      <c r="IT46" s="7"/>
      <c r="JA46" s="7"/>
      <c r="JH46" s="7"/>
      <c r="JO46" s="7"/>
      <c r="JV46" s="7"/>
      <c r="KC46" s="7"/>
      <c r="KJ46" s="7"/>
      <c r="KQ46" s="7"/>
      <c r="KX46" s="7"/>
      <c r="LE46" s="7"/>
      <c r="LL46" s="7"/>
      <c r="LS46" s="7"/>
      <c r="LZ46" s="7"/>
      <c r="MG46" s="7"/>
      <c r="MN46" s="7"/>
    </row>
    <row r="47" spans="1:352" ht="15" customHeight="1" x14ac:dyDescent="0.25">
      <c r="A47" s="8" t="s">
        <v>237</v>
      </c>
      <c r="B47" s="8" t="s">
        <v>238</v>
      </c>
      <c r="C47" s="8" t="s">
        <v>239</v>
      </c>
      <c r="D47" s="8" t="s">
        <v>240</v>
      </c>
      <c r="E47" s="18">
        <v>39425</v>
      </c>
      <c r="F47" s="10">
        <f t="shared" si="353"/>
        <v>1</v>
      </c>
      <c r="G47" s="19">
        <f t="shared" si="353"/>
        <v>1</v>
      </c>
      <c r="H47" s="19">
        <f t="shared" si="353"/>
        <v>1</v>
      </c>
      <c r="I47" s="19">
        <f t="shared" si="353"/>
        <v>1</v>
      </c>
      <c r="J47" s="19" t="str">
        <f t="shared" si="353"/>
        <v/>
      </c>
      <c r="K47" s="19" t="str">
        <f t="shared" si="353"/>
        <v/>
      </c>
      <c r="L47" s="19" t="str">
        <f t="shared" si="353"/>
        <v/>
      </c>
      <c r="M47" s="8">
        <v>1</v>
      </c>
      <c r="N47" s="8"/>
      <c r="O47" s="9"/>
      <c r="P47" s="8">
        <f t="shared" si="354"/>
        <v>20</v>
      </c>
      <c r="Q47" s="109">
        <f t="shared" si="355"/>
        <v>86.956521739130437</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C47">
        <v>1</v>
      </c>
      <c r="EE47">
        <v>1</v>
      </c>
      <c r="EF47">
        <v>1</v>
      </c>
      <c r="EJ47" s="7"/>
      <c r="EN47">
        <v>1</v>
      </c>
      <c r="EO47">
        <v>1</v>
      </c>
      <c r="ES47" s="7"/>
      <c r="EZ47" s="7"/>
      <c r="FG47" s="7"/>
      <c r="FN47" s="7"/>
      <c r="FU47" s="7"/>
      <c r="GB47" s="7"/>
      <c r="GI47" s="7"/>
      <c r="GP47" s="7"/>
      <c r="GW47" s="7"/>
      <c r="HD47" s="7"/>
      <c r="HK47" s="7"/>
      <c r="HR47" s="7"/>
      <c r="HY47" s="7"/>
      <c r="IF47" s="7"/>
      <c r="IM47" s="7"/>
      <c r="IT47" s="7"/>
      <c r="JA47" s="7"/>
      <c r="JH47" s="7"/>
      <c r="JO47" s="7"/>
      <c r="JV47" s="7"/>
      <c r="KC47" s="7"/>
      <c r="KJ47" s="7"/>
      <c r="KQ47" s="7"/>
      <c r="KX47" s="7"/>
      <c r="LE47" s="7"/>
      <c r="LL47" s="7"/>
      <c r="LS47" s="7"/>
      <c r="LZ47" s="7"/>
      <c r="MG47" s="7"/>
      <c r="MN47" s="7"/>
    </row>
    <row r="48" spans="1:352" ht="15" hidden="1" customHeight="1" x14ac:dyDescent="0.25">
      <c r="A48" s="8" t="s">
        <v>234</v>
      </c>
      <c r="B48" s="8"/>
      <c r="C48" s="8" t="s">
        <v>36</v>
      </c>
      <c r="D48" s="8" t="s">
        <v>235</v>
      </c>
      <c r="E48" s="18">
        <v>38536</v>
      </c>
      <c r="F48" s="10">
        <f t="shared" si="353"/>
        <v>1</v>
      </c>
      <c r="G48" s="19">
        <f t="shared" si="353"/>
        <v>1</v>
      </c>
      <c r="H48" s="19" t="str">
        <f t="shared" si="353"/>
        <v/>
      </c>
      <c r="I48" s="19" t="str">
        <f t="shared" si="353"/>
        <v/>
      </c>
      <c r="J48" s="19" t="str">
        <f t="shared" si="353"/>
        <v/>
      </c>
      <c r="K48" s="19" t="str">
        <f t="shared" si="353"/>
        <v/>
      </c>
      <c r="L48" s="19" t="str">
        <f t="shared" si="353"/>
        <v/>
      </c>
      <c r="M48" s="8">
        <v>1</v>
      </c>
      <c r="N48" s="8"/>
      <c r="O48" s="9"/>
      <c r="P48" s="8">
        <f t="shared" si="354"/>
        <v>5</v>
      </c>
      <c r="Q48" s="109">
        <f t="shared" si="355"/>
        <v>21.739130434782609</v>
      </c>
      <c r="R48" s="84"/>
      <c r="S48" s="7"/>
      <c r="Z48" s="7"/>
      <c r="AG48" s="7"/>
      <c r="AI48">
        <v>1</v>
      </c>
      <c r="AN48" s="7"/>
      <c r="AR48">
        <v>1</v>
      </c>
      <c r="AU48" s="7"/>
      <c r="BB48" s="7"/>
      <c r="BD48">
        <v>1</v>
      </c>
      <c r="BI48" s="7"/>
      <c r="BM48">
        <v>1</v>
      </c>
      <c r="BN48">
        <v>1</v>
      </c>
      <c r="BP48" s="7"/>
      <c r="BY48" s="7"/>
      <c r="CH48" s="7"/>
      <c r="CQ48" s="7"/>
      <c r="CZ48" s="7"/>
      <c r="DI48" s="7"/>
      <c r="DR48" s="7"/>
      <c r="DT48" t="s">
        <v>446</v>
      </c>
      <c r="EA48" s="7"/>
      <c r="EJ48" s="7"/>
      <c r="ES48" s="7"/>
      <c r="EZ48" s="7"/>
      <c r="FG48" s="7"/>
      <c r="FN48" s="7"/>
      <c r="FU48" s="7"/>
      <c r="GB48" s="7"/>
      <c r="GI48" s="7"/>
      <c r="GP48" s="7"/>
      <c r="GW48" s="7"/>
      <c r="HD48" s="7"/>
      <c r="HK48" s="7"/>
      <c r="HR48" s="7"/>
      <c r="HY48" s="7"/>
      <c r="IF48" s="7"/>
      <c r="IM48" s="7"/>
      <c r="IT48" s="7"/>
      <c r="JA48" s="7"/>
      <c r="JH48" s="7"/>
      <c r="JO48" s="7"/>
      <c r="JV48" s="7"/>
      <c r="KC48" s="7"/>
      <c r="KJ48" s="7"/>
      <c r="KQ48" s="7"/>
      <c r="KX48" s="7"/>
      <c r="LE48" s="7"/>
      <c r="LL48" s="7"/>
      <c r="LS48" s="7"/>
      <c r="LZ48" s="7"/>
      <c r="MG48" s="7"/>
      <c r="MN48" s="7"/>
    </row>
    <row r="49" spans="1:352" hidden="1" x14ac:dyDescent="0.25">
      <c r="A49" s="8" t="s">
        <v>230</v>
      </c>
      <c r="B49" s="8" t="s">
        <v>231</v>
      </c>
      <c r="C49" s="8" t="s">
        <v>233</v>
      </c>
      <c r="D49" s="8" t="s">
        <v>232</v>
      </c>
      <c r="E49" s="18">
        <v>38679</v>
      </c>
      <c r="F49" s="10">
        <f t="shared" si="353"/>
        <v>1</v>
      </c>
      <c r="G49" s="19">
        <f t="shared" si="353"/>
        <v>1</v>
      </c>
      <c r="H49" s="19" t="str">
        <f t="shared" si="353"/>
        <v/>
      </c>
      <c r="I49" s="19" t="str">
        <f t="shared" si="353"/>
        <v/>
      </c>
      <c r="J49" s="19" t="str">
        <f t="shared" si="353"/>
        <v/>
      </c>
      <c r="K49" s="19" t="str">
        <f t="shared" si="353"/>
        <v/>
      </c>
      <c r="L49" s="19" t="str">
        <f t="shared" si="353"/>
        <v/>
      </c>
      <c r="M49" s="8">
        <v>1</v>
      </c>
      <c r="N49" s="8"/>
      <c r="O49" s="9"/>
      <c r="P49" s="8">
        <f t="shared" si="354"/>
        <v>6</v>
      </c>
      <c r="Q49" s="109">
        <f t="shared" si="355"/>
        <v>26.086956521739129</v>
      </c>
      <c r="R49" s="84"/>
      <c r="S49" s="7"/>
      <c r="Z49" s="7"/>
      <c r="AG49" s="7"/>
      <c r="AI49">
        <v>1</v>
      </c>
      <c r="AN49" s="7"/>
      <c r="AR49">
        <v>1</v>
      </c>
      <c r="AU49" s="7"/>
      <c r="BB49" s="7"/>
      <c r="BD49">
        <v>1</v>
      </c>
      <c r="BI49" s="7"/>
      <c r="BM49">
        <v>1</v>
      </c>
      <c r="BN49">
        <v>1</v>
      </c>
      <c r="BP49" s="7"/>
      <c r="BY49" s="7"/>
      <c r="CH49" s="7"/>
      <c r="CQ49" s="7"/>
      <c r="CZ49" s="7"/>
      <c r="DI49" s="7"/>
      <c r="DR49" s="7"/>
      <c r="DT49" t="s">
        <v>446</v>
      </c>
      <c r="DW49">
        <v>1</v>
      </c>
      <c r="EA49" s="7"/>
      <c r="EJ49" s="7"/>
      <c r="ES49" s="7"/>
      <c r="EZ49" s="7"/>
      <c r="FG49" s="7"/>
      <c r="FN49" s="7"/>
      <c r="FU49" s="7"/>
      <c r="GB49" s="7"/>
      <c r="GI49" s="7"/>
      <c r="GP49" s="7"/>
      <c r="GW49" s="7"/>
      <c r="HD49" s="7"/>
      <c r="HK49" s="7"/>
      <c r="HR49" s="7"/>
      <c r="HY49" s="7"/>
      <c r="IF49" s="7"/>
      <c r="IM49" s="7"/>
      <c r="IT49" s="7"/>
      <c r="JA49" s="7"/>
      <c r="JH49" s="7"/>
      <c r="JO49" s="7"/>
      <c r="JV49" s="7"/>
      <c r="KC49" s="7"/>
      <c r="KJ49" s="7"/>
      <c r="KQ49" s="7"/>
      <c r="KX49" s="7"/>
      <c r="LE49" s="7"/>
      <c r="LL49" s="7"/>
      <c r="LS49" s="7"/>
      <c r="LZ49" s="7"/>
      <c r="MG49" s="7"/>
      <c r="MN49" s="7"/>
    </row>
    <row r="50" spans="1:352" hidden="1" x14ac:dyDescent="0.25">
      <c r="A50" s="8" t="s">
        <v>62</v>
      </c>
      <c r="B50" s="8"/>
      <c r="C50" s="8" t="s">
        <v>293</v>
      </c>
      <c r="D50" s="8" t="s">
        <v>294</v>
      </c>
      <c r="E50" s="18">
        <v>39814</v>
      </c>
      <c r="F50" s="10">
        <f t="shared" si="353"/>
        <v>1</v>
      </c>
      <c r="G50" s="19">
        <f t="shared" si="353"/>
        <v>1</v>
      </c>
      <c r="H50" s="19">
        <f t="shared" si="353"/>
        <v>1</v>
      </c>
      <c r="I50" s="8">
        <f t="shared" si="353"/>
        <v>1</v>
      </c>
      <c r="J50" s="8">
        <f t="shared" si="353"/>
        <v>1</v>
      </c>
      <c r="K50" s="8">
        <f t="shared" si="353"/>
        <v>1</v>
      </c>
      <c r="L50" s="8" t="str">
        <f t="shared" si="353"/>
        <v/>
      </c>
      <c r="M50" s="8">
        <v>1</v>
      </c>
      <c r="N50" s="8"/>
      <c r="O50" s="9"/>
      <c r="P50" s="8">
        <f t="shared" si="354"/>
        <v>3</v>
      </c>
      <c r="Q50" s="109">
        <f t="shared" si="355"/>
        <v>13.043478260869565</v>
      </c>
      <c r="R50" s="84"/>
      <c r="S50" s="7"/>
      <c r="Z50" s="7"/>
      <c r="AG50" s="7"/>
      <c r="AN50" s="7"/>
      <c r="AP50">
        <v>1</v>
      </c>
      <c r="AU50" s="7"/>
      <c r="AY50">
        <v>1</v>
      </c>
      <c r="BB50" s="7"/>
      <c r="BF50">
        <v>1</v>
      </c>
      <c r="BI50" s="7"/>
      <c r="BP50" s="7"/>
      <c r="BY50" s="7"/>
      <c r="CH50" s="7"/>
      <c r="CQ50" s="7"/>
      <c r="CZ50" s="7"/>
      <c r="DI50" s="7"/>
      <c r="DR50" s="7"/>
      <c r="EA50" s="7"/>
      <c r="EJ50" s="7"/>
      <c r="ES50" s="7"/>
      <c r="EZ50" s="7"/>
      <c r="FG50" s="7"/>
      <c r="FN50" s="7"/>
      <c r="FU50" s="7"/>
      <c r="GB50" s="7"/>
      <c r="GI50" s="7"/>
      <c r="GP50" s="7"/>
      <c r="GW50" s="7"/>
      <c r="HD50" s="7"/>
      <c r="HK50" s="7"/>
      <c r="HR50" s="7"/>
      <c r="HY50" s="7"/>
      <c r="IF50" s="7"/>
      <c r="IM50" s="7"/>
      <c r="IT50" s="7"/>
      <c r="JA50" s="7"/>
      <c r="JH50" s="7"/>
      <c r="JO50" s="7"/>
      <c r="JV50" s="7"/>
      <c r="KC50" s="7"/>
      <c r="KJ50" s="7"/>
      <c r="KQ50" s="7"/>
      <c r="KX50" s="7"/>
      <c r="LE50" s="7"/>
      <c r="LL50" s="7"/>
      <c r="LS50" s="7"/>
      <c r="LZ50" s="7"/>
      <c r="MG50" s="7"/>
      <c r="MN50" s="7"/>
    </row>
    <row r="51" spans="1:352" x14ac:dyDescent="0.25">
      <c r="A51" s="8" t="s">
        <v>92</v>
      </c>
      <c r="B51" s="8"/>
      <c r="C51" s="8" t="s">
        <v>91</v>
      </c>
      <c r="D51" s="8" t="s">
        <v>90</v>
      </c>
      <c r="E51" s="18">
        <v>39507</v>
      </c>
      <c r="F51" s="10">
        <f t="shared" si="353"/>
        <v>1</v>
      </c>
      <c r="G51" s="19">
        <f t="shared" si="353"/>
        <v>1</v>
      </c>
      <c r="H51" s="19">
        <f t="shared" si="353"/>
        <v>1</v>
      </c>
      <c r="I51" s="19">
        <f t="shared" si="353"/>
        <v>1</v>
      </c>
      <c r="J51" s="19">
        <f t="shared" si="353"/>
        <v>1</v>
      </c>
      <c r="K51" s="19" t="str">
        <f t="shared" si="353"/>
        <v/>
      </c>
      <c r="L51" s="19" t="str">
        <f t="shared" si="353"/>
        <v/>
      </c>
      <c r="M51" s="8">
        <v>1</v>
      </c>
      <c r="N51" s="8"/>
      <c r="O51" s="9"/>
      <c r="P51" s="8">
        <f t="shared" si="354"/>
        <v>18</v>
      </c>
      <c r="Q51" s="109">
        <f t="shared" si="355"/>
        <v>78.260869565217391</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C51">
        <v>1</v>
      </c>
      <c r="EE51">
        <v>1</v>
      </c>
      <c r="EF51">
        <v>1</v>
      </c>
      <c r="EJ51" s="7"/>
      <c r="EL51">
        <v>1</v>
      </c>
      <c r="EN51">
        <v>1</v>
      </c>
      <c r="ES51" s="7"/>
      <c r="EZ51" s="7"/>
      <c r="FG51" s="7"/>
      <c r="FN51" s="7"/>
      <c r="FU51" s="7"/>
      <c r="GB51" s="7"/>
      <c r="GI51" s="7"/>
      <c r="GP51" s="7"/>
      <c r="GW51" s="7"/>
      <c r="HD51" s="7"/>
      <c r="HK51" s="7"/>
      <c r="HR51" s="7"/>
      <c r="HY51" s="7"/>
      <c r="IF51" s="7"/>
      <c r="IM51" s="7"/>
      <c r="IT51" s="7"/>
      <c r="JA51" s="7"/>
      <c r="JH51" s="7"/>
      <c r="JO51" s="7"/>
      <c r="JV51" s="7"/>
      <c r="KC51" s="7"/>
      <c r="KJ51" s="7"/>
      <c r="KQ51" s="7"/>
      <c r="KX51" s="7"/>
      <c r="LE51" s="7"/>
      <c r="LL51" s="7"/>
      <c r="LS51" s="7"/>
      <c r="LZ51" s="7"/>
      <c r="MG51" s="7"/>
      <c r="MN51" s="7"/>
    </row>
    <row r="52" spans="1:352" hidden="1" x14ac:dyDescent="0.25">
      <c r="A52" s="8" t="s">
        <v>89</v>
      </c>
      <c r="B52" s="8"/>
      <c r="C52" s="8" t="s">
        <v>88</v>
      </c>
      <c r="D52" s="8" t="s">
        <v>87</v>
      </c>
      <c r="E52" s="18">
        <v>39651</v>
      </c>
      <c r="F52" s="10">
        <f t="shared" si="353"/>
        <v>1</v>
      </c>
      <c r="G52" s="19">
        <f t="shared" si="353"/>
        <v>1</v>
      </c>
      <c r="H52" s="19">
        <f t="shared" si="353"/>
        <v>1</v>
      </c>
      <c r="I52" s="8">
        <f t="shared" si="353"/>
        <v>1</v>
      </c>
      <c r="J52" s="8">
        <f t="shared" si="353"/>
        <v>1</v>
      </c>
      <c r="K52" s="8" t="str">
        <f t="shared" si="353"/>
        <v/>
      </c>
      <c r="L52" s="8" t="str">
        <f t="shared" si="353"/>
        <v/>
      </c>
      <c r="M52" s="8">
        <v>1</v>
      </c>
      <c r="N52" s="8"/>
      <c r="O52" s="9"/>
      <c r="P52" s="8">
        <f t="shared" si="354"/>
        <v>3</v>
      </c>
      <c r="Q52" s="109">
        <f t="shared" si="355"/>
        <v>13.043478260869565</v>
      </c>
      <c r="R52" s="84"/>
      <c r="S52" s="7"/>
      <c r="Z52" s="7"/>
      <c r="AG52" s="7"/>
      <c r="AI52">
        <v>1</v>
      </c>
      <c r="AK52">
        <v>1</v>
      </c>
      <c r="AN52" s="7"/>
      <c r="AU52" s="7"/>
      <c r="AW52">
        <v>1</v>
      </c>
      <c r="BB52" s="7"/>
      <c r="BI52" s="7"/>
      <c r="BP52" s="7"/>
      <c r="BY52" s="7"/>
      <c r="CH52" s="7"/>
      <c r="CQ52" s="7"/>
      <c r="CZ52" s="7"/>
      <c r="DI52" s="7"/>
      <c r="DR52" s="7"/>
      <c r="EA52" s="7"/>
      <c r="EJ52" s="7"/>
      <c r="ES52" s="7"/>
      <c r="EZ52" s="7"/>
      <c r="FG52" s="7"/>
      <c r="FN52" s="7"/>
      <c r="FU52" s="7"/>
      <c r="GB52" s="7"/>
      <c r="GI52" s="7"/>
      <c r="GP52" s="7"/>
      <c r="GW52" s="7"/>
      <c r="HD52" s="7"/>
      <c r="HK52" s="7"/>
      <c r="HR52" s="7"/>
      <c r="HY52" s="7"/>
      <c r="IF52" s="7"/>
      <c r="IM52" s="7"/>
      <c r="IT52" s="7"/>
      <c r="JA52" s="7"/>
      <c r="JH52" s="7"/>
      <c r="JO52" s="7"/>
      <c r="JV52" s="7"/>
      <c r="KC52" s="7"/>
      <c r="KJ52" s="7"/>
      <c r="KQ52" s="7"/>
      <c r="KX52" s="7"/>
      <c r="LE52" s="7"/>
      <c r="LL52" s="7"/>
      <c r="LS52" s="7"/>
      <c r="LZ52" s="7"/>
      <c r="MG52" s="7"/>
      <c r="MN52" s="7"/>
    </row>
    <row r="53" spans="1:352" x14ac:dyDescent="0.25">
      <c r="A53" s="8" t="s">
        <v>134</v>
      </c>
      <c r="B53" s="8" t="s">
        <v>133</v>
      </c>
      <c r="C53" s="8" t="s">
        <v>236</v>
      </c>
      <c r="D53" s="8" t="s">
        <v>87</v>
      </c>
      <c r="E53" s="18">
        <v>38979</v>
      </c>
      <c r="F53" s="10">
        <f t="shared" si="353"/>
        <v>1</v>
      </c>
      <c r="G53" s="19">
        <f t="shared" si="353"/>
        <v>1</v>
      </c>
      <c r="H53" s="19">
        <f t="shared" si="353"/>
        <v>1</v>
      </c>
      <c r="I53" s="8" t="str">
        <f t="shared" si="353"/>
        <v/>
      </c>
      <c r="J53" s="8" t="str">
        <f t="shared" si="353"/>
        <v/>
      </c>
      <c r="K53" s="8" t="str">
        <f t="shared" si="353"/>
        <v/>
      </c>
      <c r="L53" s="8" t="str">
        <f t="shared" si="353"/>
        <v/>
      </c>
      <c r="M53" s="8">
        <v>1</v>
      </c>
      <c r="N53" s="8"/>
      <c r="O53" s="9"/>
      <c r="P53" s="8">
        <f t="shared" si="354"/>
        <v>15</v>
      </c>
      <c r="Q53" s="109">
        <f t="shared" si="355"/>
        <v>65.217391304347828</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C53">
        <v>1</v>
      </c>
      <c r="EE53">
        <v>1</v>
      </c>
      <c r="EJ53" s="7"/>
      <c r="EL53">
        <v>1</v>
      </c>
      <c r="EN53">
        <v>1</v>
      </c>
      <c r="EO53">
        <v>1</v>
      </c>
      <c r="ES53" s="7"/>
      <c r="EZ53" s="7"/>
      <c r="FG53" s="7"/>
      <c r="FN53" s="7"/>
      <c r="FU53" s="7"/>
      <c r="GB53" s="7"/>
      <c r="GI53" s="7"/>
      <c r="GP53" s="7"/>
      <c r="GW53" s="7"/>
      <c r="HD53" s="7"/>
      <c r="HK53" s="7"/>
      <c r="HR53" s="7"/>
      <c r="HY53" s="7"/>
      <c r="IF53" s="7"/>
      <c r="IM53" s="7"/>
      <c r="IT53" s="7"/>
      <c r="JA53" s="7"/>
      <c r="JH53" s="7"/>
      <c r="JO53" s="7"/>
      <c r="JV53" s="7"/>
      <c r="KC53" s="7"/>
      <c r="KJ53" s="7"/>
      <c r="KQ53" s="7"/>
      <c r="KX53" s="7"/>
      <c r="LE53" s="7"/>
      <c r="LL53" s="7"/>
      <c r="LS53" s="7"/>
      <c r="LZ53" s="7"/>
      <c r="MG53" s="7"/>
      <c r="MN53" s="7"/>
    </row>
    <row r="54" spans="1:352" x14ac:dyDescent="0.25">
      <c r="A54" s="8" t="s">
        <v>86</v>
      </c>
      <c r="B54" s="8"/>
      <c r="C54" s="8" t="s">
        <v>85</v>
      </c>
      <c r="D54" s="8" t="s">
        <v>84</v>
      </c>
      <c r="E54" s="18">
        <v>39562</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5</v>
      </c>
      <c r="Q54" s="109">
        <f t="shared" si="355"/>
        <v>21.739130434782609</v>
      </c>
      <c r="R54" s="84"/>
      <c r="S54" s="7"/>
      <c r="Z54" s="7"/>
      <c r="AG54" s="7"/>
      <c r="AN54" s="7"/>
      <c r="AP54">
        <v>1</v>
      </c>
      <c r="AR54">
        <v>1</v>
      </c>
      <c r="AU54" s="7"/>
      <c r="AW54">
        <v>1</v>
      </c>
      <c r="BB54" s="7"/>
      <c r="BI54" s="7"/>
      <c r="BM54">
        <v>1</v>
      </c>
      <c r="BN54">
        <v>1</v>
      </c>
      <c r="BP54" s="7"/>
      <c r="BY54" s="7"/>
      <c r="CH54" s="7"/>
      <c r="CQ54" s="7"/>
      <c r="CZ54" s="7"/>
      <c r="DI54" s="7"/>
      <c r="DR54" s="7"/>
      <c r="EA54" s="7"/>
      <c r="EJ54" s="7"/>
      <c r="ES54" s="7"/>
      <c r="EZ54" s="7"/>
      <c r="FB54" t="s">
        <v>482</v>
      </c>
      <c r="FG54" s="7"/>
      <c r="FN54" s="7"/>
      <c r="FU54" s="7"/>
      <c r="GB54" s="7"/>
      <c r="GI54" s="7"/>
      <c r="GP54" s="7"/>
      <c r="GW54" s="7"/>
      <c r="HD54" s="7"/>
      <c r="HK54" s="7"/>
      <c r="HR54" s="7"/>
      <c r="HY54" s="7"/>
      <c r="IF54" s="7"/>
      <c r="IM54" s="7"/>
      <c r="IT54" s="7"/>
      <c r="JA54" s="7"/>
      <c r="JH54" s="7"/>
      <c r="JO54" s="7"/>
      <c r="JV54" s="7"/>
      <c r="KC54" s="7"/>
      <c r="KJ54" s="7"/>
      <c r="KQ54" s="7"/>
      <c r="KX54" s="7"/>
      <c r="LE54" s="7"/>
      <c r="LL54" s="7"/>
      <c r="LS54" s="7"/>
      <c r="LZ54" s="7"/>
      <c r="MG54" s="7"/>
      <c r="MN54" s="7"/>
    </row>
    <row r="55" spans="1:352" x14ac:dyDescent="0.25">
      <c r="A55" s="8" t="s">
        <v>83</v>
      </c>
      <c r="B55" s="8"/>
      <c r="C55" s="8" t="s">
        <v>82</v>
      </c>
      <c r="D55" s="8" t="s">
        <v>81</v>
      </c>
      <c r="E55" s="18">
        <v>39475</v>
      </c>
      <c r="F55" s="10">
        <f t="shared" si="353"/>
        <v>1</v>
      </c>
      <c r="G55" s="19">
        <f t="shared" si="353"/>
        <v>1</v>
      </c>
      <c r="H55" s="19">
        <f t="shared" si="353"/>
        <v>1</v>
      </c>
      <c r="I55" s="8">
        <f t="shared" si="353"/>
        <v>1</v>
      </c>
      <c r="J55" s="8">
        <f t="shared" si="353"/>
        <v>1</v>
      </c>
      <c r="K55" s="8" t="str">
        <f t="shared" si="353"/>
        <v/>
      </c>
      <c r="L55" s="8" t="str">
        <f t="shared" si="353"/>
        <v/>
      </c>
      <c r="M55" s="8">
        <v>1</v>
      </c>
      <c r="N55" s="8"/>
      <c r="O55" s="9"/>
      <c r="P55" s="8">
        <f t="shared" si="354"/>
        <v>18</v>
      </c>
      <c r="Q55" s="109">
        <f t="shared" si="355"/>
        <v>78.260869565217391</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C55">
        <v>1</v>
      </c>
      <c r="EE55">
        <v>1</v>
      </c>
      <c r="EJ55" s="7"/>
      <c r="EL55">
        <v>1</v>
      </c>
      <c r="EN55">
        <v>1</v>
      </c>
      <c r="EO55">
        <v>1</v>
      </c>
      <c r="ES55" s="7"/>
      <c r="EZ55" s="7"/>
      <c r="FG55" s="7"/>
      <c r="FN55" s="7"/>
      <c r="FU55" s="7"/>
      <c r="GB55" s="7"/>
      <c r="GI55" s="7"/>
      <c r="GP55" s="7"/>
      <c r="GW55" s="7"/>
      <c r="HD55" s="7"/>
      <c r="HK55" s="7"/>
      <c r="HR55" s="7"/>
      <c r="HY55" s="7"/>
      <c r="IF55" s="7"/>
      <c r="IM55" s="7"/>
      <c r="IT55" s="7"/>
      <c r="JA55" s="7"/>
      <c r="JH55" s="7"/>
      <c r="JO55" s="7"/>
      <c r="JV55" s="7"/>
      <c r="KC55" s="7"/>
      <c r="KJ55" s="7"/>
      <c r="KQ55" s="7"/>
      <c r="KX55" s="7"/>
      <c r="LE55" s="7"/>
      <c r="LL55" s="7"/>
      <c r="LS55" s="7"/>
      <c r="LZ55" s="7"/>
      <c r="MG55" s="7"/>
      <c r="MN55" s="7"/>
    </row>
    <row r="56" spans="1:352" x14ac:dyDescent="0.25">
      <c r="A56" s="8" t="s">
        <v>80</v>
      </c>
      <c r="B56" s="8"/>
      <c r="C56" s="8" t="s">
        <v>79</v>
      </c>
      <c r="D56" s="8" t="s">
        <v>78</v>
      </c>
      <c r="E56" s="18">
        <v>39927</v>
      </c>
      <c r="F56" s="10">
        <f t="shared" si="353"/>
        <v>1</v>
      </c>
      <c r="G56" s="19">
        <f t="shared" si="353"/>
        <v>1</v>
      </c>
      <c r="H56" s="19">
        <f t="shared" si="353"/>
        <v>1</v>
      </c>
      <c r="I56" s="8">
        <f t="shared" si="353"/>
        <v>1</v>
      </c>
      <c r="J56" s="8">
        <f t="shared" si="353"/>
        <v>1</v>
      </c>
      <c r="K56" s="8">
        <f t="shared" si="353"/>
        <v>1</v>
      </c>
      <c r="L56" s="8" t="str">
        <f t="shared" si="353"/>
        <v/>
      </c>
      <c r="M56" s="8">
        <v>1</v>
      </c>
      <c r="N56" s="8"/>
      <c r="O56" s="9"/>
      <c r="P56" s="8">
        <f t="shared" si="354"/>
        <v>4</v>
      </c>
      <c r="Q56" s="109">
        <f t="shared" si="355"/>
        <v>17.391304347826086</v>
      </c>
      <c r="R56" s="84"/>
      <c r="S56" s="7"/>
      <c r="Z56" s="7"/>
      <c r="AG56" s="7"/>
      <c r="AI56">
        <v>1</v>
      </c>
      <c r="AK56">
        <v>1</v>
      </c>
      <c r="AN56" s="7"/>
      <c r="AP56">
        <v>1</v>
      </c>
      <c r="AU56" s="7"/>
      <c r="AW56">
        <v>1</v>
      </c>
      <c r="BB56" s="7"/>
      <c r="BI56" s="7"/>
      <c r="BP56" s="7"/>
      <c r="BY56" s="7"/>
      <c r="CH56" s="7"/>
      <c r="CQ56" s="7"/>
      <c r="CZ56" s="7"/>
      <c r="DI56" s="7"/>
      <c r="DR56" s="7"/>
      <c r="EA56" s="7"/>
      <c r="EJ56" s="7"/>
      <c r="ES56" s="7"/>
      <c r="EZ56" s="7"/>
      <c r="FB56" t="s">
        <v>445</v>
      </c>
      <c r="FG56" s="7"/>
      <c r="FN56" s="7"/>
      <c r="FU56" s="7"/>
      <c r="GB56" s="7"/>
      <c r="GI56" s="7"/>
      <c r="GP56" s="7"/>
      <c r="GW56" s="7"/>
      <c r="HD56" s="7"/>
      <c r="HK56" s="7"/>
      <c r="HR56" s="7"/>
      <c r="HY56" s="7"/>
      <c r="IF56" s="7"/>
      <c r="IM56" s="7"/>
      <c r="IT56" s="7"/>
      <c r="JA56" s="7"/>
      <c r="JH56" s="7"/>
      <c r="JO56" s="7"/>
      <c r="JV56" s="7"/>
      <c r="KC56" s="7"/>
      <c r="KJ56" s="7"/>
      <c r="KQ56" s="7"/>
      <c r="KX56" s="7"/>
      <c r="LE56" s="7"/>
      <c r="LL56" s="7"/>
      <c r="LS56" s="7"/>
      <c r="LZ56" s="7"/>
      <c r="MG56" s="7"/>
      <c r="MN56" s="7"/>
    </row>
    <row r="57" spans="1:352" x14ac:dyDescent="0.25">
      <c r="A57" s="8" t="s">
        <v>77</v>
      </c>
      <c r="B57" s="8" t="s">
        <v>76</v>
      </c>
      <c r="C57" s="8" t="s">
        <v>75</v>
      </c>
      <c r="D57" s="8" t="s">
        <v>74</v>
      </c>
      <c r="E57" s="18">
        <v>40051</v>
      </c>
      <c r="F57" s="10">
        <f t="shared" ref="F57:L63" si="356">IF($E57 &gt;= F$42, 1, "")</f>
        <v>1</v>
      </c>
      <c r="G57" s="19">
        <f t="shared" si="356"/>
        <v>1</v>
      </c>
      <c r="H57" s="19">
        <f t="shared" si="356"/>
        <v>1</v>
      </c>
      <c r="I57" s="8">
        <f t="shared" si="356"/>
        <v>1</v>
      </c>
      <c r="J57" s="8">
        <f t="shared" si="356"/>
        <v>1</v>
      </c>
      <c r="K57" s="8">
        <f t="shared" si="356"/>
        <v>1</v>
      </c>
      <c r="L57" s="8" t="str">
        <f t="shared" si="356"/>
        <v/>
      </c>
      <c r="M57" s="8">
        <v>1</v>
      </c>
      <c r="N57" s="8"/>
      <c r="O57" s="9"/>
      <c r="P57" s="8">
        <f t="shared" si="354"/>
        <v>7</v>
      </c>
      <c r="Q57" s="109">
        <f t="shared" si="355"/>
        <v>30.434782608695656</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J57" s="7"/>
      <c r="ES57" s="7"/>
      <c r="EZ57" s="7"/>
      <c r="FB57" t="s">
        <v>483</v>
      </c>
      <c r="FG57" s="7"/>
      <c r="FN57" s="7"/>
      <c r="FU57" s="7"/>
      <c r="GB57" s="7"/>
      <c r="GI57" s="7"/>
      <c r="GP57" s="7"/>
      <c r="GW57" s="7"/>
      <c r="HD57" s="7"/>
      <c r="HK57" s="7"/>
      <c r="HR57" s="7"/>
      <c r="HY57" s="7"/>
      <c r="IF57" s="7"/>
      <c r="IM57" s="7"/>
      <c r="IT57" s="7"/>
      <c r="JA57" s="7"/>
      <c r="JH57" s="7"/>
      <c r="JO57" s="7"/>
      <c r="JV57" s="7"/>
      <c r="KC57" s="7"/>
      <c r="KJ57" s="7"/>
      <c r="KQ57" s="7"/>
      <c r="KX57" s="7"/>
      <c r="LE57" s="7"/>
      <c r="LL57" s="7"/>
      <c r="LS57" s="7"/>
      <c r="LZ57" s="7"/>
      <c r="MG57" s="7"/>
      <c r="MN57" s="7"/>
    </row>
    <row r="58" spans="1:352" x14ac:dyDescent="0.25">
      <c r="A58" s="8" t="s">
        <v>73</v>
      </c>
      <c r="B58" s="8"/>
      <c r="C58" s="8" t="s">
        <v>27</v>
      </c>
      <c r="D58" s="8" t="s">
        <v>70</v>
      </c>
      <c r="E58" s="18">
        <v>40004</v>
      </c>
      <c r="F58" s="10">
        <f t="shared" si="356"/>
        <v>1</v>
      </c>
      <c r="G58" s="19">
        <f t="shared" si="356"/>
        <v>1</v>
      </c>
      <c r="H58" s="19">
        <f t="shared" si="356"/>
        <v>1</v>
      </c>
      <c r="I58" s="8">
        <f t="shared" si="356"/>
        <v>1</v>
      </c>
      <c r="J58" s="8">
        <f t="shared" si="356"/>
        <v>1</v>
      </c>
      <c r="K58" s="8">
        <f t="shared" si="356"/>
        <v>1</v>
      </c>
      <c r="L58" s="8" t="str">
        <f t="shared" si="356"/>
        <v/>
      </c>
      <c r="M58" s="8">
        <v>1</v>
      </c>
      <c r="N58" s="8"/>
      <c r="O58" s="9"/>
      <c r="P58" s="8">
        <f t="shared" si="354"/>
        <v>8</v>
      </c>
      <c r="Q58" s="109">
        <f t="shared" si="355"/>
        <v>34.782608695652172</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J58" s="7"/>
      <c r="ES58" s="7"/>
      <c r="EZ58" s="7"/>
      <c r="FB58" t="s">
        <v>445</v>
      </c>
      <c r="FG58" s="7"/>
      <c r="FN58" s="7"/>
      <c r="FU58" s="7"/>
      <c r="GB58" s="7"/>
      <c r="GI58" s="7"/>
      <c r="GP58" s="7"/>
      <c r="GW58" s="7"/>
      <c r="HD58" s="7"/>
      <c r="HK58" s="7"/>
      <c r="HR58" s="7"/>
      <c r="HY58" s="7"/>
      <c r="IF58" s="7"/>
      <c r="IM58" s="7"/>
      <c r="IT58" s="7"/>
      <c r="JA58" s="7"/>
      <c r="JH58" s="7"/>
      <c r="JO58" s="7"/>
      <c r="JV58" s="7"/>
      <c r="KC58" s="7"/>
      <c r="KJ58" s="7"/>
      <c r="KQ58" s="7"/>
      <c r="KX58" s="7"/>
      <c r="LE58" s="7"/>
      <c r="LL58" s="7"/>
      <c r="LS58" s="7"/>
      <c r="LZ58" s="7"/>
      <c r="MG58" s="7"/>
      <c r="MN58" s="7"/>
    </row>
    <row r="59" spans="1:352" hidden="1" x14ac:dyDescent="0.25">
      <c r="A59" s="8"/>
      <c r="B59" s="8"/>
      <c r="C59" s="8"/>
      <c r="D59" s="8"/>
      <c r="E59" s="18"/>
      <c r="F59" s="10" t="str">
        <f t="shared" si="356"/>
        <v/>
      </c>
      <c r="G59" s="19" t="str">
        <f t="shared" si="356"/>
        <v/>
      </c>
      <c r="H59" s="19" t="str">
        <f t="shared" si="356"/>
        <v/>
      </c>
      <c r="I59" s="8" t="str">
        <f t="shared" si="356"/>
        <v/>
      </c>
      <c r="J59" s="8" t="str">
        <f t="shared" si="356"/>
        <v/>
      </c>
      <c r="K59" s="8" t="str">
        <f t="shared" si="356"/>
        <v/>
      </c>
      <c r="L59" s="8" t="str">
        <f t="shared" si="356"/>
        <v/>
      </c>
      <c r="M59" s="8"/>
      <c r="N59" s="8"/>
      <c r="O59" s="9"/>
      <c r="P59" s="8" t="str">
        <f t="shared" si="354"/>
        <v/>
      </c>
      <c r="Q59" s="109" t="str">
        <f t="shared" si="355"/>
        <v/>
      </c>
      <c r="R59" s="84" t="str">
        <f>IF(SUM(S59:XFD59) &gt; 0, SUM(S59:XFD59) / $P$64 * 100, "")</f>
        <v/>
      </c>
      <c r="S59" s="7"/>
      <c r="Z59" s="7"/>
      <c r="AG59" s="7"/>
      <c r="AN59" s="7"/>
      <c r="AU59" s="7"/>
      <c r="BB59" s="7"/>
      <c r="BI59" s="7"/>
      <c r="BP59" s="7"/>
      <c r="BY59" s="7"/>
      <c r="CH59" s="7"/>
      <c r="CQ59" s="7"/>
      <c r="CZ59" s="7"/>
      <c r="DI59" s="7"/>
      <c r="DR59" s="7"/>
      <c r="EA59" s="7"/>
      <c r="EJ59" s="7"/>
      <c r="ES59" s="7"/>
      <c r="EZ59" s="7"/>
      <c r="FG59" s="7"/>
      <c r="FN59" s="7"/>
      <c r="FU59" s="7"/>
      <c r="GB59" s="7"/>
      <c r="GI59" s="7"/>
      <c r="GP59" s="7"/>
      <c r="GW59" s="7"/>
      <c r="HD59" s="7"/>
      <c r="HK59" s="7"/>
      <c r="HR59" s="7"/>
      <c r="HY59" s="7"/>
      <c r="IF59" s="7"/>
      <c r="IM59" s="7"/>
      <c r="IT59" s="7"/>
      <c r="JA59" s="7"/>
      <c r="JH59" s="7"/>
      <c r="JO59" s="7"/>
      <c r="JV59" s="7"/>
      <c r="KC59" s="7"/>
      <c r="KJ59" s="7"/>
      <c r="KQ59" s="7"/>
      <c r="KX59" s="7"/>
      <c r="LE59" s="7"/>
      <c r="LL59" s="7"/>
      <c r="LS59" s="7"/>
      <c r="LZ59" s="7"/>
      <c r="MG59" s="7"/>
      <c r="MN59" s="7"/>
    </row>
    <row r="60" spans="1:352" hidden="1" x14ac:dyDescent="0.25">
      <c r="A60" s="8"/>
      <c r="B60" s="8"/>
      <c r="C60" s="8"/>
      <c r="D60" s="8"/>
      <c r="E60" s="18"/>
      <c r="F60" s="10" t="str">
        <f t="shared" si="356"/>
        <v/>
      </c>
      <c r="G60" s="19" t="str">
        <f t="shared" si="356"/>
        <v/>
      </c>
      <c r="H60" s="19" t="str">
        <f t="shared" si="356"/>
        <v/>
      </c>
      <c r="I60" s="8" t="str">
        <f t="shared" si="356"/>
        <v/>
      </c>
      <c r="J60" s="8" t="str">
        <f t="shared" si="356"/>
        <v/>
      </c>
      <c r="K60" s="8" t="str">
        <f t="shared" si="356"/>
        <v/>
      </c>
      <c r="L60" s="8" t="str">
        <f t="shared" si="356"/>
        <v/>
      </c>
      <c r="M60" s="8"/>
      <c r="N60" s="8"/>
      <c r="O60" s="9"/>
      <c r="P60" s="8" t="str">
        <f t="shared" si="354"/>
        <v/>
      </c>
      <c r="Q60" s="109" t="str">
        <f t="shared" si="355"/>
        <v/>
      </c>
      <c r="R60" s="84" t="str">
        <f>IF(SUM(S60:XFD60) &gt; 0, SUM(S60:XFD60) / $P$64 * 100, "")</f>
        <v/>
      </c>
      <c r="S60" s="7"/>
      <c r="Z60" s="7"/>
      <c r="AG60" s="7"/>
      <c r="AN60" s="7"/>
      <c r="AU60" s="7"/>
      <c r="BB60" s="7"/>
      <c r="BI60" s="7"/>
      <c r="BP60" s="7"/>
      <c r="BY60" s="7"/>
      <c r="CH60" s="7"/>
      <c r="CQ60" s="7"/>
      <c r="CZ60" s="7"/>
      <c r="DI60" s="7"/>
      <c r="DR60" s="7"/>
      <c r="EA60" s="7"/>
      <c r="EJ60" s="7"/>
      <c r="ES60" s="7"/>
      <c r="EZ60" s="7"/>
      <c r="FG60" s="7"/>
      <c r="FN60" s="7"/>
      <c r="FU60" s="7"/>
      <c r="GB60" s="7"/>
      <c r="GI60" s="7"/>
      <c r="GP60" s="7"/>
      <c r="GW60" s="7"/>
      <c r="HD60" s="7"/>
      <c r="HK60" s="7"/>
      <c r="HR60" s="7"/>
      <c r="HY60" s="7"/>
      <c r="IF60" s="7"/>
      <c r="IM60" s="7"/>
      <c r="IT60" s="7"/>
      <c r="JA60" s="7"/>
      <c r="JH60" s="7"/>
      <c r="JO60" s="7"/>
      <c r="JV60" s="7"/>
      <c r="KC60" s="7"/>
      <c r="KJ60" s="7"/>
      <c r="KQ60" s="7"/>
      <c r="KX60" s="7"/>
      <c r="LE60" s="7"/>
      <c r="LL60" s="7"/>
      <c r="LS60" s="7"/>
      <c r="LZ60" s="7"/>
      <c r="MG60" s="7"/>
      <c r="MN60" s="7"/>
    </row>
    <row r="61" spans="1:352" hidden="1" x14ac:dyDescent="0.25">
      <c r="A61" s="8"/>
      <c r="B61" s="8"/>
      <c r="C61" s="8"/>
      <c r="D61" s="8"/>
      <c r="E61" s="18"/>
      <c r="F61" s="10" t="str">
        <f t="shared" si="356"/>
        <v/>
      </c>
      <c r="G61" s="19" t="str">
        <f t="shared" si="356"/>
        <v/>
      </c>
      <c r="H61" s="19" t="str">
        <f t="shared" si="356"/>
        <v/>
      </c>
      <c r="I61" s="8" t="str">
        <f t="shared" si="356"/>
        <v/>
      </c>
      <c r="J61" s="8" t="str">
        <f t="shared" si="356"/>
        <v/>
      </c>
      <c r="K61" s="8" t="str">
        <f t="shared" si="356"/>
        <v/>
      </c>
      <c r="L61" s="8" t="str">
        <f t="shared" si="356"/>
        <v/>
      </c>
      <c r="M61" s="8"/>
      <c r="N61" s="8"/>
      <c r="O61" s="9"/>
      <c r="P61" s="8" t="str">
        <f t="shared" si="354"/>
        <v/>
      </c>
      <c r="Q61" s="109" t="str">
        <f t="shared" si="355"/>
        <v/>
      </c>
      <c r="R61" s="84" t="str">
        <f>IF(SUM(S61:XFD61) &gt; 0, SUM(S61:XFD61) / $P$64 * 100, "")</f>
        <v/>
      </c>
      <c r="S61" s="7"/>
      <c r="Z61" s="7"/>
      <c r="AG61" s="7"/>
      <c r="AN61" s="7"/>
      <c r="AU61" s="7"/>
      <c r="BB61" s="7"/>
      <c r="BI61" s="7"/>
      <c r="BP61" s="7"/>
      <c r="BY61" s="7"/>
      <c r="CH61" s="7"/>
      <c r="CQ61" s="7"/>
      <c r="CZ61" s="7"/>
      <c r="DI61" s="7"/>
      <c r="DR61" s="7"/>
      <c r="EA61" s="7"/>
      <c r="EJ61" s="7"/>
      <c r="ES61" s="7"/>
      <c r="EZ61" s="7"/>
      <c r="FG61" s="7"/>
      <c r="FN61" s="7"/>
      <c r="FU61" s="7"/>
      <c r="GB61" s="7"/>
      <c r="GI61" s="7"/>
      <c r="GP61" s="7"/>
      <c r="GW61" s="7"/>
      <c r="HD61" s="7"/>
      <c r="HK61" s="7"/>
      <c r="HR61" s="7"/>
      <c r="HY61" s="7"/>
      <c r="IF61" s="7"/>
      <c r="IM61" s="7"/>
      <c r="IT61" s="7"/>
      <c r="JA61" s="7"/>
      <c r="JH61" s="7"/>
      <c r="JO61" s="7"/>
      <c r="JV61" s="7"/>
      <c r="KC61" s="7"/>
      <c r="KJ61" s="7"/>
      <c r="KQ61" s="7"/>
      <c r="KX61" s="7"/>
      <c r="LE61" s="7"/>
      <c r="LL61" s="7"/>
      <c r="LS61" s="7"/>
      <c r="LZ61" s="7"/>
      <c r="MG61" s="7"/>
      <c r="MN61" s="7"/>
    </row>
    <row r="62" spans="1:352" hidden="1" x14ac:dyDescent="0.25">
      <c r="A62" s="8"/>
      <c r="B62" s="8"/>
      <c r="C62" s="8"/>
      <c r="D62" s="8"/>
      <c r="E62" s="18"/>
      <c r="F62" s="10" t="str">
        <f t="shared" si="356"/>
        <v/>
      </c>
      <c r="G62" s="19" t="str">
        <f t="shared" si="356"/>
        <v/>
      </c>
      <c r="H62" s="19" t="str">
        <f t="shared" si="356"/>
        <v/>
      </c>
      <c r="I62" s="8" t="str">
        <f t="shared" si="356"/>
        <v/>
      </c>
      <c r="J62" s="8" t="str">
        <f t="shared" si="356"/>
        <v/>
      </c>
      <c r="K62" s="8" t="str">
        <f t="shared" si="356"/>
        <v/>
      </c>
      <c r="L62" s="8" t="str">
        <f t="shared" si="356"/>
        <v/>
      </c>
      <c r="M62" s="8"/>
      <c r="N62" s="8"/>
      <c r="O62" s="9"/>
      <c r="P62" s="8" t="str">
        <f t="shared" si="354"/>
        <v/>
      </c>
      <c r="Q62" s="109" t="str">
        <f t="shared" si="355"/>
        <v/>
      </c>
      <c r="R62" s="84" t="str">
        <f>IF(SUM(S62:XFD62) &gt; 0, SUM(S62:XFD62) / $P$64 * 100, "")</f>
        <v/>
      </c>
      <c r="S62" s="7"/>
      <c r="Z62" s="7"/>
      <c r="AG62" s="7"/>
      <c r="AN62" s="7"/>
      <c r="AU62" s="7"/>
      <c r="BB62" s="7"/>
      <c r="BI62" s="7"/>
      <c r="BP62" s="7"/>
      <c r="BY62" s="7"/>
      <c r="CH62" s="7"/>
      <c r="CQ62" s="7"/>
      <c r="CZ62" s="7"/>
      <c r="DI62" s="7"/>
      <c r="DR62" s="7"/>
      <c r="EA62" s="7"/>
      <c r="EJ62" s="7"/>
      <c r="ES62" s="7"/>
      <c r="EZ62" s="7"/>
      <c r="FG62" s="7"/>
      <c r="FN62" s="7"/>
      <c r="FU62" s="7"/>
      <c r="GB62" s="7"/>
      <c r="GI62" s="7"/>
      <c r="GP62" s="7"/>
      <c r="GW62" s="7"/>
      <c r="HD62" s="7"/>
      <c r="HK62" s="7"/>
      <c r="HR62" s="7"/>
      <c r="HY62" s="7"/>
      <c r="IF62" s="7"/>
      <c r="IM62" s="7"/>
      <c r="IT62" s="7"/>
      <c r="JA62" s="7"/>
      <c r="JH62" s="7"/>
      <c r="JO62" s="7"/>
      <c r="JV62" s="7"/>
      <c r="KC62" s="7"/>
      <c r="KJ62" s="7"/>
      <c r="KQ62" s="7"/>
      <c r="KX62" s="7"/>
      <c r="LE62" s="7"/>
      <c r="LL62" s="7"/>
      <c r="LS62" s="7"/>
      <c r="LZ62" s="7"/>
      <c r="MG62" s="7"/>
      <c r="MN62" s="7"/>
    </row>
    <row r="63" spans="1:352" ht="7.5" customHeight="1" x14ac:dyDescent="0.25">
      <c r="A63" s="8"/>
      <c r="B63" s="8"/>
      <c r="C63" s="8"/>
      <c r="D63" s="8"/>
      <c r="E63" s="18"/>
      <c r="F63" s="10" t="str">
        <f t="shared" si="356"/>
        <v/>
      </c>
      <c r="G63" s="19" t="str">
        <f t="shared" si="356"/>
        <v/>
      </c>
      <c r="H63" s="19" t="str">
        <f t="shared" si="356"/>
        <v/>
      </c>
      <c r="I63" s="19" t="str">
        <f t="shared" si="356"/>
        <v/>
      </c>
      <c r="J63" s="19" t="str">
        <f t="shared" si="356"/>
        <v/>
      </c>
      <c r="K63" s="19" t="str">
        <f t="shared" si="356"/>
        <v/>
      </c>
      <c r="L63" s="19" t="str">
        <f t="shared" si="356"/>
        <v/>
      </c>
      <c r="M63" s="8"/>
      <c r="N63" s="8"/>
      <c r="O63" s="9"/>
      <c r="P63" s="8" t="str">
        <f t="shared" si="354"/>
        <v/>
      </c>
      <c r="Q63" s="109" t="str">
        <f t="shared" si="355"/>
        <v/>
      </c>
      <c r="R63" s="84"/>
      <c r="S63" s="7"/>
      <c r="Z63" s="7"/>
      <c r="AG63" s="7"/>
      <c r="AN63" s="7"/>
      <c r="AU63" s="7"/>
      <c r="BB63" s="7"/>
      <c r="BI63" s="7"/>
      <c r="BP63" s="7"/>
      <c r="BY63" s="7"/>
      <c r="CH63" s="7"/>
      <c r="CQ63" s="7"/>
      <c r="CZ63" s="7"/>
      <c r="DI63" s="7"/>
      <c r="DR63" s="7"/>
      <c r="EA63" s="7"/>
      <c r="EJ63" s="7"/>
      <c r="ES63" s="7"/>
      <c r="EZ63" s="7"/>
      <c r="FG63" s="7"/>
      <c r="FN63" s="7"/>
      <c r="FU63" s="7"/>
      <c r="GB63" s="7"/>
      <c r="GI63" s="7"/>
      <c r="GP63" s="7"/>
      <c r="GW63" s="7"/>
      <c r="HD63" s="7"/>
      <c r="HK63" s="7"/>
      <c r="HR63" s="7"/>
      <c r="HY63" s="7"/>
      <c r="IF63" s="7"/>
      <c r="IM63" s="7"/>
      <c r="IT63" s="7"/>
      <c r="JA63" s="7"/>
      <c r="JH63" s="7"/>
      <c r="JO63" s="7"/>
      <c r="JV63" s="7"/>
      <c r="KC63" s="7"/>
      <c r="KJ63" s="7"/>
      <c r="KQ63" s="7"/>
      <c r="KX63" s="7"/>
      <c r="LE63" s="7"/>
      <c r="LL63" s="7"/>
      <c r="LS63" s="7"/>
      <c r="LZ63" s="7"/>
      <c r="MG63" s="7"/>
      <c r="MN63" s="7"/>
    </row>
    <row r="64" spans="1:352" ht="15" customHeight="1" x14ac:dyDescent="0.25">
      <c r="A64" s="23" t="s">
        <v>18</v>
      </c>
      <c r="B64" s="20"/>
      <c r="C64" s="20"/>
      <c r="D64" s="20"/>
      <c r="E64" s="59"/>
      <c r="F64" s="20"/>
      <c r="G64" s="20"/>
      <c r="H64" s="20"/>
      <c r="I64" s="20"/>
      <c r="J64" s="20"/>
      <c r="K64" s="20"/>
      <c r="L64" s="20"/>
      <c r="M64" s="20"/>
      <c r="N64" s="20"/>
      <c r="O64" s="21"/>
      <c r="P64" s="3">
        <f>SUM(S64:MN64)</f>
        <v>23</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v>1</v>
      </c>
      <c r="ED64" s="20"/>
      <c r="EE64" s="20">
        <v>1</v>
      </c>
      <c r="EF64" s="20">
        <v>1</v>
      </c>
      <c r="EG64" s="20"/>
      <c r="EH64" s="20"/>
      <c r="EI64" s="20"/>
      <c r="EJ64" s="21"/>
      <c r="EK64" s="20"/>
      <c r="EL64" s="20">
        <v>1</v>
      </c>
      <c r="EM64" s="20"/>
      <c r="EN64" s="20">
        <v>1</v>
      </c>
      <c r="EO64" s="20">
        <v>1</v>
      </c>
      <c r="EP64" s="20"/>
      <c r="EQ64" s="20"/>
      <c r="ER64" s="20"/>
      <c r="ES64" s="21"/>
      <c r="ET64" s="20"/>
      <c r="EU64" s="20"/>
      <c r="EV64" s="20"/>
      <c r="EW64" s="20"/>
      <c r="EX64" s="20"/>
      <c r="EY64" s="20"/>
      <c r="EZ64" s="21"/>
      <c r="FA64" s="20"/>
      <c r="FB64" s="20"/>
      <c r="FC64" s="20"/>
      <c r="FD64" s="20"/>
      <c r="FE64" s="20"/>
      <c r="FF64" s="20"/>
      <c r="FG64" s="21"/>
      <c r="FH64" s="20"/>
      <c r="FI64" s="20"/>
      <c r="FJ64" s="20"/>
      <c r="FK64" s="20"/>
      <c r="FL64" s="20"/>
      <c r="FM64" s="20"/>
      <c r="FN64" s="21"/>
      <c r="FO64" s="20"/>
      <c r="FP64" s="20"/>
      <c r="FQ64" s="20"/>
      <c r="FR64" s="20"/>
      <c r="FS64" s="20"/>
      <c r="FT64" s="20"/>
      <c r="FU64" s="21"/>
      <c r="FV64" s="20"/>
      <c r="FW64" s="20"/>
      <c r="FX64" s="20"/>
      <c r="FY64" s="20"/>
      <c r="FZ64" s="20"/>
      <c r="GA64" s="20"/>
      <c r="GB64" s="21"/>
      <c r="GC64" s="20"/>
      <c r="GD64" s="20"/>
      <c r="GE64" s="20"/>
      <c r="GF64" s="20"/>
      <c r="GG64" s="20"/>
      <c r="GH64" s="20"/>
      <c r="GI64" s="21"/>
      <c r="GJ64" s="20"/>
      <c r="GK64" s="20"/>
      <c r="GL64" s="20"/>
      <c r="GM64" s="20"/>
      <c r="GN64" s="20"/>
      <c r="GO64" s="20"/>
      <c r="GP64" s="21"/>
      <c r="GQ64" s="20"/>
      <c r="GR64" s="20"/>
      <c r="GS64" s="20"/>
      <c r="GT64" s="20"/>
      <c r="GU64" s="20"/>
      <c r="GV64" s="20"/>
      <c r="GW64" s="21"/>
      <c r="GX64" s="20"/>
      <c r="GY64" s="20"/>
      <c r="GZ64" s="20"/>
      <c r="HA64" s="20"/>
      <c r="HB64" s="20"/>
      <c r="HC64" s="20"/>
      <c r="HD64" s="21"/>
      <c r="HE64" s="20"/>
      <c r="HF64" s="20"/>
      <c r="HG64" s="20"/>
      <c r="HH64" s="20"/>
      <c r="HI64" s="20"/>
      <c r="HJ64" s="20"/>
      <c r="HK64" s="21"/>
      <c r="HL64" s="20"/>
      <c r="HM64" s="20"/>
      <c r="HN64" s="20"/>
      <c r="HO64" s="20"/>
      <c r="HP64" s="20"/>
      <c r="HQ64" s="20"/>
      <c r="HR64" s="21"/>
      <c r="HS64" s="20"/>
      <c r="HT64" s="20"/>
      <c r="HU64" s="20"/>
      <c r="HV64" s="20"/>
      <c r="HW64" s="20"/>
      <c r="HX64" s="20"/>
      <c r="HY64" s="21"/>
      <c r="HZ64" s="20"/>
      <c r="IA64" s="20"/>
      <c r="IB64" s="20"/>
      <c r="IC64" s="20"/>
      <c r="ID64" s="20"/>
      <c r="IE64" s="20"/>
      <c r="IF64" s="21"/>
      <c r="IG64" s="20"/>
      <c r="IH64" s="20"/>
      <c r="II64" s="20"/>
      <c r="IJ64" s="20"/>
      <c r="IK64" s="20"/>
      <c r="IL64" s="20"/>
      <c r="IM64" s="21"/>
      <c r="IN64" s="20"/>
      <c r="IO64" s="20"/>
      <c r="IP64" s="20"/>
      <c r="IQ64" s="20"/>
      <c r="IR64" s="20"/>
      <c r="IS64" s="20"/>
      <c r="IT64" s="21"/>
      <c r="IU64" s="20"/>
      <c r="IV64" s="20"/>
      <c r="IW64" s="20"/>
      <c r="IX64" s="20"/>
      <c r="IY64" s="20"/>
      <c r="IZ64" s="20"/>
      <c r="JA64" s="21"/>
      <c r="JB64" s="20"/>
      <c r="JC64" s="20"/>
      <c r="JD64" s="20"/>
      <c r="JE64" s="20"/>
      <c r="JF64" s="20"/>
      <c r="JG64" s="20"/>
      <c r="JH64" s="21"/>
      <c r="JI64" s="20"/>
      <c r="JJ64" s="20"/>
      <c r="JK64" s="20"/>
      <c r="JL64" s="20"/>
      <c r="JM64" s="20"/>
      <c r="JN64" s="20"/>
      <c r="JO64" s="21"/>
      <c r="JP64" s="20"/>
      <c r="JQ64" s="20"/>
      <c r="JR64" s="20"/>
      <c r="JS64" s="20"/>
      <c r="JT64" s="20"/>
      <c r="JU64" s="20"/>
      <c r="JV64" s="21"/>
      <c r="JW64" s="20"/>
      <c r="JX64" s="20"/>
      <c r="JY64" s="20"/>
      <c r="JZ64" s="20"/>
      <c r="KA64" s="20"/>
      <c r="KB64" s="20"/>
      <c r="KC64" s="21"/>
      <c r="KD64" s="20"/>
      <c r="KE64" s="20"/>
      <c r="KF64" s="20"/>
      <c r="KG64" s="20"/>
      <c r="KH64" s="20"/>
      <c r="KI64" s="20"/>
      <c r="KJ64" s="21"/>
      <c r="KK64" s="20"/>
      <c r="KL64" s="20"/>
      <c r="KM64" s="20"/>
      <c r="KN64" s="20"/>
      <c r="KO64" s="20"/>
      <c r="KP64" s="20"/>
      <c r="KQ64" s="21"/>
      <c r="KR64" s="20"/>
      <c r="KS64" s="20"/>
      <c r="KT64" s="20"/>
      <c r="KU64" s="20"/>
      <c r="KV64" s="20"/>
      <c r="KW64" s="20"/>
      <c r="KX64" s="21"/>
      <c r="KY64" s="20"/>
      <c r="KZ64" s="20"/>
      <c r="LA64" s="20"/>
      <c r="LB64" s="20"/>
      <c r="LC64" s="20"/>
      <c r="LD64" s="20"/>
      <c r="LE64" s="21"/>
      <c r="LF64" s="20"/>
      <c r="LG64" s="20"/>
      <c r="LH64" s="20"/>
      <c r="LI64" s="20"/>
      <c r="LJ64" s="20"/>
      <c r="LK64" s="20"/>
      <c r="LL64" s="21"/>
      <c r="LM64" s="20"/>
      <c r="LN64" s="20"/>
      <c r="LO64" s="20"/>
      <c r="LP64" s="20"/>
      <c r="LQ64" s="20"/>
      <c r="LR64" s="20"/>
      <c r="LS64" s="21"/>
      <c r="LT64" s="20"/>
      <c r="LU64" s="20"/>
      <c r="LV64" s="20"/>
      <c r="LW64" s="20"/>
      <c r="LX64" s="20"/>
      <c r="LY64" s="20"/>
      <c r="LZ64" s="21"/>
      <c r="MA64" s="20"/>
      <c r="MB64" s="20"/>
      <c r="MC64" s="20"/>
      <c r="MD64" s="20"/>
      <c r="ME64" s="20"/>
      <c r="MF64" s="20"/>
      <c r="MG64" s="21"/>
      <c r="MH64" s="20"/>
      <c r="MI64" s="20"/>
      <c r="MJ64" s="20"/>
      <c r="MK64" s="20"/>
      <c r="ML64" s="20"/>
      <c r="MM64" s="20"/>
      <c r="MN64" s="21"/>
    </row>
    <row r="65" spans="1:352" ht="15" customHeight="1" x14ac:dyDescent="0.25">
      <c r="A65" s="127" t="s">
        <v>241</v>
      </c>
      <c r="B65" s="128"/>
      <c r="C65" s="128"/>
      <c r="D65" s="128"/>
      <c r="E65" s="59"/>
      <c r="F65" s="128"/>
      <c r="G65" s="128"/>
      <c r="H65" s="128"/>
      <c r="I65" s="128"/>
      <c r="J65" s="128"/>
      <c r="K65" s="128"/>
      <c r="L65" s="128"/>
      <c r="M65" s="128"/>
      <c r="N65" s="128"/>
      <c r="O65" s="61"/>
      <c r="P65" s="81">
        <f>VisibleSum(P43:P63)</f>
        <v>12.545454545454545</v>
      </c>
      <c r="Q65" s="117">
        <f>P65 / P64 * 100</f>
        <v>54.54545454545454</v>
      </c>
      <c r="R65" s="83"/>
      <c r="S65" s="61" t="str">
        <f t="shared" ref="S65:CH65" si="357">IF(SUM(S42:S63) &gt; 0, SUM(S42:S63), "")</f>
        <v/>
      </c>
      <c r="T65" s="128" t="str">
        <f t="shared" si="357"/>
        <v/>
      </c>
      <c r="U65" s="128" t="str">
        <f t="shared" si="357"/>
        <v/>
      </c>
      <c r="V65" s="128" t="str">
        <f t="shared" si="357"/>
        <v/>
      </c>
      <c r="W65" s="128" t="str">
        <f t="shared" si="357"/>
        <v/>
      </c>
      <c r="X65" s="128" t="str">
        <f t="shared" si="357"/>
        <v/>
      </c>
      <c r="Y65" s="128" t="str">
        <f t="shared" si="357"/>
        <v/>
      </c>
      <c r="Z65" s="61" t="str">
        <f t="shared" si="357"/>
        <v/>
      </c>
      <c r="AA65" s="128" t="str">
        <f t="shared" si="357"/>
        <v/>
      </c>
      <c r="AB65" s="128" t="str">
        <f t="shared" si="357"/>
        <v/>
      </c>
      <c r="AC65" s="128" t="str">
        <f t="shared" si="357"/>
        <v/>
      </c>
      <c r="AD65" s="128" t="str">
        <f t="shared" si="357"/>
        <v/>
      </c>
      <c r="AE65" s="128" t="str">
        <f t="shared" si="357"/>
        <v/>
      </c>
      <c r="AF65" s="128" t="str">
        <f t="shared" si="357"/>
        <v/>
      </c>
      <c r="AG65" s="61" t="str">
        <f t="shared" si="357"/>
        <v/>
      </c>
      <c r="AH65" s="128" t="str">
        <f t="shared" si="357"/>
        <v/>
      </c>
      <c r="AI65" s="128">
        <f t="shared" si="357"/>
        <v>11</v>
      </c>
      <c r="AJ65" s="128" t="str">
        <f t="shared" si="357"/>
        <v/>
      </c>
      <c r="AK65" s="128">
        <f t="shared" si="357"/>
        <v>7</v>
      </c>
      <c r="AL65" s="128" t="str">
        <f t="shared" si="357"/>
        <v/>
      </c>
      <c r="AM65" s="128" t="str">
        <f t="shared" si="357"/>
        <v/>
      </c>
      <c r="AN65" s="61" t="str">
        <f t="shared" si="357"/>
        <v/>
      </c>
      <c r="AO65" s="128" t="str">
        <f t="shared" si="357"/>
        <v/>
      </c>
      <c r="AP65" s="128">
        <f t="shared" si="357"/>
        <v>9</v>
      </c>
      <c r="AQ65" s="128" t="str">
        <f t="shared" si="357"/>
        <v/>
      </c>
      <c r="AR65" s="128">
        <f t="shared" si="357"/>
        <v>9</v>
      </c>
      <c r="AS65" s="128" t="str">
        <f t="shared" si="357"/>
        <v/>
      </c>
      <c r="AT65" s="128" t="str">
        <f t="shared" si="357"/>
        <v/>
      </c>
      <c r="AU65" s="61" t="str">
        <f t="shared" si="357"/>
        <v/>
      </c>
      <c r="AV65" s="128" t="str">
        <f t="shared" si="357"/>
        <v/>
      </c>
      <c r="AW65" s="128">
        <f t="shared" si="357"/>
        <v>9</v>
      </c>
      <c r="AX65" s="128">
        <f t="shared" si="357"/>
        <v>6</v>
      </c>
      <c r="AY65" s="128">
        <f t="shared" si="357"/>
        <v>7</v>
      </c>
      <c r="AZ65" s="128" t="str">
        <f t="shared" si="357"/>
        <v/>
      </c>
      <c r="BA65" s="128" t="str">
        <f t="shared" si="357"/>
        <v/>
      </c>
      <c r="BB65" s="61" t="str">
        <f t="shared" si="357"/>
        <v/>
      </c>
      <c r="BC65" s="128" t="str">
        <f t="shared" si="357"/>
        <v/>
      </c>
      <c r="BD65" s="128">
        <f t="shared" si="357"/>
        <v>8</v>
      </c>
      <c r="BE65" s="128" t="str">
        <f t="shared" si="357"/>
        <v/>
      </c>
      <c r="BF65" s="128">
        <f t="shared" si="357"/>
        <v>6</v>
      </c>
      <c r="BG65" s="128" t="str">
        <f t="shared" si="357"/>
        <v/>
      </c>
      <c r="BH65" s="128" t="str">
        <f t="shared" si="357"/>
        <v/>
      </c>
      <c r="BI65" s="61" t="str">
        <f t="shared" si="357"/>
        <v/>
      </c>
      <c r="BJ65" s="128" t="str">
        <f t="shared" si="357"/>
        <v/>
      </c>
      <c r="BK65" s="128">
        <f t="shared" si="357"/>
        <v>7</v>
      </c>
      <c r="BL65" s="128" t="str">
        <f t="shared" si="357"/>
        <v/>
      </c>
      <c r="BM65" s="128">
        <f t="shared" si="357"/>
        <v>10</v>
      </c>
      <c r="BN65" s="128">
        <f t="shared" si="357"/>
        <v>10</v>
      </c>
      <c r="BO65" s="128" t="str">
        <f t="shared" si="357"/>
        <v/>
      </c>
      <c r="BP65" s="61">
        <f t="shared" si="357"/>
        <v>4</v>
      </c>
      <c r="BQ65" s="128" t="str">
        <f t="shared" si="357"/>
        <v/>
      </c>
      <c r="BR65" s="128" t="str">
        <f t="shared" si="357"/>
        <v/>
      </c>
      <c r="BS65" s="128" t="str">
        <f t="shared" si="357"/>
        <v/>
      </c>
      <c r="BT65" s="128" t="str">
        <f t="shared" si="357"/>
        <v/>
      </c>
      <c r="BU65" s="128" t="str">
        <f t="shared" si="357"/>
        <v/>
      </c>
      <c r="BV65" s="128" t="str">
        <f t="shared" si="357"/>
        <v/>
      </c>
      <c r="BW65" s="128"/>
      <c r="BX65" s="128"/>
      <c r="BY65" s="61" t="str">
        <f t="shared" si="357"/>
        <v/>
      </c>
      <c r="BZ65" s="128" t="str">
        <f t="shared" si="357"/>
        <v/>
      </c>
      <c r="CA65" s="128" t="str">
        <f t="shared" si="357"/>
        <v/>
      </c>
      <c r="CB65" s="128" t="str">
        <f t="shared" si="357"/>
        <v/>
      </c>
      <c r="CC65" s="128" t="str">
        <f t="shared" si="357"/>
        <v/>
      </c>
      <c r="CD65" s="128" t="str">
        <f t="shared" si="357"/>
        <v/>
      </c>
      <c r="CE65" s="128" t="str">
        <f t="shared" si="357"/>
        <v/>
      </c>
      <c r="CF65" s="128"/>
      <c r="CG65" s="128"/>
      <c r="CH65" s="61" t="str">
        <f t="shared" si="357"/>
        <v/>
      </c>
      <c r="CI65" s="128" t="str">
        <f t="shared" ref="CI65:FH65" si="358">IF(SUM(CI42:CI63) &gt; 0, SUM(CI42:CI63), "")</f>
        <v/>
      </c>
      <c r="CJ65" s="128" t="str">
        <f t="shared" si="358"/>
        <v/>
      </c>
      <c r="CK65" s="128" t="str">
        <f t="shared" si="358"/>
        <v/>
      </c>
      <c r="CL65" s="128" t="str">
        <f t="shared" si="358"/>
        <v/>
      </c>
      <c r="CM65" s="128" t="str">
        <f t="shared" si="358"/>
        <v/>
      </c>
      <c r="CN65" s="128" t="str">
        <f t="shared" si="358"/>
        <v/>
      </c>
      <c r="CO65" s="128" t="str">
        <f t="shared" ref="CO65" si="359">IF(SUM(CO42:CO63) &gt; 0, SUM(CO42:CO63), "")</f>
        <v/>
      </c>
      <c r="CP65" s="128"/>
      <c r="CQ65" s="61" t="str">
        <f t="shared" si="358"/>
        <v/>
      </c>
      <c r="CR65" s="128" t="str">
        <f t="shared" si="358"/>
        <v/>
      </c>
      <c r="CS65" s="128" t="str">
        <f t="shared" si="358"/>
        <v/>
      </c>
      <c r="CT65" s="128" t="str">
        <f t="shared" si="358"/>
        <v/>
      </c>
      <c r="CU65" s="128" t="str">
        <f t="shared" si="358"/>
        <v/>
      </c>
      <c r="CV65" s="128" t="str">
        <f t="shared" si="358"/>
        <v/>
      </c>
      <c r="CW65" s="128"/>
      <c r="CX65" s="128"/>
      <c r="CY65" s="128" t="str">
        <f t="shared" si="358"/>
        <v/>
      </c>
      <c r="CZ65" s="61" t="str">
        <f t="shared" si="358"/>
        <v/>
      </c>
      <c r="DA65" s="128" t="str">
        <f t="shared" si="358"/>
        <v/>
      </c>
      <c r="DB65" s="128" t="str">
        <f t="shared" si="358"/>
        <v/>
      </c>
      <c r="DC65" s="128" t="str">
        <f t="shared" si="358"/>
        <v/>
      </c>
      <c r="DD65" s="128" t="str">
        <f t="shared" si="358"/>
        <v/>
      </c>
      <c r="DE65" s="128" t="str">
        <f t="shared" si="358"/>
        <v/>
      </c>
      <c r="DF65" s="128" t="str">
        <f t="shared" si="358"/>
        <v/>
      </c>
      <c r="DG65" s="128"/>
      <c r="DH65" s="128"/>
      <c r="DI65" s="61" t="str">
        <f t="shared" si="358"/>
        <v/>
      </c>
      <c r="DJ65" s="128" t="str">
        <f t="shared" si="358"/>
        <v/>
      </c>
      <c r="DK65" s="128" t="str">
        <f t="shared" si="358"/>
        <v/>
      </c>
      <c r="DL65" s="128" t="str">
        <f t="shared" si="358"/>
        <v/>
      </c>
      <c r="DM65" s="128" t="str">
        <f t="shared" si="358"/>
        <v/>
      </c>
      <c r="DN65" s="128" t="str">
        <f t="shared" si="358"/>
        <v/>
      </c>
      <c r="DO65" s="128" t="str">
        <f t="shared" si="358"/>
        <v/>
      </c>
      <c r="DP65" s="128"/>
      <c r="DQ65" s="128"/>
      <c r="DR65" s="61" t="str">
        <f t="shared" si="358"/>
        <v/>
      </c>
      <c r="DS65" s="128" t="str">
        <f t="shared" si="358"/>
        <v/>
      </c>
      <c r="DT65" s="128">
        <f t="shared" si="358"/>
        <v>7</v>
      </c>
      <c r="DU65" s="128" t="str">
        <f t="shared" si="358"/>
        <v/>
      </c>
      <c r="DV65" s="128">
        <f t="shared" si="358"/>
        <v>5</v>
      </c>
      <c r="DW65" s="128">
        <f t="shared" si="358"/>
        <v>5</v>
      </c>
      <c r="DX65" s="128"/>
      <c r="DY65" s="128"/>
      <c r="DZ65" s="128" t="str">
        <f t="shared" si="358"/>
        <v/>
      </c>
      <c r="EA65" s="61" t="str">
        <f t="shared" si="358"/>
        <v/>
      </c>
      <c r="EB65" s="128" t="str">
        <f t="shared" si="358"/>
        <v/>
      </c>
      <c r="EC65" s="128">
        <f t="shared" si="358"/>
        <v>6</v>
      </c>
      <c r="ED65" s="128" t="str">
        <f t="shared" si="358"/>
        <v/>
      </c>
      <c r="EE65" s="128">
        <f t="shared" si="358"/>
        <v>5</v>
      </c>
      <c r="EF65" s="128">
        <f t="shared" si="358"/>
        <v>4</v>
      </c>
      <c r="EG65" s="128"/>
      <c r="EH65" s="128"/>
      <c r="EI65" s="128" t="str">
        <f t="shared" si="358"/>
        <v/>
      </c>
      <c r="EJ65" s="61" t="str">
        <f t="shared" si="358"/>
        <v/>
      </c>
      <c r="EK65" s="128" t="str">
        <f t="shared" si="358"/>
        <v/>
      </c>
      <c r="EL65" s="128">
        <f t="shared" si="358"/>
        <v>6</v>
      </c>
      <c r="EM65" s="128" t="str">
        <f t="shared" si="358"/>
        <v/>
      </c>
      <c r="EN65" s="128">
        <f t="shared" si="358"/>
        <v>7</v>
      </c>
      <c r="EO65" s="128">
        <f t="shared" si="358"/>
        <v>5</v>
      </c>
      <c r="EP65" s="128" t="str">
        <f t="shared" si="358"/>
        <v/>
      </c>
      <c r="EQ65" s="128"/>
      <c r="ER65" s="128"/>
      <c r="ES65" s="61" t="str">
        <f t="shared" si="358"/>
        <v/>
      </c>
      <c r="ET65" s="128" t="str">
        <f t="shared" si="358"/>
        <v/>
      </c>
      <c r="EU65" s="128" t="str">
        <f t="shared" si="358"/>
        <v/>
      </c>
      <c r="EV65" s="128" t="str">
        <f t="shared" si="358"/>
        <v/>
      </c>
      <c r="EW65" s="128" t="str">
        <f t="shared" si="358"/>
        <v/>
      </c>
      <c r="EX65" s="128" t="str">
        <f t="shared" si="358"/>
        <v/>
      </c>
      <c r="EY65" s="128" t="str">
        <f t="shared" si="358"/>
        <v/>
      </c>
      <c r="EZ65" s="61" t="str">
        <f t="shared" si="358"/>
        <v/>
      </c>
      <c r="FA65" s="128" t="str">
        <f t="shared" si="358"/>
        <v/>
      </c>
      <c r="FB65" s="128" t="str">
        <f t="shared" si="358"/>
        <v/>
      </c>
      <c r="FC65" s="128" t="str">
        <f t="shared" si="358"/>
        <v/>
      </c>
      <c r="FD65" s="128" t="str">
        <f t="shared" si="358"/>
        <v/>
      </c>
      <c r="FE65" s="128" t="str">
        <f t="shared" si="358"/>
        <v/>
      </c>
      <c r="FF65" s="128" t="str">
        <f t="shared" si="358"/>
        <v/>
      </c>
      <c r="FG65" s="61" t="str">
        <f t="shared" si="358"/>
        <v/>
      </c>
      <c r="FH65" s="128" t="str">
        <f t="shared" si="358"/>
        <v/>
      </c>
      <c r="FI65" s="128" t="str">
        <f t="shared" ref="FI65:HT65" si="360">IF(SUM(FI42:FI63) &gt; 0, SUM(FI42:FI63), "")</f>
        <v/>
      </c>
      <c r="FJ65" s="128" t="str">
        <f t="shared" si="360"/>
        <v/>
      </c>
      <c r="FK65" s="128" t="str">
        <f t="shared" si="360"/>
        <v/>
      </c>
      <c r="FL65" s="128" t="str">
        <f t="shared" si="360"/>
        <v/>
      </c>
      <c r="FM65" s="128" t="str">
        <f t="shared" si="360"/>
        <v/>
      </c>
      <c r="FN65" s="61" t="str">
        <f t="shared" si="360"/>
        <v/>
      </c>
      <c r="FO65" s="128" t="str">
        <f t="shared" si="360"/>
        <v/>
      </c>
      <c r="FP65" s="128" t="str">
        <f t="shared" si="360"/>
        <v/>
      </c>
      <c r="FQ65" s="128" t="str">
        <f t="shared" si="360"/>
        <v/>
      </c>
      <c r="FR65" s="128" t="str">
        <f t="shared" si="360"/>
        <v/>
      </c>
      <c r="FS65" s="128" t="str">
        <f t="shared" si="360"/>
        <v/>
      </c>
      <c r="FT65" s="128" t="str">
        <f t="shared" si="360"/>
        <v/>
      </c>
      <c r="FU65" s="61" t="str">
        <f t="shared" si="360"/>
        <v/>
      </c>
      <c r="FV65" s="128" t="str">
        <f t="shared" si="360"/>
        <v/>
      </c>
      <c r="FW65" s="128" t="str">
        <f t="shared" si="360"/>
        <v/>
      </c>
      <c r="FX65" s="128" t="str">
        <f t="shared" si="360"/>
        <v/>
      </c>
      <c r="FY65" s="128" t="str">
        <f t="shared" si="360"/>
        <v/>
      </c>
      <c r="FZ65" s="128" t="str">
        <f t="shared" si="360"/>
        <v/>
      </c>
      <c r="GA65" s="128" t="str">
        <f t="shared" si="360"/>
        <v/>
      </c>
      <c r="GB65" s="61" t="str">
        <f t="shared" si="360"/>
        <v/>
      </c>
      <c r="GC65" s="128" t="str">
        <f t="shared" si="360"/>
        <v/>
      </c>
      <c r="GD65" s="128" t="str">
        <f t="shared" si="360"/>
        <v/>
      </c>
      <c r="GE65" s="128" t="str">
        <f t="shared" si="360"/>
        <v/>
      </c>
      <c r="GF65" s="128" t="str">
        <f t="shared" si="360"/>
        <v/>
      </c>
      <c r="GG65" s="128" t="str">
        <f t="shared" si="360"/>
        <v/>
      </c>
      <c r="GH65" s="128" t="str">
        <f t="shared" si="360"/>
        <v/>
      </c>
      <c r="GI65" s="61" t="str">
        <f t="shared" si="360"/>
        <v/>
      </c>
      <c r="GJ65" s="128" t="str">
        <f t="shared" si="360"/>
        <v/>
      </c>
      <c r="GK65" s="128" t="str">
        <f t="shared" si="360"/>
        <v/>
      </c>
      <c r="GL65" s="128" t="str">
        <f t="shared" si="360"/>
        <v/>
      </c>
      <c r="GM65" s="128" t="str">
        <f t="shared" si="360"/>
        <v/>
      </c>
      <c r="GN65" s="128" t="str">
        <f t="shared" si="360"/>
        <v/>
      </c>
      <c r="GO65" s="128" t="str">
        <f t="shared" si="360"/>
        <v/>
      </c>
      <c r="GP65" s="61" t="str">
        <f t="shared" si="360"/>
        <v/>
      </c>
      <c r="GQ65" s="128" t="str">
        <f t="shared" si="360"/>
        <v/>
      </c>
      <c r="GR65" s="128" t="str">
        <f t="shared" si="360"/>
        <v/>
      </c>
      <c r="GS65" s="128" t="str">
        <f t="shared" si="360"/>
        <v/>
      </c>
      <c r="GT65" s="128" t="str">
        <f t="shared" si="360"/>
        <v/>
      </c>
      <c r="GU65" s="128" t="str">
        <f t="shared" si="360"/>
        <v/>
      </c>
      <c r="GV65" s="128" t="str">
        <f t="shared" si="360"/>
        <v/>
      </c>
      <c r="GW65" s="61" t="str">
        <f t="shared" si="360"/>
        <v/>
      </c>
      <c r="GX65" s="128" t="str">
        <f t="shared" si="360"/>
        <v/>
      </c>
      <c r="GY65" s="128" t="str">
        <f t="shared" si="360"/>
        <v/>
      </c>
      <c r="GZ65" s="128" t="str">
        <f t="shared" si="360"/>
        <v/>
      </c>
      <c r="HA65" s="128" t="str">
        <f t="shared" si="360"/>
        <v/>
      </c>
      <c r="HB65" s="128" t="str">
        <f t="shared" si="360"/>
        <v/>
      </c>
      <c r="HC65" s="128" t="str">
        <f t="shared" si="360"/>
        <v/>
      </c>
      <c r="HD65" s="61" t="str">
        <f t="shared" si="360"/>
        <v/>
      </c>
      <c r="HE65" s="128" t="str">
        <f t="shared" si="360"/>
        <v/>
      </c>
      <c r="HF65" s="128" t="str">
        <f t="shared" si="360"/>
        <v/>
      </c>
      <c r="HG65" s="128" t="str">
        <f t="shared" si="360"/>
        <v/>
      </c>
      <c r="HH65" s="128" t="str">
        <f t="shared" si="360"/>
        <v/>
      </c>
      <c r="HI65" s="128" t="str">
        <f t="shared" si="360"/>
        <v/>
      </c>
      <c r="HJ65" s="128" t="str">
        <f t="shared" si="360"/>
        <v/>
      </c>
      <c r="HK65" s="61" t="str">
        <f t="shared" si="360"/>
        <v/>
      </c>
      <c r="HL65" s="128" t="str">
        <f t="shared" si="360"/>
        <v/>
      </c>
      <c r="HM65" s="128" t="str">
        <f t="shared" si="360"/>
        <v/>
      </c>
      <c r="HN65" s="128" t="str">
        <f t="shared" si="360"/>
        <v/>
      </c>
      <c r="HO65" s="128" t="str">
        <f t="shared" si="360"/>
        <v/>
      </c>
      <c r="HP65" s="128" t="str">
        <f t="shared" si="360"/>
        <v/>
      </c>
      <c r="HQ65" s="128" t="str">
        <f t="shared" si="360"/>
        <v/>
      </c>
      <c r="HR65" s="61" t="str">
        <f t="shared" si="360"/>
        <v/>
      </c>
      <c r="HS65" s="128" t="str">
        <f t="shared" si="360"/>
        <v/>
      </c>
      <c r="HT65" s="128" t="str">
        <f t="shared" si="360"/>
        <v/>
      </c>
      <c r="HU65" s="128" t="str">
        <f t="shared" ref="HU65:KF65" si="361">IF(SUM(HU42:HU63) &gt; 0, SUM(HU42:HU63), "")</f>
        <v/>
      </c>
      <c r="HV65" s="128" t="str">
        <f t="shared" si="361"/>
        <v/>
      </c>
      <c r="HW65" s="128" t="str">
        <f t="shared" si="361"/>
        <v/>
      </c>
      <c r="HX65" s="128" t="str">
        <f t="shared" si="361"/>
        <v/>
      </c>
      <c r="HY65" s="61" t="str">
        <f t="shared" si="361"/>
        <v/>
      </c>
      <c r="HZ65" s="128" t="str">
        <f t="shared" si="361"/>
        <v/>
      </c>
      <c r="IA65" s="128" t="str">
        <f t="shared" si="361"/>
        <v/>
      </c>
      <c r="IB65" s="128" t="str">
        <f t="shared" si="361"/>
        <v/>
      </c>
      <c r="IC65" s="128" t="str">
        <f t="shared" si="361"/>
        <v/>
      </c>
      <c r="ID65" s="128" t="str">
        <f t="shared" si="361"/>
        <v/>
      </c>
      <c r="IE65" s="128" t="str">
        <f t="shared" si="361"/>
        <v/>
      </c>
      <c r="IF65" s="61" t="str">
        <f t="shared" si="361"/>
        <v/>
      </c>
      <c r="IG65" s="128" t="str">
        <f t="shared" si="361"/>
        <v/>
      </c>
      <c r="IH65" s="128" t="str">
        <f t="shared" si="361"/>
        <v/>
      </c>
      <c r="II65" s="128" t="str">
        <f t="shared" si="361"/>
        <v/>
      </c>
      <c r="IJ65" s="128" t="str">
        <f t="shared" si="361"/>
        <v/>
      </c>
      <c r="IK65" s="128" t="str">
        <f t="shared" si="361"/>
        <v/>
      </c>
      <c r="IL65" s="128" t="str">
        <f t="shared" si="361"/>
        <v/>
      </c>
      <c r="IM65" s="61" t="str">
        <f t="shared" si="361"/>
        <v/>
      </c>
      <c r="IN65" s="128" t="str">
        <f t="shared" si="361"/>
        <v/>
      </c>
      <c r="IO65" s="128" t="str">
        <f t="shared" si="361"/>
        <v/>
      </c>
      <c r="IP65" s="128" t="str">
        <f t="shared" si="361"/>
        <v/>
      </c>
      <c r="IQ65" s="128" t="str">
        <f t="shared" si="361"/>
        <v/>
      </c>
      <c r="IR65" s="128" t="str">
        <f t="shared" si="361"/>
        <v/>
      </c>
      <c r="IS65" s="128" t="str">
        <f t="shared" si="361"/>
        <v/>
      </c>
      <c r="IT65" s="61" t="str">
        <f t="shared" si="361"/>
        <v/>
      </c>
      <c r="IU65" s="128" t="str">
        <f t="shared" si="361"/>
        <v/>
      </c>
      <c r="IV65" s="128" t="str">
        <f t="shared" si="361"/>
        <v/>
      </c>
      <c r="IW65" s="128" t="str">
        <f t="shared" si="361"/>
        <v/>
      </c>
      <c r="IX65" s="128" t="str">
        <f t="shared" si="361"/>
        <v/>
      </c>
      <c r="IY65" s="128" t="str">
        <f t="shared" si="361"/>
        <v/>
      </c>
      <c r="IZ65" s="128" t="str">
        <f t="shared" si="361"/>
        <v/>
      </c>
      <c r="JA65" s="61" t="str">
        <f t="shared" si="361"/>
        <v/>
      </c>
      <c r="JB65" s="128" t="str">
        <f t="shared" si="361"/>
        <v/>
      </c>
      <c r="JC65" s="128" t="str">
        <f t="shared" si="361"/>
        <v/>
      </c>
      <c r="JD65" s="128" t="str">
        <f t="shared" si="361"/>
        <v/>
      </c>
      <c r="JE65" s="128" t="str">
        <f t="shared" si="361"/>
        <v/>
      </c>
      <c r="JF65" s="128" t="str">
        <f t="shared" si="361"/>
        <v/>
      </c>
      <c r="JG65" s="128" t="str">
        <f t="shared" si="361"/>
        <v/>
      </c>
      <c r="JH65" s="61" t="str">
        <f t="shared" si="361"/>
        <v/>
      </c>
      <c r="JI65" s="128" t="str">
        <f t="shared" si="361"/>
        <v/>
      </c>
      <c r="JJ65" s="128" t="str">
        <f t="shared" si="361"/>
        <v/>
      </c>
      <c r="JK65" s="128" t="str">
        <f t="shared" si="361"/>
        <v/>
      </c>
      <c r="JL65" s="128" t="str">
        <f t="shared" si="361"/>
        <v/>
      </c>
      <c r="JM65" s="128" t="str">
        <f t="shared" si="361"/>
        <v/>
      </c>
      <c r="JN65" s="128" t="str">
        <f t="shared" si="361"/>
        <v/>
      </c>
      <c r="JO65" s="61" t="str">
        <f t="shared" si="361"/>
        <v/>
      </c>
      <c r="JP65" s="128" t="str">
        <f t="shared" si="361"/>
        <v/>
      </c>
      <c r="JQ65" s="128" t="str">
        <f t="shared" si="361"/>
        <v/>
      </c>
      <c r="JR65" s="128" t="str">
        <f t="shared" si="361"/>
        <v/>
      </c>
      <c r="JS65" s="128" t="str">
        <f t="shared" si="361"/>
        <v/>
      </c>
      <c r="JT65" s="128" t="str">
        <f t="shared" si="361"/>
        <v/>
      </c>
      <c r="JU65" s="128" t="str">
        <f t="shared" si="361"/>
        <v/>
      </c>
      <c r="JV65" s="61" t="str">
        <f t="shared" si="361"/>
        <v/>
      </c>
      <c r="JW65" s="128" t="str">
        <f t="shared" si="361"/>
        <v/>
      </c>
      <c r="JX65" s="128" t="str">
        <f t="shared" si="361"/>
        <v/>
      </c>
      <c r="JY65" s="128" t="str">
        <f t="shared" si="361"/>
        <v/>
      </c>
      <c r="JZ65" s="128" t="str">
        <f t="shared" si="361"/>
        <v/>
      </c>
      <c r="KA65" s="128" t="str">
        <f t="shared" si="361"/>
        <v/>
      </c>
      <c r="KB65" s="128" t="str">
        <f t="shared" si="361"/>
        <v/>
      </c>
      <c r="KC65" s="61" t="str">
        <f t="shared" si="361"/>
        <v/>
      </c>
      <c r="KD65" s="128" t="str">
        <f t="shared" si="361"/>
        <v/>
      </c>
      <c r="KE65" s="128" t="str">
        <f t="shared" si="361"/>
        <v/>
      </c>
      <c r="KF65" s="128" t="str">
        <f t="shared" si="361"/>
        <v/>
      </c>
      <c r="KG65" s="128" t="str">
        <f t="shared" ref="KG65:MN65" si="362">IF(SUM(KG42:KG63) &gt; 0, SUM(KG42:KG63), "")</f>
        <v/>
      </c>
      <c r="KH65" s="128" t="str">
        <f t="shared" si="362"/>
        <v/>
      </c>
      <c r="KI65" s="128" t="str">
        <f t="shared" si="362"/>
        <v/>
      </c>
      <c r="KJ65" s="61" t="str">
        <f t="shared" si="362"/>
        <v/>
      </c>
      <c r="KK65" s="128" t="str">
        <f t="shared" si="362"/>
        <v/>
      </c>
      <c r="KL65" s="128" t="str">
        <f t="shared" si="362"/>
        <v/>
      </c>
      <c r="KM65" s="128" t="str">
        <f t="shared" si="362"/>
        <v/>
      </c>
      <c r="KN65" s="128" t="str">
        <f t="shared" si="362"/>
        <v/>
      </c>
      <c r="KO65" s="128" t="str">
        <f t="shared" si="362"/>
        <v/>
      </c>
      <c r="KP65" s="128" t="str">
        <f t="shared" si="362"/>
        <v/>
      </c>
      <c r="KQ65" s="61" t="str">
        <f t="shared" si="362"/>
        <v/>
      </c>
      <c r="KR65" s="128" t="str">
        <f t="shared" si="362"/>
        <v/>
      </c>
      <c r="KS65" s="128" t="str">
        <f t="shared" si="362"/>
        <v/>
      </c>
      <c r="KT65" s="128" t="str">
        <f t="shared" si="362"/>
        <v/>
      </c>
      <c r="KU65" s="128" t="str">
        <f t="shared" si="362"/>
        <v/>
      </c>
      <c r="KV65" s="128" t="str">
        <f t="shared" si="362"/>
        <v/>
      </c>
      <c r="KW65" s="128" t="str">
        <f t="shared" si="362"/>
        <v/>
      </c>
      <c r="KX65" s="61" t="str">
        <f t="shared" si="362"/>
        <v/>
      </c>
      <c r="KY65" s="128" t="str">
        <f t="shared" si="362"/>
        <v/>
      </c>
      <c r="KZ65" s="128" t="str">
        <f t="shared" si="362"/>
        <v/>
      </c>
      <c r="LA65" s="128" t="str">
        <f t="shared" si="362"/>
        <v/>
      </c>
      <c r="LB65" s="128" t="str">
        <f t="shared" si="362"/>
        <v/>
      </c>
      <c r="LC65" s="128" t="str">
        <f t="shared" si="362"/>
        <v/>
      </c>
      <c r="LD65" s="128" t="str">
        <f t="shared" si="362"/>
        <v/>
      </c>
      <c r="LE65" s="61" t="str">
        <f t="shared" si="362"/>
        <v/>
      </c>
      <c r="LF65" s="128" t="str">
        <f t="shared" si="362"/>
        <v/>
      </c>
      <c r="LG65" s="128" t="str">
        <f t="shared" si="362"/>
        <v/>
      </c>
      <c r="LH65" s="128" t="str">
        <f t="shared" si="362"/>
        <v/>
      </c>
      <c r="LI65" s="128" t="str">
        <f t="shared" si="362"/>
        <v/>
      </c>
      <c r="LJ65" s="128" t="str">
        <f t="shared" si="362"/>
        <v/>
      </c>
      <c r="LK65" s="128" t="str">
        <f t="shared" si="362"/>
        <v/>
      </c>
      <c r="LL65" s="61" t="str">
        <f t="shared" si="362"/>
        <v/>
      </c>
      <c r="LM65" s="128" t="str">
        <f t="shared" si="362"/>
        <v/>
      </c>
      <c r="LN65" s="128" t="str">
        <f t="shared" si="362"/>
        <v/>
      </c>
      <c r="LO65" s="128" t="str">
        <f t="shared" si="362"/>
        <v/>
      </c>
      <c r="LP65" s="128" t="str">
        <f t="shared" si="362"/>
        <v/>
      </c>
      <c r="LQ65" s="128" t="str">
        <f t="shared" si="362"/>
        <v/>
      </c>
      <c r="LR65" s="128" t="str">
        <f t="shared" si="362"/>
        <v/>
      </c>
      <c r="LS65" s="61" t="str">
        <f t="shared" si="362"/>
        <v/>
      </c>
      <c r="LT65" s="128" t="str">
        <f t="shared" si="362"/>
        <v/>
      </c>
      <c r="LU65" s="128" t="str">
        <f t="shared" si="362"/>
        <v/>
      </c>
      <c r="LV65" s="128" t="str">
        <f t="shared" si="362"/>
        <v/>
      </c>
      <c r="LW65" s="128" t="str">
        <f t="shared" si="362"/>
        <v/>
      </c>
      <c r="LX65" s="128" t="str">
        <f t="shared" si="362"/>
        <v/>
      </c>
      <c r="LY65" s="128" t="str">
        <f t="shared" si="362"/>
        <v/>
      </c>
      <c r="LZ65" s="61" t="str">
        <f t="shared" si="362"/>
        <v/>
      </c>
      <c r="MA65" s="128" t="str">
        <f t="shared" si="362"/>
        <v/>
      </c>
      <c r="MB65" s="128" t="str">
        <f t="shared" si="362"/>
        <v/>
      </c>
      <c r="MC65" s="128" t="str">
        <f t="shared" si="362"/>
        <v/>
      </c>
      <c r="MD65" s="128" t="str">
        <f t="shared" si="362"/>
        <v/>
      </c>
      <c r="ME65" s="128" t="str">
        <f t="shared" si="362"/>
        <v/>
      </c>
      <c r="MF65" s="128" t="str">
        <f t="shared" si="362"/>
        <v/>
      </c>
      <c r="MG65" s="61" t="str">
        <f t="shared" si="362"/>
        <v/>
      </c>
      <c r="MH65" s="128" t="str">
        <f t="shared" si="362"/>
        <v/>
      </c>
      <c r="MI65" s="128" t="str">
        <f t="shared" si="362"/>
        <v/>
      </c>
      <c r="MJ65" s="128" t="str">
        <f t="shared" si="362"/>
        <v/>
      </c>
      <c r="MK65" s="128" t="str">
        <f t="shared" si="362"/>
        <v/>
      </c>
      <c r="ML65" s="128" t="str">
        <f t="shared" si="362"/>
        <v/>
      </c>
      <c r="MM65" s="128" t="str">
        <f t="shared" si="362"/>
        <v/>
      </c>
      <c r="MN65" s="61" t="str">
        <f t="shared" si="362"/>
        <v/>
      </c>
    </row>
    <row r="66" spans="1:352" ht="72.75" hidden="1"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 t="shared" ref="S66:AX66" si="363">S1</f>
        <v>43975</v>
      </c>
      <c r="T66" s="49">
        <f t="shared" si="363"/>
        <v>43976</v>
      </c>
      <c r="U66" s="49">
        <f t="shared" si="363"/>
        <v>43977</v>
      </c>
      <c r="V66" s="49">
        <f t="shared" si="363"/>
        <v>43978</v>
      </c>
      <c r="W66" s="49">
        <f t="shared" si="363"/>
        <v>43979</v>
      </c>
      <c r="X66" s="49">
        <f t="shared" si="363"/>
        <v>43980</v>
      </c>
      <c r="Y66" s="49">
        <f t="shared" si="363"/>
        <v>43981</v>
      </c>
      <c r="Z66" s="49">
        <f t="shared" si="363"/>
        <v>43982</v>
      </c>
      <c r="AA66" s="49">
        <f t="shared" si="363"/>
        <v>43983</v>
      </c>
      <c r="AB66" s="49">
        <f t="shared" si="363"/>
        <v>43984</v>
      </c>
      <c r="AC66" s="49">
        <f t="shared" si="363"/>
        <v>43985</v>
      </c>
      <c r="AD66" s="49">
        <f t="shared" si="363"/>
        <v>43986</v>
      </c>
      <c r="AE66" s="49">
        <f t="shared" si="363"/>
        <v>43987</v>
      </c>
      <c r="AF66" s="49">
        <f t="shared" si="363"/>
        <v>43988</v>
      </c>
      <c r="AG66" s="49">
        <f t="shared" si="363"/>
        <v>43989</v>
      </c>
      <c r="AH66" s="49">
        <f t="shared" si="363"/>
        <v>43990</v>
      </c>
      <c r="AI66" s="49">
        <f t="shared" si="363"/>
        <v>43991</v>
      </c>
      <c r="AJ66" s="49">
        <f t="shared" si="363"/>
        <v>43992</v>
      </c>
      <c r="AK66" s="49">
        <f t="shared" si="363"/>
        <v>43993</v>
      </c>
      <c r="AL66" s="49">
        <f t="shared" si="363"/>
        <v>43994</v>
      </c>
      <c r="AM66" s="49">
        <f t="shared" si="363"/>
        <v>43995</v>
      </c>
      <c r="AN66" s="49">
        <f t="shared" si="363"/>
        <v>43996</v>
      </c>
      <c r="AO66" s="49">
        <f t="shared" si="363"/>
        <v>43997</v>
      </c>
      <c r="AP66" s="49">
        <f t="shared" si="363"/>
        <v>43998</v>
      </c>
      <c r="AQ66" s="49">
        <f t="shared" si="363"/>
        <v>43999</v>
      </c>
      <c r="AR66" s="49">
        <f t="shared" si="363"/>
        <v>44000</v>
      </c>
      <c r="AS66" s="49">
        <f t="shared" si="363"/>
        <v>44001</v>
      </c>
      <c r="AT66" s="49">
        <f t="shared" si="363"/>
        <v>44002</v>
      </c>
      <c r="AU66" s="49">
        <f t="shared" si="363"/>
        <v>44003</v>
      </c>
      <c r="AV66" s="49">
        <f t="shared" si="363"/>
        <v>44004</v>
      </c>
      <c r="AW66" s="49">
        <f t="shared" si="363"/>
        <v>44005</v>
      </c>
      <c r="AX66" s="49">
        <f t="shared" si="363"/>
        <v>44006</v>
      </c>
      <c r="AY66" s="49">
        <f t="shared" ref="AY66:BW66" si="364">AY1</f>
        <v>44007</v>
      </c>
      <c r="AZ66" s="49">
        <f t="shared" si="364"/>
        <v>44008</v>
      </c>
      <c r="BA66" s="49">
        <f t="shared" si="364"/>
        <v>44009</v>
      </c>
      <c r="BB66" s="49">
        <f t="shared" si="364"/>
        <v>44010</v>
      </c>
      <c r="BC66" s="49">
        <f t="shared" si="364"/>
        <v>44011</v>
      </c>
      <c r="BD66" s="49">
        <f t="shared" si="364"/>
        <v>44012</v>
      </c>
      <c r="BE66" s="49">
        <f t="shared" si="364"/>
        <v>44013</v>
      </c>
      <c r="BF66" s="49">
        <f t="shared" si="364"/>
        <v>44014</v>
      </c>
      <c r="BG66" s="49">
        <f t="shared" si="364"/>
        <v>44015</v>
      </c>
      <c r="BH66" s="49">
        <f t="shared" si="364"/>
        <v>44016</v>
      </c>
      <c r="BI66" s="49">
        <f t="shared" si="364"/>
        <v>44017</v>
      </c>
      <c r="BJ66" s="49">
        <f t="shared" si="364"/>
        <v>44018</v>
      </c>
      <c r="BK66" s="49">
        <f t="shared" si="364"/>
        <v>44019</v>
      </c>
      <c r="BL66" s="49">
        <f t="shared" si="364"/>
        <v>44020</v>
      </c>
      <c r="BM66" s="49">
        <f t="shared" si="364"/>
        <v>44021</v>
      </c>
      <c r="BN66" s="49">
        <f t="shared" si="364"/>
        <v>44022</v>
      </c>
      <c r="BO66" s="49">
        <f t="shared" si="364"/>
        <v>44023</v>
      </c>
      <c r="BP66" s="49">
        <f t="shared" si="364"/>
        <v>44024</v>
      </c>
      <c r="BQ66" s="49">
        <f t="shared" si="364"/>
        <v>44025</v>
      </c>
      <c r="BR66" s="49">
        <f t="shared" si="364"/>
        <v>44026</v>
      </c>
      <c r="BS66" s="49">
        <f t="shared" si="364"/>
        <v>44027</v>
      </c>
      <c r="BT66" s="49">
        <f t="shared" si="364"/>
        <v>44028</v>
      </c>
      <c r="BU66" s="49">
        <f t="shared" si="364"/>
        <v>44029</v>
      </c>
      <c r="BV66" s="49">
        <f t="shared" si="364"/>
        <v>44030</v>
      </c>
      <c r="BW66" s="49">
        <f t="shared" si="364"/>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 t="shared" ref="DS66:DY66" si="365">DS1</f>
        <v>44067</v>
      </c>
      <c r="DT66" s="49">
        <f t="shared" si="365"/>
        <v>44068</v>
      </c>
      <c r="DU66" s="49">
        <f t="shared" si="365"/>
        <v>44069</v>
      </c>
      <c r="DV66" s="49">
        <f t="shared" si="365"/>
        <v>44070</v>
      </c>
      <c r="DW66" s="49">
        <f t="shared" si="365"/>
        <v>44071</v>
      </c>
      <c r="DX66" s="49">
        <f t="shared" si="365"/>
        <v>44072</v>
      </c>
      <c r="DY66" s="49">
        <f t="shared" si="365"/>
        <v>44073</v>
      </c>
      <c r="DZ66" s="49"/>
      <c r="EA66" s="49"/>
      <c r="EB66" s="49">
        <f t="shared" ref="EB66:EH66" si="366">EB1</f>
        <v>44074</v>
      </c>
      <c r="EC66" s="49">
        <f t="shared" si="366"/>
        <v>44075</v>
      </c>
      <c r="ED66" s="49">
        <f t="shared" si="366"/>
        <v>44076</v>
      </c>
      <c r="EE66" s="49">
        <f t="shared" si="366"/>
        <v>44077</v>
      </c>
      <c r="EF66" s="49">
        <f t="shared" si="366"/>
        <v>44078</v>
      </c>
      <c r="EG66" s="49">
        <f t="shared" si="366"/>
        <v>44079</v>
      </c>
      <c r="EH66" s="49">
        <f t="shared" si="366"/>
        <v>44080</v>
      </c>
      <c r="EI66" s="49"/>
      <c r="EJ66" s="49"/>
      <c r="EK66" s="49">
        <f t="shared" ref="EK66:EQ66" si="367">EK1</f>
        <v>44081</v>
      </c>
      <c r="EL66" s="49">
        <f t="shared" si="367"/>
        <v>44082</v>
      </c>
      <c r="EM66" s="49">
        <f t="shared" si="367"/>
        <v>44083</v>
      </c>
      <c r="EN66" s="49">
        <f t="shared" si="367"/>
        <v>44084</v>
      </c>
      <c r="EO66" s="49">
        <f t="shared" si="367"/>
        <v>44085</v>
      </c>
      <c r="EP66" s="49">
        <f t="shared" si="367"/>
        <v>44086</v>
      </c>
      <c r="EQ66" s="49">
        <f t="shared" si="367"/>
        <v>44087</v>
      </c>
      <c r="ER66" s="49"/>
      <c r="ES66" s="49"/>
      <c r="ET66" s="49">
        <f t="shared" ref="ET66:HE66" si="368">ET1</f>
        <v>44088</v>
      </c>
      <c r="EU66" s="49">
        <f t="shared" si="368"/>
        <v>44089</v>
      </c>
      <c r="EV66" s="49">
        <f t="shared" si="368"/>
        <v>44090</v>
      </c>
      <c r="EW66" s="49">
        <f t="shared" si="368"/>
        <v>44091</v>
      </c>
      <c r="EX66" s="49">
        <f t="shared" si="368"/>
        <v>44092</v>
      </c>
      <c r="EY66" s="49">
        <f t="shared" si="368"/>
        <v>44093</v>
      </c>
      <c r="EZ66" s="49">
        <f t="shared" si="368"/>
        <v>44094</v>
      </c>
      <c r="FA66" s="49">
        <f t="shared" si="368"/>
        <v>44095</v>
      </c>
      <c r="FB66" s="49">
        <f t="shared" si="368"/>
        <v>44096</v>
      </c>
      <c r="FC66" s="49">
        <f t="shared" si="368"/>
        <v>44097</v>
      </c>
      <c r="FD66" s="49">
        <f t="shared" si="368"/>
        <v>44098</v>
      </c>
      <c r="FE66" s="49">
        <f t="shared" si="368"/>
        <v>44099</v>
      </c>
      <c r="FF66" s="49">
        <f t="shared" si="368"/>
        <v>44100</v>
      </c>
      <c r="FG66" s="49">
        <f t="shared" si="368"/>
        <v>44101</v>
      </c>
      <c r="FH66" s="49">
        <f t="shared" si="368"/>
        <v>44102</v>
      </c>
      <c r="FI66" s="49">
        <f t="shared" si="368"/>
        <v>44103</v>
      </c>
      <c r="FJ66" s="49">
        <f t="shared" si="368"/>
        <v>44104</v>
      </c>
      <c r="FK66" s="49">
        <f t="shared" si="368"/>
        <v>44105</v>
      </c>
      <c r="FL66" s="49">
        <f t="shared" si="368"/>
        <v>44106</v>
      </c>
      <c r="FM66" s="49">
        <f t="shared" si="368"/>
        <v>44107</v>
      </c>
      <c r="FN66" s="49">
        <f t="shared" si="368"/>
        <v>44108</v>
      </c>
      <c r="FO66" s="49">
        <f t="shared" si="368"/>
        <v>44109</v>
      </c>
      <c r="FP66" s="49">
        <f t="shared" si="368"/>
        <v>44110</v>
      </c>
      <c r="FQ66" s="49">
        <f t="shared" si="368"/>
        <v>44111</v>
      </c>
      <c r="FR66" s="49">
        <f t="shared" si="368"/>
        <v>44112</v>
      </c>
      <c r="FS66" s="49">
        <f t="shared" si="368"/>
        <v>44113</v>
      </c>
      <c r="FT66" s="49">
        <f t="shared" si="368"/>
        <v>44114</v>
      </c>
      <c r="FU66" s="49">
        <f t="shared" si="368"/>
        <v>44115</v>
      </c>
      <c r="FV66" s="49">
        <f t="shared" si="368"/>
        <v>44116</v>
      </c>
      <c r="FW66" s="49">
        <f t="shared" si="368"/>
        <v>44117</v>
      </c>
      <c r="FX66" s="49">
        <f t="shared" si="368"/>
        <v>44118</v>
      </c>
      <c r="FY66" s="49">
        <f t="shared" si="368"/>
        <v>44119</v>
      </c>
      <c r="FZ66" s="49">
        <f t="shared" si="368"/>
        <v>44120</v>
      </c>
      <c r="GA66" s="49">
        <f t="shared" si="368"/>
        <v>44121</v>
      </c>
      <c r="GB66" s="49">
        <f t="shared" si="368"/>
        <v>44122</v>
      </c>
      <c r="GC66" s="49">
        <f t="shared" si="368"/>
        <v>44123</v>
      </c>
      <c r="GD66" s="49">
        <f t="shared" si="368"/>
        <v>44124</v>
      </c>
      <c r="GE66" s="49">
        <f t="shared" si="368"/>
        <v>44125</v>
      </c>
      <c r="GF66" s="49">
        <f t="shared" si="368"/>
        <v>44126</v>
      </c>
      <c r="GG66" s="49">
        <f t="shared" si="368"/>
        <v>44127</v>
      </c>
      <c r="GH66" s="49">
        <f t="shared" si="368"/>
        <v>44128</v>
      </c>
      <c r="GI66" s="49">
        <f t="shared" si="368"/>
        <v>44129</v>
      </c>
      <c r="GJ66" s="49">
        <f t="shared" si="368"/>
        <v>44130</v>
      </c>
      <c r="GK66" s="49">
        <f t="shared" si="368"/>
        <v>44131</v>
      </c>
      <c r="GL66" s="49">
        <f t="shared" si="368"/>
        <v>44132</v>
      </c>
      <c r="GM66" s="49">
        <f t="shared" si="368"/>
        <v>44133</v>
      </c>
      <c r="GN66" s="49">
        <f t="shared" si="368"/>
        <v>44134</v>
      </c>
      <c r="GO66" s="49">
        <f t="shared" si="368"/>
        <v>44135</v>
      </c>
      <c r="GP66" s="49">
        <f t="shared" si="368"/>
        <v>44136</v>
      </c>
      <c r="GQ66" s="49">
        <f t="shared" si="368"/>
        <v>44137</v>
      </c>
      <c r="GR66" s="49">
        <f t="shared" si="368"/>
        <v>44138</v>
      </c>
      <c r="GS66" s="49">
        <f t="shared" si="368"/>
        <v>44139</v>
      </c>
      <c r="GT66" s="49">
        <f t="shared" si="368"/>
        <v>44140</v>
      </c>
      <c r="GU66" s="49">
        <f t="shared" si="368"/>
        <v>44141</v>
      </c>
      <c r="GV66" s="49">
        <f t="shared" si="368"/>
        <v>44142</v>
      </c>
      <c r="GW66" s="49">
        <f t="shared" si="368"/>
        <v>44143</v>
      </c>
      <c r="GX66" s="49">
        <f t="shared" si="368"/>
        <v>44144</v>
      </c>
      <c r="GY66" s="49">
        <f t="shared" si="368"/>
        <v>44145</v>
      </c>
      <c r="GZ66" s="49">
        <f t="shared" si="368"/>
        <v>44146</v>
      </c>
      <c r="HA66" s="49">
        <f t="shared" si="368"/>
        <v>44147</v>
      </c>
      <c r="HB66" s="49">
        <f t="shared" si="368"/>
        <v>44148</v>
      </c>
      <c r="HC66" s="49">
        <f t="shared" si="368"/>
        <v>44149</v>
      </c>
      <c r="HD66" s="49">
        <f t="shared" si="368"/>
        <v>44150</v>
      </c>
      <c r="HE66" s="49">
        <f t="shared" si="368"/>
        <v>44151</v>
      </c>
      <c r="HF66" s="49">
        <f t="shared" ref="HF66:JQ66" si="369">HF1</f>
        <v>44152</v>
      </c>
      <c r="HG66" s="49">
        <f t="shared" si="369"/>
        <v>44153</v>
      </c>
      <c r="HH66" s="49">
        <f t="shared" si="369"/>
        <v>44154</v>
      </c>
      <c r="HI66" s="49">
        <f t="shared" si="369"/>
        <v>44155</v>
      </c>
      <c r="HJ66" s="49">
        <f t="shared" si="369"/>
        <v>44156</v>
      </c>
      <c r="HK66" s="49">
        <f t="shared" si="369"/>
        <v>44157</v>
      </c>
      <c r="HL66" s="49">
        <f t="shared" si="369"/>
        <v>44158</v>
      </c>
      <c r="HM66" s="49">
        <f t="shared" si="369"/>
        <v>44159</v>
      </c>
      <c r="HN66" s="49">
        <f t="shared" si="369"/>
        <v>44160</v>
      </c>
      <c r="HO66" s="49">
        <f t="shared" si="369"/>
        <v>44161</v>
      </c>
      <c r="HP66" s="49">
        <f t="shared" si="369"/>
        <v>44162</v>
      </c>
      <c r="HQ66" s="49">
        <f t="shared" si="369"/>
        <v>44163</v>
      </c>
      <c r="HR66" s="49">
        <f t="shared" si="369"/>
        <v>44164</v>
      </c>
      <c r="HS66" s="49">
        <f t="shared" si="369"/>
        <v>44165</v>
      </c>
      <c r="HT66" s="49">
        <f t="shared" si="369"/>
        <v>44166</v>
      </c>
      <c r="HU66" s="49">
        <f t="shared" si="369"/>
        <v>44167</v>
      </c>
      <c r="HV66" s="49">
        <f t="shared" si="369"/>
        <v>44168</v>
      </c>
      <c r="HW66" s="49">
        <f t="shared" si="369"/>
        <v>44169</v>
      </c>
      <c r="HX66" s="49">
        <f t="shared" si="369"/>
        <v>44170</v>
      </c>
      <c r="HY66" s="49">
        <f t="shared" si="369"/>
        <v>44171</v>
      </c>
      <c r="HZ66" s="49">
        <f t="shared" si="369"/>
        <v>44172</v>
      </c>
      <c r="IA66" s="49">
        <f t="shared" si="369"/>
        <v>44173</v>
      </c>
      <c r="IB66" s="49">
        <f t="shared" si="369"/>
        <v>44174</v>
      </c>
      <c r="IC66" s="49">
        <f t="shared" si="369"/>
        <v>44175</v>
      </c>
      <c r="ID66" s="49">
        <f t="shared" si="369"/>
        <v>44176</v>
      </c>
      <c r="IE66" s="49">
        <f t="shared" si="369"/>
        <v>44177</v>
      </c>
      <c r="IF66" s="49">
        <f t="shared" si="369"/>
        <v>44178</v>
      </c>
      <c r="IG66" s="49">
        <f t="shared" si="369"/>
        <v>44179</v>
      </c>
      <c r="IH66" s="49">
        <f t="shared" si="369"/>
        <v>44180</v>
      </c>
      <c r="II66" s="49">
        <f t="shared" si="369"/>
        <v>44181</v>
      </c>
      <c r="IJ66" s="49">
        <f t="shared" si="369"/>
        <v>44182</v>
      </c>
      <c r="IK66" s="49">
        <f t="shared" si="369"/>
        <v>44183</v>
      </c>
      <c r="IL66" s="49">
        <f t="shared" si="369"/>
        <v>44184</v>
      </c>
      <c r="IM66" s="49">
        <f t="shared" si="369"/>
        <v>44185</v>
      </c>
      <c r="IN66" s="49">
        <f t="shared" si="369"/>
        <v>44186</v>
      </c>
      <c r="IO66" s="49">
        <f t="shared" si="369"/>
        <v>44187</v>
      </c>
      <c r="IP66" s="49">
        <f t="shared" si="369"/>
        <v>44188</v>
      </c>
      <c r="IQ66" s="49">
        <f t="shared" si="369"/>
        <v>44189</v>
      </c>
      <c r="IR66" s="49">
        <f t="shared" si="369"/>
        <v>44190</v>
      </c>
      <c r="IS66" s="49">
        <f t="shared" si="369"/>
        <v>44191</v>
      </c>
      <c r="IT66" s="49">
        <f t="shared" si="369"/>
        <v>44192</v>
      </c>
      <c r="IU66" s="49">
        <f t="shared" si="369"/>
        <v>44193</v>
      </c>
      <c r="IV66" s="49">
        <f t="shared" si="369"/>
        <v>44194</v>
      </c>
      <c r="IW66" s="49">
        <f t="shared" si="369"/>
        <v>44195</v>
      </c>
      <c r="IX66" s="49">
        <f t="shared" si="369"/>
        <v>44196</v>
      </c>
      <c r="IY66" s="49">
        <f t="shared" si="369"/>
        <v>44197</v>
      </c>
      <c r="IZ66" s="49">
        <f t="shared" si="369"/>
        <v>44198</v>
      </c>
      <c r="JA66" s="49">
        <f t="shared" si="369"/>
        <v>44199</v>
      </c>
      <c r="JB66" s="49">
        <f t="shared" si="369"/>
        <v>44200</v>
      </c>
      <c r="JC66" s="49">
        <f t="shared" si="369"/>
        <v>44201</v>
      </c>
      <c r="JD66" s="49">
        <f t="shared" si="369"/>
        <v>44202</v>
      </c>
      <c r="JE66" s="49">
        <f t="shared" si="369"/>
        <v>44203</v>
      </c>
      <c r="JF66" s="49">
        <f t="shared" si="369"/>
        <v>44204</v>
      </c>
      <c r="JG66" s="49">
        <f t="shared" si="369"/>
        <v>44205</v>
      </c>
      <c r="JH66" s="49">
        <f t="shared" si="369"/>
        <v>44206</v>
      </c>
      <c r="JI66" s="49">
        <f t="shared" si="369"/>
        <v>44207</v>
      </c>
      <c r="JJ66" s="49">
        <f t="shared" si="369"/>
        <v>44208</v>
      </c>
      <c r="JK66" s="49">
        <f t="shared" si="369"/>
        <v>44209</v>
      </c>
      <c r="JL66" s="49">
        <f t="shared" si="369"/>
        <v>44210</v>
      </c>
      <c r="JM66" s="49">
        <f t="shared" si="369"/>
        <v>44211</v>
      </c>
      <c r="JN66" s="49">
        <f t="shared" si="369"/>
        <v>44212</v>
      </c>
      <c r="JO66" s="49">
        <f t="shared" si="369"/>
        <v>44213</v>
      </c>
      <c r="JP66" s="49">
        <f t="shared" si="369"/>
        <v>44214</v>
      </c>
      <c r="JQ66" s="49">
        <f t="shared" si="369"/>
        <v>44215</v>
      </c>
      <c r="JR66" s="49">
        <f t="shared" ref="JR66:MC66" si="370">JR1</f>
        <v>44216</v>
      </c>
      <c r="JS66" s="49">
        <f t="shared" si="370"/>
        <v>44217</v>
      </c>
      <c r="JT66" s="49">
        <f t="shared" si="370"/>
        <v>44218</v>
      </c>
      <c r="JU66" s="49">
        <f t="shared" si="370"/>
        <v>44219</v>
      </c>
      <c r="JV66" s="49">
        <f t="shared" si="370"/>
        <v>44220</v>
      </c>
      <c r="JW66" s="49">
        <f t="shared" si="370"/>
        <v>44221</v>
      </c>
      <c r="JX66" s="49">
        <f t="shared" si="370"/>
        <v>44222</v>
      </c>
      <c r="JY66" s="49">
        <f t="shared" si="370"/>
        <v>44223</v>
      </c>
      <c r="JZ66" s="49">
        <f t="shared" si="370"/>
        <v>44224</v>
      </c>
      <c r="KA66" s="49">
        <f t="shared" si="370"/>
        <v>44225</v>
      </c>
      <c r="KB66" s="49">
        <f t="shared" si="370"/>
        <v>44226</v>
      </c>
      <c r="KC66" s="49">
        <f t="shared" si="370"/>
        <v>44227</v>
      </c>
      <c r="KD66" s="49">
        <f t="shared" si="370"/>
        <v>44228</v>
      </c>
      <c r="KE66" s="49">
        <f t="shared" si="370"/>
        <v>44229</v>
      </c>
      <c r="KF66" s="49">
        <f t="shared" si="370"/>
        <v>44230</v>
      </c>
      <c r="KG66" s="49">
        <f t="shared" si="370"/>
        <v>44231</v>
      </c>
      <c r="KH66" s="49">
        <f t="shared" si="370"/>
        <v>44232</v>
      </c>
      <c r="KI66" s="49">
        <f t="shared" si="370"/>
        <v>44233</v>
      </c>
      <c r="KJ66" s="49">
        <f t="shared" si="370"/>
        <v>44234</v>
      </c>
      <c r="KK66" s="49">
        <f t="shared" si="370"/>
        <v>44235</v>
      </c>
      <c r="KL66" s="49">
        <f t="shared" si="370"/>
        <v>44236</v>
      </c>
      <c r="KM66" s="49">
        <f t="shared" si="370"/>
        <v>44237</v>
      </c>
      <c r="KN66" s="49">
        <f t="shared" si="370"/>
        <v>44238</v>
      </c>
      <c r="KO66" s="49">
        <f t="shared" si="370"/>
        <v>44239</v>
      </c>
      <c r="KP66" s="49">
        <f t="shared" si="370"/>
        <v>44240</v>
      </c>
      <c r="KQ66" s="49">
        <f t="shared" si="370"/>
        <v>44241</v>
      </c>
      <c r="KR66" s="49">
        <f t="shared" si="370"/>
        <v>44242</v>
      </c>
      <c r="KS66" s="49">
        <f t="shared" si="370"/>
        <v>44243</v>
      </c>
      <c r="KT66" s="49">
        <f t="shared" si="370"/>
        <v>44244</v>
      </c>
      <c r="KU66" s="49">
        <f t="shared" si="370"/>
        <v>44245</v>
      </c>
      <c r="KV66" s="49">
        <f t="shared" si="370"/>
        <v>44246</v>
      </c>
      <c r="KW66" s="49">
        <f t="shared" si="370"/>
        <v>44247</v>
      </c>
      <c r="KX66" s="49">
        <f t="shared" si="370"/>
        <v>44248</v>
      </c>
      <c r="KY66" s="49">
        <f t="shared" si="370"/>
        <v>44249</v>
      </c>
      <c r="KZ66" s="49">
        <f t="shared" si="370"/>
        <v>44250</v>
      </c>
      <c r="LA66" s="49">
        <f t="shared" si="370"/>
        <v>44251</v>
      </c>
      <c r="LB66" s="49">
        <f t="shared" si="370"/>
        <v>44252</v>
      </c>
      <c r="LC66" s="49">
        <f t="shared" si="370"/>
        <v>44253</v>
      </c>
      <c r="LD66" s="49">
        <f t="shared" si="370"/>
        <v>44254</v>
      </c>
      <c r="LE66" s="49">
        <f t="shared" si="370"/>
        <v>44255</v>
      </c>
      <c r="LF66" s="49">
        <f t="shared" si="370"/>
        <v>44256</v>
      </c>
      <c r="LG66" s="49">
        <f t="shared" si="370"/>
        <v>44257</v>
      </c>
      <c r="LH66" s="49">
        <f t="shared" si="370"/>
        <v>44258</v>
      </c>
      <c r="LI66" s="49">
        <f t="shared" si="370"/>
        <v>44259</v>
      </c>
      <c r="LJ66" s="49">
        <f t="shared" si="370"/>
        <v>44260</v>
      </c>
      <c r="LK66" s="49">
        <f t="shared" si="370"/>
        <v>44261</v>
      </c>
      <c r="LL66" s="49">
        <f t="shared" si="370"/>
        <v>44262</v>
      </c>
      <c r="LM66" s="49">
        <f t="shared" si="370"/>
        <v>44263</v>
      </c>
      <c r="LN66" s="49">
        <f t="shared" si="370"/>
        <v>44264</v>
      </c>
      <c r="LO66" s="49">
        <f t="shared" si="370"/>
        <v>44265</v>
      </c>
      <c r="LP66" s="49">
        <f t="shared" si="370"/>
        <v>44266</v>
      </c>
      <c r="LQ66" s="49">
        <f t="shared" si="370"/>
        <v>44267</v>
      </c>
      <c r="LR66" s="49">
        <f t="shared" si="370"/>
        <v>44268</v>
      </c>
      <c r="LS66" s="49">
        <f t="shared" si="370"/>
        <v>44269</v>
      </c>
      <c r="LT66" s="49">
        <f t="shared" si="370"/>
        <v>44270</v>
      </c>
      <c r="LU66" s="49">
        <f t="shared" si="370"/>
        <v>44271</v>
      </c>
      <c r="LV66" s="49">
        <f t="shared" si="370"/>
        <v>44272</v>
      </c>
      <c r="LW66" s="49">
        <f t="shared" si="370"/>
        <v>44273</v>
      </c>
      <c r="LX66" s="49">
        <f t="shared" si="370"/>
        <v>44274</v>
      </c>
      <c r="LY66" s="49">
        <f t="shared" si="370"/>
        <v>44275</v>
      </c>
      <c r="LZ66" s="49">
        <f t="shared" si="370"/>
        <v>44276</v>
      </c>
      <c r="MA66" s="49">
        <f t="shared" si="370"/>
        <v>44277</v>
      </c>
      <c r="MB66" s="49">
        <f t="shared" si="370"/>
        <v>44278</v>
      </c>
      <c r="MC66" s="49">
        <f t="shared" si="370"/>
        <v>44279</v>
      </c>
      <c r="MD66" s="49">
        <f t="shared" ref="MD66:MN66" si="371">MD1</f>
        <v>44280</v>
      </c>
      <c r="ME66" s="49">
        <f t="shared" si="371"/>
        <v>44281</v>
      </c>
      <c r="MF66" s="49">
        <f t="shared" si="371"/>
        <v>44282</v>
      </c>
      <c r="MG66" s="49">
        <f t="shared" si="371"/>
        <v>44283</v>
      </c>
      <c r="MH66" s="49">
        <f t="shared" si="371"/>
        <v>44284</v>
      </c>
      <c r="MI66" s="49">
        <f t="shared" si="371"/>
        <v>44285</v>
      </c>
      <c r="MJ66" s="49">
        <f t="shared" si="371"/>
        <v>44286</v>
      </c>
      <c r="MK66" s="49">
        <f t="shared" si="371"/>
        <v>44287</v>
      </c>
      <c r="ML66" s="49">
        <f t="shared" si="371"/>
        <v>44288</v>
      </c>
      <c r="MM66" s="49">
        <f t="shared" si="371"/>
        <v>44289</v>
      </c>
      <c r="MN66" s="49">
        <f t="shared" si="371"/>
        <v>44290</v>
      </c>
    </row>
    <row r="67" spans="1:352" ht="15" customHeight="1" x14ac:dyDescent="0.25">
      <c r="A67" s="146" t="s">
        <v>144</v>
      </c>
      <c r="B67" s="146"/>
      <c r="C67" s="146"/>
      <c r="D67" s="146"/>
      <c r="E67" s="147"/>
      <c r="F67" s="30"/>
      <c r="G67" s="30"/>
      <c r="H67" s="30"/>
      <c r="I67" s="30"/>
      <c r="J67" s="30"/>
      <c r="K67" s="30"/>
      <c r="L67" s="30"/>
      <c r="M67" s="30"/>
      <c r="N67" s="30"/>
      <c r="O67" s="29"/>
      <c r="P67" s="150" t="s">
        <v>49</v>
      </c>
      <c r="Q67" s="150" t="s">
        <v>48</v>
      </c>
      <c r="R67" s="152"/>
      <c r="S67" s="57">
        <f t="shared" ref="S67:BV67" si="372">S39</f>
        <v>43975</v>
      </c>
      <c r="T67" s="58">
        <f t="shared" si="372"/>
        <v>43976</v>
      </c>
      <c r="U67" s="58">
        <f t="shared" si="372"/>
        <v>43977</v>
      </c>
      <c r="V67" s="58">
        <f t="shared" si="372"/>
        <v>43978</v>
      </c>
      <c r="W67" s="58">
        <f t="shared" si="372"/>
        <v>43979</v>
      </c>
      <c r="X67" s="58">
        <f t="shared" si="372"/>
        <v>43980</v>
      </c>
      <c r="Y67" s="58">
        <f t="shared" si="372"/>
        <v>43981</v>
      </c>
      <c r="Z67" s="57">
        <f t="shared" si="372"/>
        <v>43982</v>
      </c>
      <c r="AA67" s="58">
        <f t="shared" si="372"/>
        <v>43983</v>
      </c>
      <c r="AB67" s="58">
        <f t="shared" si="372"/>
        <v>43984</v>
      </c>
      <c r="AC67" s="58">
        <f t="shared" si="372"/>
        <v>43985</v>
      </c>
      <c r="AD67" s="58">
        <f t="shared" si="372"/>
        <v>43986</v>
      </c>
      <c r="AE67" s="58">
        <f t="shared" si="372"/>
        <v>43987</v>
      </c>
      <c r="AF67" s="58">
        <f t="shared" si="372"/>
        <v>43988</v>
      </c>
      <c r="AG67" s="57">
        <f t="shared" si="372"/>
        <v>43989</v>
      </c>
      <c r="AH67" s="58">
        <f t="shared" si="372"/>
        <v>43990</v>
      </c>
      <c r="AI67" s="58">
        <f t="shared" si="372"/>
        <v>43991</v>
      </c>
      <c r="AJ67" s="58">
        <f t="shared" si="372"/>
        <v>43992</v>
      </c>
      <c r="AK67" s="58">
        <f t="shared" si="372"/>
        <v>43993</v>
      </c>
      <c r="AL67" s="58">
        <f t="shared" si="372"/>
        <v>43994</v>
      </c>
      <c r="AM67" s="58">
        <f t="shared" si="372"/>
        <v>43995</v>
      </c>
      <c r="AN67" s="57">
        <f t="shared" si="372"/>
        <v>43996</v>
      </c>
      <c r="AO67" s="58">
        <f t="shared" si="372"/>
        <v>43997</v>
      </c>
      <c r="AP67" s="58">
        <f t="shared" si="372"/>
        <v>43998</v>
      </c>
      <c r="AQ67" s="58">
        <f t="shared" si="372"/>
        <v>43999</v>
      </c>
      <c r="AR67" s="58">
        <f t="shared" si="372"/>
        <v>44000</v>
      </c>
      <c r="AS67" s="58">
        <f t="shared" si="372"/>
        <v>44001</v>
      </c>
      <c r="AT67" s="58">
        <f t="shared" si="372"/>
        <v>44002</v>
      </c>
      <c r="AU67" s="57">
        <f t="shared" si="372"/>
        <v>44003</v>
      </c>
      <c r="AV67" s="58">
        <f t="shared" si="372"/>
        <v>44004</v>
      </c>
      <c r="AW67" s="58">
        <f t="shared" si="372"/>
        <v>44005</v>
      </c>
      <c r="AX67" s="58">
        <f t="shared" si="372"/>
        <v>44006</v>
      </c>
      <c r="AY67" s="58">
        <f t="shared" si="372"/>
        <v>44007</v>
      </c>
      <c r="AZ67" s="58">
        <f t="shared" si="372"/>
        <v>44008</v>
      </c>
      <c r="BA67" s="58">
        <f t="shared" si="372"/>
        <v>44009</v>
      </c>
      <c r="BB67" s="57">
        <f t="shared" si="372"/>
        <v>44010</v>
      </c>
      <c r="BC67" s="58">
        <f t="shared" si="372"/>
        <v>44011</v>
      </c>
      <c r="BD67" s="58">
        <f t="shared" si="372"/>
        <v>44012</v>
      </c>
      <c r="BE67" s="58">
        <f t="shared" si="372"/>
        <v>44013</v>
      </c>
      <c r="BF67" s="58">
        <f t="shared" si="372"/>
        <v>44014</v>
      </c>
      <c r="BG67" s="58">
        <f t="shared" si="372"/>
        <v>44015</v>
      </c>
      <c r="BH67" s="58">
        <f t="shared" si="372"/>
        <v>44016</v>
      </c>
      <c r="BI67" s="57">
        <f t="shared" si="372"/>
        <v>44017</v>
      </c>
      <c r="BJ67" s="58">
        <f t="shared" si="372"/>
        <v>44018</v>
      </c>
      <c r="BK67" s="58">
        <f t="shared" si="372"/>
        <v>44019</v>
      </c>
      <c r="BL67" s="58">
        <f t="shared" si="372"/>
        <v>44020</v>
      </c>
      <c r="BM67" s="58">
        <f t="shared" si="372"/>
        <v>44021</v>
      </c>
      <c r="BN67" s="58">
        <f t="shared" si="372"/>
        <v>44022</v>
      </c>
      <c r="BO67" s="58">
        <f t="shared" si="372"/>
        <v>44023</v>
      </c>
      <c r="BP67" s="57">
        <v>12</v>
      </c>
      <c r="BQ67" s="58">
        <f t="shared" si="372"/>
        <v>44025</v>
      </c>
      <c r="BR67" s="58">
        <f t="shared" si="372"/>
        <v>44026</v>
      </c>
      <c r="BS67" s="58">
        <f t="shared" si="372"/>
        <v>44027</v>
      </c>
      <c r="BT67" s="58">
        <f t="shared" si="372"/>
        <v>44028</v>
      </c>
      <c r="BU67" s="58">
        <f t="shared" si="372"/>
        <v>44029</v>
      </c>
      <c r="BV67" s="58">
        <f t="shared" si="372"/>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H67" si="373">DS39</f>
        <v>44067</v>
      </c>
      <c r="DT67" s="58">
        <f t="shared" si="373"/>
        <v>44068</v>
      </c>
      <c r="DU67" s="58">
        <f t="shared" si="373"/>
        <v>44069</v>
      </c>
      <c r="DV67" s="58">
        <f t="shared" si="373"/>
        <v>44070</v>
      </c>
      <c r="DW67" s="58">
        <f t="shared" si="373"/>
        <v>44071</v>
      </c>
      <c r="DX67" s="58">
        <f t="shared" si="373"/>
        <v>44072</v>
      </c>
      <c r="DY67" s="58">
        <f t="shared" si="373"/>
        <v>44073</v>
      </c>
      <c r="DZ67" s="58"/>
      <c r="EA67" s="57"/>
      <c r="EB67" s="58">
        <f t="shared" si="373"/>
        <v>44074</v>
      </c>
      <c r="EC67" s="58">
        <f t="shared" si="373"/>
        <v>44075</v>
      </c>
      <c r="ED67" s="58">
        <f t="shared" si="373"/>
        <v>44076</v>
      </c>
      <c r="EE67" s="58">
        <f t="shared" si="373"/>
        <v>44077</v>
      </c>
      <c r="EF67" s="58">
        <f t="shared" si="373"/>
        <v>44078</v>
      </c>
      <c r="EG67" s="58">
        <f t="shared" si="373"/>
        <v>44079</v>
      </c>
      <c r="EH67" s="58">
        <f t="shared" si="373"/>
        <v>44080</v>
      </c>
      <c r="EI67" s="58"/>
      <c r="EJ67" s="57"/>
      <c r="EK67" s="58">
        <f t="shared" si="373"/>
        <v>44081</v>
      </c>
      <c r="EL67" s="58">
        <f t="shared" si="373"/>
        <v>44082</v>
      </c>
      <c r="EM67" s="58">
        <f t="shared" si="373"/>
        <v>44083</v>
      </c>
      <c r="EN67" s="58">
        <f t="shared" si="373"/>
        <v>44084</v>
      </c>
      <c r="EO67" s="58">
        <f t="shared" si="373"/>
        <v>44085</v>
      </c>
      <c r="EP67" s="58">
        <f t="shared" si="373"/>
        <v>44086</v>
      </c>
      <c r="EQ67" s="58">
        <f t="shared" si="373"/>
        <v>44087</v>
      </c>
      <c r="ER67" s="58"/>
      <c r="ES67" s="57"/>
      <c r="ET67" s="58">
        <f t="shared" si="373"/>
        <v>44088</v>
      </c>
      <c r="EU67" s="58">
        <f t="shared" si="373"/>
        <v>44089</v>
      </c>
      <c r="EV67" s="58">
        <f t="shared" si="373"/>
        <v>44090</v>
      </c>
      <c r="EW67" s="58">
        <f t="shared" si="373"/>
        <v>44091</v>
      </c>
      <c r="EX67" s="58">
        <f t="shared" si="373"/>
        <v>44092</v>
      </c>
      <c r="EY67" s="58">
        <f t="shared" si="373"/>
        <v>44093</v>
      </c>
      <c r="EZ67" s="57">
        <f t="shared" si="373"/>
        <v>44094</v>
      </c>
      <c r="FA67" s="58">
        <f t="shared" si="373"/>
        <v>44095</v>
      </c>
      <c r="FB67" s="58">
        <f t="shared" si="373"/>
        <v>44096</v>
      </c>
      <c r="FC67" s="58">
        <f t="shared" si="373"/>
        <v>44097</v>
      </c>
      <c r="FD67" s="58">
        <f t="shared" si="373"/>
        <v>44098</v>
      </c>
      <c r="FE67" s="58">
        <f t="shared" si="373"/>
        <v>44099</v>
      </c>
      <c r="FF67" s="58">
        <f t="shared" si="373"/>
        <v>44100</v>
      </c>
      <c r="FG67" s="57">
        <f t="shared" si="373"/>
        <v>44101</v>
      </c>
      <c r="FH67" s="58">
        <f t="shared" si="373"/>
        <v>44102</v>
      </c>
      <c r="FI67" s="58">
        <f t="shared" ref="FI67:HT67" si="374">FI39</f>
        <v>44103</v>
      </c>
      <c r="FJ67" s="58">
        <f t="shared" si="374"/>
        <v>44104</v>
      </c>
      <c r="FK67" s="58">
        <f t="shared" si="374"/>
        <v>44105</v>
      </c>
      <c r="FL67" s="58">
        <f t="shared" si="374"/>
        <v>44106</v>
      </c>
      <c r="FM67" s="58">
        <f t="shared" si="374"/>
        <v>44107</v>
      </c>
      <c r="FN67" s="57">
        <f t="shared" si="374"/>
        <v>44108</v>
      </c>
      <c r="FO67" s="58">
        <f t="shared" si="374"/>
        <v>44109</v>
      </c>
      <c r="FP67" s="58">
        <f t="shared" si="374"/>
        <v>44110</v>
      </c>
      <c r="FQ67" s="58">
        <f t="shared" si="374"/>
        <v>44111</v>
      </c>
      <c r="FR67" s="58">
        <f t="shared" si="374"/>
        <v>44112</v>
      </c>
      <c r="FS67" s="58">
        <f t="shared" si="374"/>
        <v>44113</v>
      </c>
      <c r="FT67" s="58">
        <f t="shared" si="374"/>
        <v>44114</v>
      </c>
      <c r="FU67" s="57">
        <f t="shared" si="374"/>
        <v>44115</v>
      </c>
      <c r="FV67" s="58">
        <f t="shared" si="374"/>
        <v>44116</v>
      </c>
      <c r="FW67" s="58">
        <f t="shared" si="374"/>
        <v>44117</v>
      </c>
      <c r="FX67" s="58">
        <f t="shared" si="374"/>
        <v>44118</v>
      </c>
      <c r="FY67" s="58">
        <f t="shared" si="374"/>
        <v>44119</v>
      </c>
      <c r="FZ67" s="58">
        <f t="shared" si="374"/>
        <v>44120</v>
      </c>
      <c r="GA67" s="58">
        <f t="shared" si="374"/>
        <v>44121</v>
      </c>
      <c r="GB67" s="57">
        <f t="shared" si="374"/>
        <v>44122</v>
      </c>
      <c r="GC67" s="58">
        <f t="shared" si="374"/>
        <v>44123</v>
      </c>
      <c r="GD67" s="58">
        <f t="shared" si="374"/>
        <v>44124</v>
      </c>
      <c r="GE67" s="58">
        <f t="shared" si="374"/>
        <v>44125</v>
      </c>
      <c r="GF67" s="58">
        <f t="shared" si="374"/>
        <v>44126</v>
      </c>
      <c r="GG67" s="58">
        <f t="shared" si="374"/>
        <v>44127</v>
      </c>
      <c r="GH67" s="58">
        <f t="shared" si="374"/>
        <v>44128</v>
      </c>
      <c r="GI67" s="57">
        <f t="shared" si="374"/>
        <v>44129</v>
      </c>
      <c r="GJ67" s="58">
        <f t="shared" si="374"/>
        <v>44130</v>
      </c>
      <c r="GK67" s="58">
        <f t="shared" si="374"/>
        <v>44131</v>
      </c>
      <c r="GL67" s="58">
        <f t="shared" si="374"/>
        <v>44132</v>
      </c>
      <c r="GM67" s="58">
        <f t="shared" si="374"/>
        <v>44133</v>
      </c>
      <c r="GN67" s="58">
        <f t="shared" si="374"/>
        <v>44134</v>
      </c>
      <c r="GO67" s="58">
        <f t="shared" si="374"/>
        <v>44135</v>
      </c>
      <c r="GP67" s="57">
        <f t="shared" si="374"/>
        <v>44136</v>
      </c>
      <c r="GQ67" s="58">
        <f t="shared" si="374"/>
        <v>44137</v>
      </c>
      <c r="GR67" s="58">
        <f t="shared" si="374"/>
        <v>44138</v>
      </c>
      <c r="GS67" s="58">
        <f t="shared" si="374"/>
        <v>44139</v>
      </c>
      <c r="GT67" s="58">
        <f t="shared" si="374"/>
        <v>44140</v>
      </c>
      <c r="GU67" s="58">
        <f t="shared" si="374"/>
        <v>44141</v>
      </c>
      <c r="GV67" s="58">
        <f t="shared" si="374"/>
        <v>44142</v>
      </c>
      <c r="GW67" s="57">
        <f t="shared" si="374"/>
        <v>44143</v>
      </c>
      <c r="GX67" s="58">
        <f t="shared" si="374"/>
        <v>44144</v>
      </c>
      <c r="GY67" s="58">
        <f t="shared" si="374"/>
        <v>44145</v>
      </c>
      <c r="GZ67" s="58">
        <f t="shared" si="374"/>
        <v>44146</v>
      </c>
      <c r="HA67" s="58">
        <f t="shared" si="374"/>
        <v>44147</v>
      </c>
      <c r="HB67" s="58">
        <f t="shared" si="374"/>
        <v>44148</v>
      </c>
      <c r="HC67" s="58">
        <f t="shared" si="374"/>
        <v>44149</v>
      </c>
      <c r="HD67" s="57">
        <f t="shared" si="374"/>
        <v>44150</v>
      </c>
      <c r="HE67" s="58">
        <f t="shared" si="374"/>
        <v>44151</v>
      </c>
      <c r="HF67" s="58">
        <f t="shared" si="374"/>
        <v>44152</v>
      </c>
      <c r="HG67" s="58">
        <f t="shared" si="374"/>
        <v>44153</v>
      </c>
      <c r="HH67" s="58">
        <f t="shared" si="374"/>
        <v>44154</v>
      </c>
      <c r="HI67" s="58">
        <f t="shared" si="374"/>
        <v>44155</v>
      </c>
      <c r="HJ67" s="58">
        <f t="shared" si="374"/>
        <v>44156</v>
      </c>
      <c r="HK67" s="57">
        <f t="shared" si="374"/>
        <v>44157</v>
      </c>
      <c r="HL67" s="58">
        <f t="shared" si="374"/>
        <v>44158</v>
      </c>
      <c r="HM67" s="58">
        <f t="shared" si="374"/>
        <v>44159</v>
      </c>
      <c r="HN67" s="58">
        <f t="shared" si="374"/>
        <v>44160</v>
      </c>
      <c r="HO67" s="58">
        <f t="shared" si="374"/>
        <v>44161</v>
      </c>
      <c r="HP67" s="58">
        <f t="shared" si="374"/>
        <v>44162</v>
      </c>
      <c r="HQ67" s="58">
        <f t="shared" si="374"/>
        <v>44163</v>
      </c>
      <c r="HR67" s="57">
        <f t="shared" si="374"/>
        <v>44164</v>
      </c>
      <c r="HS67" s="58">
        <f t="shared" si="374"/>
        <v>44165</v>
      </c>
      <c r="HT67" s="58">
        <f t="shared" si="374"/>
        <v>44166</v>
      </c>
      <c r="HU67" s="58">
        <f t="shared" ref="HU67:KF67" si="375">HU39</f>
        <v>44167</v>
      </c>
      <c r="HV67" s="58">
        <f t="shared" si="375"/>
        <v>44168</v>
      </c>
      <c r="HW67" s="58">
        <f t="shared" si="375"/>
        <v>44169</v>
      </c>
      <c r="HX67" s="58">
        <f t="shared" si="375"/>
        <v>44170</v>
      </c>
      <c r="HY67" s="57">
        <f t="shared" si="375"/>
        <v>44171</v>
      </c>
      <c r="HZ67" s="58">
        <f t="shared" si="375"/>
        <v>44172</v>
      </c>
      <c r="IA67" s="58">
        <f t="shared" si="375"/>
        <v>44173</v>
      </c>
      <c r="IB67" s="58">
        <f t="shared" si="375"/>
        <v>44174</v>
      </c>
      <c r="IC67" s="58">
        <f t="shared" si="375"/>
        <v>44175</v>
      </c>
      <c r="ID67" s="58">
        <f t="shared" si="375"/>
        <v>44176</v>
      </c>
      <c r="IE67" s="58">
        <f t="shared" si="375"/>
        <v>44177</v>
      </c>
      <c r="IF67" s="57">
        <f t="shared" si="375"/>
        <v>44178</v>
      </c>
      <c r="IG67" s="58">
        <f t="shared" si="375"/>
        <v>44179</v>
      </c>
      <c r="IH67" s="58">
        <f t="shared" si="375"/>
        <v>44180</v>
      </c>
      <c r="II67" s="58">
        <f t="shared" si="375"/>
        <v>44181</v>
      </c>
      <c r="IJ67" s="58">
        <f t="shared" si="375"/>
        <v>44182</v>
      </c>
      <c r="IK67" s="58">
        <f t="shared" si="375"/>
        <v>44183</v>
      </c>
      <c r="IL67" s="58">
        <f t="shared" si="375"/>
        <v>44184</v>
      </c>
      <c r="IM67" s="57">
        <f t="shared" si="375"/>
        <v>44185</v>
      </c>
      <c r="IN67" s="58">
        <f t="shared" si="375"/>
        <v>44186</v>
      </c>
      <c r="IO67" s="58">
        <f t="shared" si="375"/>
        <v>44187</v>
      </c>
      <c r="IP67" s="58">
        <f t="shared" si="375"/>
        <v>44188</v>
      </c>
      <c r="IQ67" s="58">
        <f t="shared" si="375"/>
        <v>44189</v>
      </c>
      <c r="IR67" s="58">
        <f t="shared" si="375"/>
        <v>44190</v>
      </c>
      <c r="IS67" s="58">
        <f t="shared" si="375"/>
        <v>44191</v>
      </c>
      <c r="IT67" s="57">
        <f t="shared" si="375"/>
        <v>44192</v>
      </c>
      <c r="IU67" s="58">
        <f t="shared" si="375"/>
        <v>44193</v>
      </c>
      <c r="IV67" s="58">
        <f t="shared" si="375"/>
        <v>44194</v>
      </c>
      <c r="IW67" s="58">
        <f t="shared" si="375"/>
        <v>44195</v>
      </c>
      <c r="IX67" s="58">
        <f t="shared" si="375"/>
        <v>44196</v>
      </c>
      <c r="IY67" s="58">
        <f t="shared" si="375"/>
        <v>44197</v>
      </c>
      <c r="IZ67" s="58">
        <f t="shared" si="375"/>
        <v>44198</v>
      </c>
      <c r="JA67" s="57">
        <f t="shared" si="375"/>
        <v>44199</v>
      </c>
      <c r="JB67" s="58">
        <f t="shared" si="375"/>
        <v>44200</v>
      </c>
      <c r="JC67" s="58">
        <f t="shared" si="375"/>
        <v>44201</v>
      </c>
      <c r="JD67" s="58">
        <f t="shared" si="375"/>
        <v>44202</v>
      </c>
      <c r="JE67" s="58">
        <f t="shared" si="375"/>
        <v>44203</v>
      </c>
      <c r="JF67" s="58">
        <f t="shared" si="375"/>
        <v>44204</v>
      </c>
      <c r="JG67" s="58">
        <f t="shared" si="375"/>
        <v>44205</v>
      </c>
      <c r="JH67" s="57">
        <f t="shared" si="375"/>
        <v>44206</v>
      </c>
      <c r="JI67" s="58">
        <f t="shared" si="375"/>
        <v>44207</v>
      </c>
      <c r="JJ67" s="58">
        <f t="shared" si="375"/>
        <v>44208</v>
      </c>
      <c r="JK67" s="58">
        <f t="shared" si="375"/>
        <v>44209</v>
      </c>
      <c r="JL67" s="58">
        <f t="shared" si="375"/>
        <v>44210</v>
      </c>
      <c r="JM67" s="58">
        <f t="shared" si="375"/>
        <v>44211</v>
      </c>
      <c r="JN67" s="58">
        <f t="shared" si="375"/>
        <v>44212</v>
      </c>
      <c r="JO67" s="57">
        <f t="shared" si="375"/>
        <v>44213</v>
      </c>
      <c r="JP67" s="58">
        <f t="shared" si="375"/>
        <v>44214</v>
      </c>
      <c r="JQ67" s="58">
        <f t="shared" si="375"/>
        <v>44215</v>
      </c>
      <c r="JR67" s="58">
        <f t="shared" si="375"/>
        <v>44216</v>
      </c>
      <c r="JS67" s="58">
        <f t="shared" si="375"/>
        <v>44217</v>
      </c>
      <c r="JT67" s="58">
        <f t="shared" si="375"/>
        <v>44218</v>
      </c>
      <c r="JU67" s="58">
        <f t="shared" si="375"/>
        <v>44219</v>
      </c>
      <c r="JV67" s="57">
        <f t="shared" si="375"/>
        <v>44220</v>
      </c>
      <c r="JW67" s="58">
        <f t="shared" si="375"/>
        <v>44221</v>
      </c>
      <c r="JX67" s="58">
        <f t="shared" si="375"/>
        <v>44222</v>
      </c>
      <c r="JY67" s="58">
        <f t="shared" si="375"/>
        <v>44223</v>
      </c>
      <c r="JZ67" s="58">
        <f t="shared" si="375"/>
        <v>44224</v>
      </c>
      <c r="KA67" s="58">
        <f t="shared" si="375"/>
        <v>44225</v>
      </c>
      <c r="KB67" s="58">
        <f t="shared" si="375"/>
        <v>44226</v>
      </c>
      <c r="KC67" s="57">
        <f t="shared" si="375"/>
        <v>44227</v>
      </c>
      <c r="KD67" s="58">
        <f t="shared" si="375"/>
        <v>44228</v>
      </c>
      <c r="KE67" s="58">
        <f t="shared" si="375"/>
        <v>44229</v>
      </c>
      <c r="KF67" s="58">
        <f t="shared" si="375"/>
        <v>44230</v>
      </c>
      <c r="KG67" s="58">
        <f t="shared" ref="KG67:MN67" si="376">KG39</f>
        <v>44231</v>
      </c>
      <c r="KH67" s="58">
        <f t="shared" si="376"/>
        <v>44232</v>
      </c>
      <c r="KI67" s="58">
        <f t="shared" si="376"/>
        <v>44233</v>
      </c>
      <c r="KJ67" s="57">
        <f t="shared" si="376"/>
        <v>44234</v>
      </c>
      <c r="KK67" s="58">
        <f t="shared" si="376"/>
        <v>44235</v>
      </c>
      <c r="KL67" s="58">
        <f t="shared" si="376"/>
        <v>44236</v>
      </c>
      <c r="KM67" s="58">
        <f t="shared" si="376"/>
        <v>44237</v>
      </c>
      <c r="KN67" s="58">
        <f t="shared" si="376"/>
        <v>44238</v>
      </c>
      <c r="KO67" s="58">
        <f t="shared" si="376"/>
        <v>44239</v>
      </c>
      <c r="KP67" s="58">
        <f t="shared" si="376"/>
        <v>44240</v>
      </c>
      <c r="KQ67" s="57">
        <f t="shared" si="376"/>
        <v>44241</v>
      </c>
      <c r="KR67" s="58">
        <f t="shared" si="376"/>
        <v>44242</v>
      </c>
      <c r="KS67" s="58">
        <f t="shared" si="376"/>
        <v>44243</v>
      </c>
      <c r="KT67" s="58">
        <f t="shared" si="376"/>
        <v>44244</v>
      </c>
      <c r="KU67" s="58">
        <f t="shared" si="376"/>
        <v>44245</v>
      </c>
      <c r="KV67" s="58">
        <f t="shared" si="376"/>
        <v>44246</v>
      </c>
      <c r="KW67" s="58">
        <f t="shared" si="376"/>
        <v>44247</v>
      </c>
      <c r="KX67" s="57">
        <f t="shared" si="376"/>
        <v>44248</v>
      </c>
      <c r="KY67" s="58">
        <f t="shared" si="376"/>
        <v>44249</v>
      </c>
      <c r="KZ67" s="58">
        <f t="shared" si="376"/>
        <v>44250</v>
      </c>
      <c r="LA67" s="58">
        <f t="shared" si="376"/>
        <v>44251</v>
      </c>
      <c r="LB67" s="58">
        <f t="shared" si="376"/>
        <v>44252</v>
      </c>
      <c r="LC67" s="58">
        <f t="shared" si="376"/>
        <v>44253</v>
      </c>
      <c r="LD67" s="58">
        <f t="shared" si="376"/>
        <v>44254</v>
      </c>
      <c r="LE67" s="57">
        <f t="shared" si="376"/>
        <v>44255</v>
      </c>
      <c r="LF67" s="58">
        <f t="shared" si="376"/>
        <v>44256</v>
      </c>
      <c r="LG67" s="58">
        <f t="shared" si="376"/>
        <v>44257</v>
      </c>
      <c r="LH67" s="58">
        <f t="shared" si="376"/>
        <v>44258</v>
      </c>
      <c r="LI67" s="58">
        <f t="shared" si="376"/>
        <v>44259</v>
      </c>
      <c r="LJ67" s="58">
        <f t="shared" si="376"/>
        <v>44260</v>
      </c>
      <c r="LK67" s="58">
        <f t="shared" si="376"/>
        <v>44261</v>
      </c>
      <c r="LL67" s="57">
        <f t="shared" si="376"/>
        <v>44262</v>
      </c>
      <c r="LM67" s="58">
        <f t="shared" si="376"/>
        <v>44263</v>
      </c>
      <c r="LN67" s="58">
        <f t="shared" si="376"/>
        <v>44264</v>
      </c>
      <c r="LO67" s="58">
        <f t="shared" si="376"/>
        <v>44265</v>
      </c>
      <c r="LP67" s="58">
        <f t="shared" si="376"/>
        <v>44266</v>
      </c>
      <c r="LQ67" s="58">
        <f t="shared" si="376"/>
        <v>44267</v>
      </c>
      <c r="LR67" s="58">
        <f t="shared" si="376"/>
        <v>44268</v>
      </c>
      <c r="LS67" s="57">
        <f t="shared" si="376"/>
        <v>44269</v>
      </c>
      <c r="LT67" s="58">
        <f t="shared" si="376"/>
        <v>44270</v>
      </c>
      <c r="LU67" s="58">
        <f t="shared" si="376"/>
        <v>44271</v>
      </c>
      <c r="LV67" s="58">
        <f t="shared" si="376"/>
        <v>44272</v>
      </c>
      <c r="LW67" s="58">
        <f t="shared" si="376"/>
        <v>44273</v>
      </c>
      <c r="LX67" s="58">
        <f t="shared" si="376"/>
        <v>44274</v>
      </c>
      <c r="LY67" s="58">
        <f t="shared" si="376"/>
        <v>44275</v>
      </c>
      <c r="LZ67" s="57">
        <f t="shared" si="376"/>
        <v>44276</v>
      </c>
      <c r="MA67" s="58">
        <f t="shared" si="376"/>
        <v>44277</v>
      </c>
      <c r="MB67" s="58">
        <f t="shared" si="376"/>
        <v>44278</v>
      </c>
      <c r="MC67" s="58">
        <f t="shared" si="376"/>
        <v>44279</v>
      </c>
      <c r="MD67" s="58">
        <f t="shared" si="376"/>
        <v>44280</v>
      </c>
      <c r="ME67" s="58">
        <f t="shared" si="376"/>
        <v>44281</v>
      </c>
      <c r="MF67" s="58">
        <f t="shared" si="376"/>
        <v>44282</v>
      </c>
      <c r="MG67" s="57">
        <f t="shared" si="376"/>
        <v>44283</v>
      </c>
      <c r="MH67" s="58">
        <f t="shared" si="376"/>
        <v>44284</v>
      </c>
      <c r="MI67" s="58">
        <f t="shared" si="376"/>
        <v>44285</v>
      </c>
      <c r="MJ67" s="58">
        <f t="shared" si="376"/>
        <v>44286</v>
      </c>
      <c r="MK67" s="58">
        <f t="shared" si="376"/>
        <v>44287</v>
      </c>
      <c r="ML67" s="58">
        <f t="shared" si="376"/>
        <v>44288</v>
      </c>
      <c r="MM67" s="58">
        <f t="shared" si="376"/>
        <v>44289</v>
      </c>
      <c r="MN67" s="57">
        <f t="shared" si="376"/>
        <v>44290</v>
      </c>
    </row>
    <row r="68" spans="1:352" ht="15" customHeight="1" x14ac:dyDescent="0.25">
      <c r="A68" s="148"/>
      <c r="B68" s="148"/>
      <c r="C68" s="148"/>
      <c r="D68" s="148"/>
      <c r="E68" s="149"/>
      <c r="F68" s="28"/>
      <c r="G68" s="28"/>
      <c r="H68" s="28"/>
      <c r="I68" s="28"/>
      <c r="J68" s="28"/>
      <c r="K68" s="28"/>
      <c r="L68" s="28"/>
      <c r="M68" s="28"/>
      <c r="N68" s="28"/>
      <c r="O68" s="27"/>
      <c r="P68" s="151"/>
      <c r="Q68" s="159"/>
      <c r="R68" s="153"/>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5"/>
      <c r="EI68" s="25"/>
      <c r="EJ68" s="24"/>
      <c r="EK68" s="25"/>
      <c r="EL68" s="25" t="s">
        <v>38</v>
      </c>
      <c r="EM68" s="25"/>
      <c r="EN68" s="25" t="s">
        <v>38</v>
      </c>
      <c r="EO68" s="25" t="s">
        <v>38</v>
      </c>
      <c r="EP68" s="25"/>
      <c r="EQ68" s="25"/>
      <c r="ER68" s="25"/>
      <c r="ES68" s="24"/>
      <c r="ET68" s="25"/>
      <c r="EU68" s="25" t="s">
        <v>38</v>
      </c>
      <c r="EV68" s="25"/>
      <c r="EW68" s="25" t="s">
        <v>38</v>
      </c>
      <c r="EX68" s="25" t="s">
        <v>38</v>
      </c>
      <c r="EY68" s="25"/>
      <c r="EZ68" s="24"/>
      <c r="FA68" s="25"/>
      <c r="FB68" s="25" t="s">
        <v>38</v>
      </c>
      <c r="FC68" s="25"/>
      <c r="FD68" s="25" t="s">
        <v>38</v>
      </c>
      <c r="FE68" s="25" t="s">
        <v>38</v>
      </c>
      <c r="FF68" s="25"/>
      <c r="FG68" s="24"/>
      <c r="FH68" s="25"/>
      <c r="FI68" s="25" t="s">
        <v>38</v>
      </c>
      <c r="FJ68" s="25"/>
      <c r="FK68" s="25" t="s">
        <v>38</v>
      </c>
      <c r="FL68" s="25" t="s">
        <v>38</v>
      </c>
      <c r="FM68" s="25"/>
      <c r="FN68" s="24"/>
      <c r="FO68" s="25"/>
      <c r="FP68" s="25" t="s">
        <v>38</v>
      </c>
      <c r="FQ68" s="25"/>
      <c r="FR68" s="25" t="s">
        <v>38</v>
      </c>
      <c r="FS68" s="25"/>
      <c r="FT68" s="25"/>
      <c r="FU68" s="24"/>
      <c r="FV68" s="25"/>
      <c r="FW68" s="25" t="s">
        <v>38</v>
      </c>
      <c r="FX68" s="25"/>
      <c r="FY68" s="25" t="s">
        <v>38</v>
      </c>
      <c r="FZ68" s="25"/>
      <c r="GA68" s="25"/>
      <c r="GB68" s="24"/>
      <c r="GC68" s="25"/>
      <c r="GD68" s="25" t="s">
        <v>38</v>
      </c>
      <c r="GE68" s="25"/>
      <c r="GF68" s="25" t="s">
        <v>38</v>
      </c>
      <c r="GG68" s="25"/>
      <c r="GH68" s="25"/>
      <c r="GI68" s="24"/>
      <c r="GJ68" s="25"/>
      <c r="GK68" s="25" t="s">
        <v>38</v>
      </c>
      <c r="GL68" s="25"/>
      <c r="GM68" s="25" t="s">
        <v>38</v>
      </c>
      <c r="GN68" s="25"/>
      <c r="GO68" s="25"/>
      <c r="GP68" s="24"/>
      <c r="GQ68" s="25"/>
      <c r="GR68" s="25" t="s">
        <v>38</v>
      </c>
      <c r="GS68" s="25"/>
      <c r="GT68" s="25" t="s">
        <v>38</v>
      </c>
      <c r="GU68" s="25"/>
      <c r="GV68" s="25"/>
      <c r="GW68" s="24"/>
      <c r="GX68" s="25"/>
      <c r="GY68" s="25" t="s">
        <v>38</v>
      </c>
      <c r="GZ68" s="25"/>
      <c r="HA68" s="25" t="s">
        <v>38</v>
      </c>
      <c r="HB68" s="25"/>
      <c r="HC68" s="25"/>
      <c r="HD68" s="24"/>
      <c r="HE68" s="25"/>
      <c r="HF68" s="25" t="s">
        <v>38</v>
      </c>
      <c r="HG68" s="25"/>
      <c r="HH68" s="25" t="s">
        <v>38</v>
      </c>
      <c r="HI68" s="25"/>
      <c r="HJ68" s="25"/>
      <c r="HK68" s="24"/>
      <c r="HL68" s="25"/>
      <c r="HM68" s="25" t="s">
        <v>38</v>
      </c>
      <c r="HN68" s="25"/>
      <c r="HO68" s="25" t="s">
        <v>38</v>
      </c>
      <c r="HP68" s="25"/>
      <c r="HQ68" s="25"/>
      <c r="HR68" s="24"/>
      <c r="HS68" s="25"/>
      <c r="HT68" s="25" t="s">
        <v>38</v>
      </c>
      <c r="HU68" s="25"/>
      <c r="HV68" s="25" t="s">
        <v>38</v>
      </c>
      <c r="HW68" s="25"/>
      <c r="HX68" s="25"/>
      <c r="HY68" s="24"/>
      <c r="HZ68" s="25"/>
      <c r="IA68" s="25" t="s">
        <v>38</v>
      </c>
      <c r="IB68" s="25"/>
      <c r="IC68" s="25" t="s">
        <v>38</v>
      </c>
      <c r="ID68" s="25"/>
      <c r="IE68" s="25"/>
      <c r="IF68" s="24"/>
      <c r="IG68" s="25"/>
      <c r="IH68" s="25" t="s">
        <v>38</v>
      </c>
      <c r="II68" s="25"/>
      <c r="IJ68" s="25" t="s">
        <v>38</v>
      </c>
      <c r="IK68" s="25"/>
      <c r="IL68" s="25"/>
      <c r="IM68" s="24"/>
      <c r="IN68" s="25"/>
      <c r="IO68" s="25" t="s">
        <v>38</v>
      </c>
      <c r="IP68" s="25"/>
      <c r="IQ68" s="25" t="s">
        <v>38</v>
      </c>
      <c r="IR68" s="25"/>
      <c r="IS68" s="25"/>
      <c r="IT68" s="24"/>
      <c r="IU68" s="25"/>
      <c r="IV68" s="25" t="s">
        <v>38</v>
      </c>
      <c r="IW68" s="25"/>
      <c r="IX68" s="25" t="s">
        <v>38</v>
      </c>
      <c r="IY68" s="25"/>
      <c r="IZ68" s="25"/>
      <c r="JA68" s="24"/>
      <c r="JB68" s="25"/>
      <c r="JC68" s="25" t="s">
        <v>38</v>
      </c>
      <c r="JD68" s="25"/>
      <c r="JE68" s="25" t="s">
        <v>38</v>
      </c>
      <c r="JF68" s="25"/>
      <c r="JG68" s="25"/>
      <c r="JH68" s="24"/>
      <c r="JI68" s="25"/>
      <c r="JJ68" s="25" t="s">
        <v>38</v>
      </c>
      <c r="JK68" s="25"/>
      <c r="JL68" s="25" t="s">
        <v>38</v>
      </c>
      <c r="JM68" s="25"/>
      <c r="JN68" s="25"/>
      <c r="JO68" s="24"/>
      <c r="JP68" s="25"/>
      <c r="JQ68" s="25" t="s">
        <v>38</v>
      </c>
      <c r="JR68" s="25"/>
      <c r="JS68" s="25" t="s">
        <v>38</v>
      </c>
      <c r="JT68" s="25"/>
      <c r="JU68" s="25"/>
      <c r="JV68" s="24"/>
      <c r="JW68" s="25"/>
      <c r="JX68" s="25" t="s">
        <v>38</v>
      </c>
      <c r="JY68" s="25"/>
      <c r="JZ68" s="25" t="s">
        <v>38</v>
      </c>
      <c r="KA68" s="25"/>
      <c r="KB68" s="25"/>
      <c r="KC68" s="24"/>
      <c r="KD68" s="25"/>
      <c r="KE68" s="25" t="s">
        <v>38</v>
      </c>
      <c r="KF68" s="25"/>
      <c r="KG68" s="25" t="s">
        <v>38</v>
      </c>
      <c r="KH68" s="25"/>
      <c r="KI68" s="25"/>
      <c r="KJ68" s="24"/>
      <c r="KK68" s="25"/>
      <c r="KL68" s="25" t="s">
        <v>38</v>
      </c>
      <c r="KM68" s="25"/>
      <c r="KN68" s="25" t="s">
        <v>38</v>
      </c>
      <c r="KO68" s="25"/>
      <c r="KP68" s="25"/>
      <c r="KQ68" s="24"/>
      <c r="KR68" s="25"/>
      <c r="KS68" s="25" t="s">
        <v>38</v>
      </c>
      <c r="KT68" s="25"/>
      <c r="KU68" s="25" t="s">
        <v>38</v>
      </c>
      <c r="KV68" s="25"/>
      <c r="KW68" s="25"/>
      <c r="KX68" s="24"/>
      <c r="KY68" s="25"/>
      <c r="KZ68" s="25" t="s">
        <v>38</v>
      </c>
      <c r="LA68" s="25"/>
      <c r="LB68" s="25" t="s">
        <v>38</v>
      </c>
      <c r="LC68" s="25"/>
      <c r="LD68" s="25"/>
      <c r="LE68" s="24"/>
      <c r="LF68" s="25"/>
      <c r="LG68" s="25" t="s">
        <v>38</v>
      </c>
      <c r="LH68" s="25"/>
      <c r="LI68" s="25" t="s">
        <v>38</v>
      </c>
      <c r="LJ68" s="25"/>
      <c r="LK68" s="25"/>
      <c r="LL68" s="26"/>
      <c r="LM68" s="25"/>
      <c r="LN68" s="25" t="s">
        <v>38</v>
      </c>
      <c r="LO68" s="25"/>
      <c r="LP68" s="25" t="s">
        <v>38</v>
      </c>
      <c r="LQ68" s="25"/>
      <c r="LR68" s="25"/>
      <c r="LS68" s="24"/>
      <c r="LT68" s="25"/>
      <c r="LU68" s="25"/>
      <c r="LV68" s="25"/>
      <c r="LW68" s="25"/>
      <c r="LX68" s="25"/>
      <c r="LY68" s="25"/>
      <c r="LZ68" s="24"/>
      <c r="MA68" s="25"/>
      <c r="MB68" s="25"/>
      <c r="MC68" s="25"/>
      <c r="MD68" s="25"/>
      <c r="ME68" s="25"/>
      <c r="MF68" s="25"/>
      <c r="MG68" s="24"/>
      <c r="MH68" s="25"/>
      <c r="MI68" s="25"/>
      <c r="MJ68" s="25"/>
      <c r="MK68" s="25"/>
      <c r="ML68" s="25"/>
      <c r="MM68" s="25"/>
      <c r="MN68" s="24"/>
    </row>
    <row r="69" spans="1:352" x14ac:dyDescent="0.25">
      <c r="A69" s="23" t="s">
        <v>16</v>
      </c>
      <c r="B69" s="20"/>
      <c r="C69" s="20"/>
      <c r="D69" s="20"/>
      <c r="E69" s="20"/>
      <c r="F69" s="22" t="str">
        <f t="shared" ref="F69:F74" si="377">IF($E69 &gt;= F$42, 1, "")</f>
        <v/>
      </c>
      <c r="G69" s="20"/>
      <c r="H69" s="20"/>
      <c r="I69" s="20" t="str">
        <f t="shared" ref="I69:L70" si="378">IF($E69 &gt;= I$42, 1, "")</f>
        <v/>
      </c>
      <c r="J69" s="20" t="str">
        <f t="shared" si="378"/>
        <v/>
      </c>
      <c r="K69" s="20" t="str">
        <f t="shared" si="378"/>
        <v/>
      </c>
      <c r="L69" s="20" t="str">
        <f t="shared" si="378"/>
        <v/>
      </c>
      <c r="M69" s="20"/>
      <c r="N69" s="20"/>
      <c r="O69" s="21"/>
      <c r="P69" s="20" t="str">
        <f t="shared" ref="P69:P74" si="379">IF(SUM(S69:MN69) &gt; 0, SUM(S69:MN69),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0"/>
      <c r="EI69" s="20"/>
      <c r="EJ69" s="21"/>
      <c r="EK69" s="20"/>
      <c r="EL69" s="20"/>
      <c r="EM69" s="20"/>
      <c r="EN69" s="20"/>
      <c r="EO69" s="20"/>
      <c r="EP69" s="20"/>
      <c r="EQ69" s="20"/>
      <c r="ER69" s="20"/>
      <c r="ES69" s="21"/>
      <c r="ET69" s="20"/>
      <c r="EU69" s="20"/>
      <c r="EV69" s="20"/>
      <c r="EW69" s="20"/>
      <c r="EX69" s="20"/>
      <c r="EY69" s="20"/>
      <c r="EZ69" s="21"/>
      <c r="FA69" s="20"/>
      <c r="FB69" s="20"/>
      <c r="FC69" s="20"/>
      <c r="FD69" s="20"/>
      <c r="FE69" s="20"/>
      <c r="FF69" s="20"/>
      <c r="FG69" s="21"/>
      <c r="FH69" s="20"/>
      <c r="FI69" s="20"/>
      <c r="FJ69" s="20"/>
      <c r="FK69" s="20"/>
      <c r="FL69" s="20"/>
      <c r="FM69" s="20"/>
      <c r="FN69" s="21"/>
      <c r="FO69" s="20"/>
      <c r="FP69" s="20"/>
      <c r="FQ69" s="20"/>
      <c r="FR69" s="20"/>
      <c r="FS69" s="20"/>
      <c r="FT69" s="20"/>
      <c r="FU69" s="21"/>
      <c r="FV69" s="20"/>
      <c r="FW69" s="20"/>
      <c r="FX69" s="20"/>
      <c r="FY69" s="20"/>
      <c r="FZ69" s="20"/>
      <c r="GA69" s="20"/>
      <c r="GB69" s="21"/>
      <c r="GC69" s="20"/>
      <c r="GD69" s="20"/>
      <c r="GE69" s="20"/>
      <c r="GF69" s="20"/>
      <c r="GG69" s="20"/>
      <c r="GH69" s="20"/>
      <c r="GI69" s="21"/>
      <c r="GJ69" s="20"/>
      <c r="GK69" s="20"/>
      <c r="GL69" s="20"/>
      <c r="GM69" s="20"/>
      <c r="GN69" s="20"/>
      <c r="GO69" s="20"/>
      <c r="GP69" s="21"/>
      <c r="GQ69" s="20"/>
      <c r="GR69" s="20"/>
      <c r="GS69" s="20"/>
      <c r="GT69" s="20"/>
      <c r="GU69" s="20"/>
      <c r="GV69" s="20"/>
      <c r="GW69" s="21"/>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row>
    <row r="70" spans="1:352" ht="7.5" customHeight="1" x14ac:dyDescent="0.25">
      <c r="A70" s="8"/>
      <c r="B70" s="8"/>
      <c r="C70" s="8"/>
      <c r="D70" s="8"/>
      <c r="E70" s="8"/>
      <c r="F70" s="10" t="str">
        <f t="shared" si="377"/>
        <v/>
      </c>
      <c r="G70" s="19"/>
      <c r="H70" s="19"/>
      <c r="I70" s="19" t="str">
        <f t="shared" si="378"/>
        <v/>
      </c>
      <c r="J70" s="19" t="str">
        <f t="shared" si="378"/>
        <v/>
      </c>
      <c r="K70" s="19" t="str">
        <f t="shared" si="378"/>
        <v/>
      </c>
      <c r="L70" s="19" t="str">
        <f t="shared" si="378"/>
        <v/>
      </c>
      <c r="M70" s="8"/>
      <c r="N70" s="8"/>
      <c r="O70" s="9"/>
      <c r="P70" s="8" t="str">
        <f t="shared" si="379"/>
        <v/>
      </c>
      <c r="Q70" s="109" t="str">
        <f t="shared" ref="Q70:Q75" si="380">IF(SUM(S70:XFD70) &gt; 0, SUM(S70:XFD70) / $P$76 * 100, "")</f>
        <v/>
      </c>
      <c r="R70" s="84"/>
      <c r="S70" s="7"/>
      <c r="Z70" s="7"/>
      <c r="AG70" s="7"/>
      <c r="AN70" s="7"/>
      <c r="AU70" s="7"/>
      <c r="BB70" s="7"/>
      <c r="BI70" s="7"/>
      <c r="BP70" s="7"/>
      <c r="BY70" s="7"/>
      <c r="CH70" s="7"/>
      <c r="CQ70" s="7"/>
      <c r="CZ70" s="7"/>
      <c r="DI70" s="7"/>
      <c r="DR70" s="7"/>
      <c r="EA70" s="7"/>
      <c r="EJ70" s="7"/>
      <c r="ES70" s="7"/>
      <c r="EZ70" s="7"/>
      <c r="FG70" s="7"/>
      <c r="FN70" s="7"/>
      <c r="FU70" s="7"/>
      <c r="GB70" s="7"/>
      <c r="GI70" s="7"/>
      <c r="GP70" s="7"/>
      <c r="GW70" s="7"/>
      <c r="HD70" s="7"/>
      <c r="HK70" s="7"/>
      <c r="HR70" s="7"/>
      <c r="HY70" s="7"/>
      <c r="IF70" s="7"/>
      <c r="IM70" s="7"/>
      <c r="IT70" s="7"/>
      <c r="JA70" s="7"/>
      <c r="JH70" s="7"/>
      <c r="JO70" s="7"/>
      <c r="JV70" s="7"/>
      <c r="KC70" s="7"/>
      <c r="KJ70" s="7"/>
      <c r="KQ70" s="7"/>
      <c r="KX70" s="7"/>
      <c r="LE70" s="7"/>
      <c r="LL70" s="7"/>
      <c r="LS70" s="7"/>
      <c r="LZ70" s="7"/>
      <c r="MG70" s="7"/>
      <c r="MN70" s="7"/>
    </row>
    <row r="71" spans="1:352" x14ac:dyDescent="0.25">
      <c r="A71" s="8" t="s">
        <v>37</v>
      </c>
      <c r="B71" s="8"/>
      <c r="C71" s="8" t="s">
        <v>36</v>
      </c>
      <c r="D71" s="8" t="s">
        <v>35</v>
      </c>
      <c r="E71" s="18">
        <v>39448</v>
      </c>
      <c r="F71" s="10">
        <f t="shared" si="377"/>
        <v>1</v>
      </c>
      <c r="G71" s="19">
        <f t="shared" ref="G71:H74" si="381">IF($E71 &gt;= G$42, 1, "")</f>
        <v>1</v>
      </c>
      <c r="H71" s="19">
        <f t="shared" si="381"/>
        <v>1</v>
      </c>
      <c r="I71" s="8">
        <f t="shared" ref="I71:L74" si="382">IF($E71 &gt;= I$42, 1, "")</f>
        <v>1</v>
      </c>
      <c r="J71" s="8">
        <f t="shared" si="382"/>
        <v>1</v>
      </c>
      <c r="K71" s="8" t="str">
        <f t="shared" si="382"/>
        <v/>
      </c>
      <c r="L71" s="8" t="str">
        <f t="shared" si="382"/>
        <v/>
      </c>
      <c r="M71" s="8"/>
      <c r="N71" s="8"/>
      <c r="O71" s="9"/>
      <c r="P71" s="8">
        <f t="shared" si="379"/>
        <v>8</v>
      </c>
      <c r="Q71" s="109">
        <f t="shared" si="380"/>
        <v>34.782608695652172</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J71" s="7"/>
      <c r="ES71" s="7"/>
      <c r="EZ71" s="7"/>
      <c r="FG71" s="7"/>
      <c r="FN71" s="7"/>
      <c r="FU71" s="7"/>
      <c r="GB71" s="7"/>
      <c r="GI71" s="7"/>
      <c r="GP71" s="7"/>
      <c r="GW71" s="7"/>
      <c r="HD71" s="7"/>
      <c r="HK71" s="7"/>
      <c r="HR71" s="7"/>
      <c r="HY71" s="7"/>
      <c r="IF71" s="7"/>
      <c r="IM71" s="7"/>
      <c r="IT71" s="7"/>
      <c r="JA71" s="7"/>
      <c r="JH71" s="7"/>
      <c r="JO71" s="7"/>
      <c r="JV71" s="7"/>
      <c r="KC71" s="7"/>
      <c r="KJ71" s="7"/>
      <c r="KQ71" s="7"/>
      <c r="KX71" s="7"/>
      <c r="LE71" s="7"/>
      <c r="LL71" s="7"/>
      <c r="LS71" s="7"/>
      <c r="LZ71" s="7"/>
      <c r="MG71" s="7"/>
      <c r="MN71" s="7"/>
    </row>
    <row r="72" spans="1:352" x14ac:dyDescent="0.25">
      <c r="A72" s="8" t="s">
        <v>34</v>
      </c>
      <c r="B72" s="8"/>
      <c r="C72" s="8" t="s">
        <v>33</v>
      </c>
      <c r="D72" s="8" t="s">
        <v>32</v>
      </c>
      <c r="E72" s="18">
        <v>39649</v>
      </c>
      <c r="F72" s="10">
        <f t="shared" si="377"/>
        <v>1</v>
      </c>
      <c r="G72" s="19">
        <f t="shared" si="381"/>
        <v>1</v>
      </c>
      <c r="H72" s="19">
        <f t="shared" si="381"/>
        <v>1</v>
      </c>
      <c r="I72" s="8">
        <f t="shared" si="382"/>
        <v>1</v>
      </c>
      <c r="J72" s="8">
        <f t="shared" si="382"/>
        <v>1</v>
      </c>
      <c r="K72" s="8" t="str">
        <f t="shared" si="382"/>
        <v/>
      </c>
      <c r="L72" s="8" t="str">
        <f t="shared" si="382"/>
        <v/>
      </c>
      <c r="M72" s="8"/>
      <c r="N72" s="8"/>
      <c r="O72" s="9"/>
      <c r="P72" s="8">
        <f t="shared" si="379"/>
        <v>1</v>
      </c>
      <c r="Q72" s="109">
        <f t="shared" si="380"/>
        <v>4.3478260869565215</v>
      </c>
      <c r="R72" s="84"/>
      <c r="S72" s="7"/>
      <c r="Z72" s="7"/>
      <c r="AG72" s="7"/>
      <c r="AN72" s="7"/>
      <c r="AU72" s="7"/>
      <c r="BB72" s="7"/>
      <c r="BI72" s="7"/>
      <c r="BP72" s="7"/>
      <c r="BY72" s="7"/>
      <c r="CH72" s="7"/>
      <c r="CQ72" s="7"/>
      <c r="CZ72" s="7"/>
      <c r="DI72" s="7"/>
      <c r="DR72" s="7"/>
      <c r="EA72" s="7"/>
      <c r="EE72">
        <v>1</v>
      </c>
      <c r="EJ72" s="7"/>
      <c r="ES72" s="7"/>
      <c r="EZ72" s="7"/>
      <c r="FG72" s="7"/>
      <c r="FN72" s="7"/>
      <c r="FU72" s="7"/>
      <c r="GB72" s="7"/>
      <c r="GI72" s="7"/>
      <c r="GP72" s="7"/>
      <c r="GW72" s="7"/>
      <c r="HD72" s="7"/>
      <c r="HK72" s="7"/>
      <c r="HR72" s="7"/>
      <c r="HY72" s="7"/>
      <c r="IF72" s="7"/>
      <c r="IM72" s="7"/>
      <c r="IT72" s="7"/>
      <c r="JA72" s="7"/>
      <c r="JH72" s="7"/>
      <c r="JO72" s="7"/>
      <c r="JV72" s="7"/>
      <c r="KC72" s="7"/>
      <c r="KJ72" s="7"/>
      <c r="KQ72" s="7"/>
      <c r="KX72" s="7"/>
      <c r="LE72" s="7"/>
      <c r="LL72" s="7"/>
      <c r="LS72" s="7"/>
      <c r="LZ72" s="7"/>
      <c r="MG72" s="7"/>
      <c r="MN72" s="7"/>
    </row>
    <row r="73" spans="1:352" x14ac:dyDescent="0.25">
      <c r="A73" s="8" t="s">
        <v>31</v>
      </c>
      <c r="B73" s="8"/>
      <c r="C73" s="8" t="s">
        <v>30</v>
      </c>
      <c r="D73" s="8" t="s">
        <v>29</v>
      </c>
      <c r="E73" s="18">
        <v>39453</v>
      </c>
      <c r="F73" s="10">
        <f t="shared" si="377"/>
        <v>1</v>
      </c>
      <c r="G73" s="19">
        <f t="shared" si="381"/>
        <v>1</v>
      </c>
      <c r="H73" s="19">
        <f t="shared" si="381"/>
        <v>1</v>
      </c>
      <c r="I73" s="8">
        <f t="shared" si="382"/>
        <v>1</v>
      </c>
      <c r="J73" s="8">
        <f t="shared" si="382"/>
        <v>1</v>
      </c>
      <c r="K73" s="8" t="str">
        <f t="shared" si="382"/>
        <v/>
      </c>
      <c r="L73" s="8" t="str">
        <f t="shared" si="382"/>
        <v/>
      </c>
      <c r="M73" s="8"/>
      <c r="N73" s="8"/>
      <c r="O73" s="9"/>
      <c r="P73" s="8">
        <f t="shared" si="379"/>
        <v>15</v>
      </c>
      <c r="Q73" s="109">
        <f t="shared" si="380"/>
        <v>65.217391304347828</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C73">
        <v>1</v>
      </c>
      <c r="EJ73" s="7"/>
      <c r="EL73">
        <v>1</v>
      </c>
      <c r="EN73">
        <v>1</v>
      </c>
      <c r="EO73">
        <v>1</v>
      </c>
      <c r="ES73" s="7"/>
      <c r="EZ73" s="7"/>
      <c r="FG73" s="7"/>
      <c r="FN73" s="7"/>
      <c r="FU73" s="7"/>
      <c r="GB73" s="7"/>
      <c r="GI73" s="7"/>
      <c r="GP73" s="7"/>
      <c r="GW73" s="7"/>
      <c r="HD73" s="7"/>
      <c r="HK73" s="7"/>
      <c r="HR73" s="7"/>
      <c r="HY73" s="7"/>
      <c r="IF73" s="7"/>
      <c r="IM73" s="7"/>
      <c r="IT73" s="7"/>
      <c r="JA73" s="7"/>
      <c r="JH73" s="7"/>
      <c r="JO73" s="7"/>
      <c r="JV73" s="7"/>
      <c r="KC73" s="7"/>
      <c r="KJ73" s="7"/>
      <c r="KQ73" s="7"/>
      <c r="KX73" s="7"/>
      <c r="LE73" s="7"/>
      <c r="LL73" s="7"/>
      <c r="LS73" s="7"/>
      <c r="LZ73" s="7"/>
      <c r="MG73" s="7"/>
      <c r="MN73" s="7"/>
    </row>
    <row r="74" spans="1:352" x14ac:dyDescent="0.25">
      <c r="A74" s="8" t="s">
        <v>28</v>
      </c>
      <c r="B74" s="8"/>
      <c r="C74" s="8" t="s">
        <v>27</v>
      </c>
      <c r="D74" s="8" t="s">
        <v>26</v>
      </c>
      <c r="E74" s="18">
        <v>39802</v>
      </c>
      <c r="F74" s="10">
        <f t="shared" si="377"/>
        <v>1</v>
      </c>
      <c r="G74" s="19">
        <f t="shared" si="381"/>
        <v>1</v>
      </c>
      <c r="H74" s="19">
        <f t="shared" si="381"/>
        <v>1</v>
      </c>
      <c r="I74" s="8">
        <f t="shared" si="382"/>
        <v>1</v>
      </c>
      <c r="J74" s="8">
        <f t="shared" si="382"/>
        <v>1</v>
      </c>
      <c r="K74" s="8" t="str">
        <f t="shared" si="382"/>
        <v/>
      </c>
      <c r="L74" s="8" t="str">
        <f t="shared" si="382"/>
        <v/>
      </c>
      <c r="M74" s="8"/>
      <c r="N74" s="8"/>
      <c r="O74" s="9"/>
      <c r="P74" s="8">
        <f t="shared" si="379"/>
        <v>10</v>
      </c>
      <c r="Q74" s="109">
        <f t="shared" si="380"/>
        <v>43.478260869565219</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J74" s="7"/>
      <c r="EO74">
        <v>1</v>
      </c>
      <c r="ES74" s="7"/>
      <c r="EZ74" s="7"/>
      <c r="FG74" s="7"/>
      <c r="FN74" s="7"/>
      <c r="FU74" s="7"/>
      <c r="GB74" s="7"/>
      <c r="GI74" s="7"/>
      <c r="GP74" s="7"/>
      <c r="GW74" s="7"/>
      <c r="HD74" s="7"/>
      <c r="HK74" s="7"/>
      <c r="HR74" s="7"/>
      <c r="HY74" s="7"/>
      <c r="IF74" s="7"/>
      <c r="IM74" s="7"/>
      <c r="IT74" s="7"/>
      <c r="JA74" s="7"/>
      <c r="JH74" s="7"/>
      <c r="JO74" s="7"/>
      <c r="JV74" s="7"/>
      <c r="KC74" s="7"/>
      <c r="KJ74" s="7"/>
      <c r="KQ74" s="7"/>
      <c r="KX74" s="7"/>
      <c r="LE74" s="7"/>
      <c r="LL74" s="7"/>
      <c r="LS74" s="7"/>
      <c r="LZ74" s="7"/>
      <c r="MG74" s="7"/>
      <c r="MN74" s="7"/>
    </row>
    <row r="75" spans="1:352" ht="7.5" customHeight="1" x14ac:dyDescent="0.25">
      <c r="A75" s="8"/>
      <c r="B75" s="8"/>
      <c r="C75" s="8"/>
      <c r="D75" s="8"/>
      <c r="E75" s="8"/>
      <c r="F75" s="10"/>
      <c r="G75" s="19"/>
      <c r="H75" s="19"/>
      <c r="I75" s="8"/>
      <c r="J75" s="8"/>
      <c r="K75" s="8"/>
      <c r="L75" s="8"/>
      <c r="M75" s="8"/>
      <c r="N75" s="8"/>
      <c r="O75" s="9"/>
      <c r="P75" s="8" t="str">
        <f>IF(SUM(R75:MN75) &gt; 0, SUM(R75:MN75), "")</f>
        <v/>
      </c>
      <c r="Q75" s="109" t="str">
        <f t="shared" si="380"/>
        <v/>
      </c>
      <c r="R75" s="84"/>
      <c r="S75" s="7"/>
      <c r="Z75" s="7"/>
      <c r="AG75" s="7"/>
      <c r="AN75" s="7"/>
      <c r="AU75" s="7"/>
      <c r="BB75" s="7"/>
      <c r="BI75" s="7"/>
      <c r="BP75" s="7"/>
      <c r="BY75" s="7"/>
      <c r="CH75" s="7"/>
      <c r="CQ75" s="7"/>
      <c r="CZ75" s="7"/>
      <c r="DI75" s="7"/>
      <c r="DR75" s="7"/>
      <c r="EA75" s="7"/>
      <c r="EJ75" s="7"/>
      <c r="ES75" s="7"/>
      <c r="EZ75" s="7"/>
      <c r="FG75" s="7"/>
      <c r="FN75" s="7"/>
      <c r="FU75" s="7"/>
      <c r="GB75" s="7"/>
      <c r="GI75" s="7"/>
      <c r="GP75" s="7"/>
      <c r="GW75" s="7"/>
      <c r="HD75" s="7"/>
      <c r="HK75" s="7"/>
      <c r="HR75" s="7"/>
      <c r="HY75" s="7"/>
      <c r="IF75" s="7"/>
      <c r="IM75" s="7"/>
      <c r="IT75" s="7"/>
      <c r="JA75" s="7"/>
      <c r="JH75" s="7"/>
      <c r="JO75" s="7"/>
      <c r="JV75" s="7"/>
      <c r="KC75" s="7"/>
      <c r="KJ75" s="7"/>
      <c r="KQ75" s="7"/>
      <c r="KX75" s="7"/>
      <c r="LE75" s="7"/>
      <c r="LL75" s="7"/>
      <c r="LS75" s="7"/>
      <c r="LZ75" s="7"/>
      <c r="MG75" s="7"/>
      <c r="MN75" s="7"/>
    </row>
    <row r="76" spans="1:352" ht="15" customHeight="1" thickBot="1" x14ac:dyDescent="0.3">
      <c r="A76" s="20" t="s">
        <v>18</v>
      </c>
      <c r="B76" s="20"/>
      <c r="C76" s="20"/>
      <c r="D76" s="20"/>
      <c r="E76" s="21"/>
      <c r="F76" s="20"/>
      <c r="G76" s="20"/>
      <c r="H76" s="20"/>
      <c r="I76" s="20"/>
      <c r="J76" s="20"/>
      <c r="K76" s="20"/>
      <c r="L76" s="20"/>
      <c r="M76" s="20"/>
      <c r="N76" s="20"/>
      <c r="O76" s="21"/>
      <c r="P76" s="60">
        <f>SUM(S76:MN76)</f>
        <v>23</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v>1</v>
      </c>
      <c r="ED76" s="20"/>
      <c r="EE76" s="20">
        <v>1</v>
      </c>
      <c r="EF76" s="20">
        <v>1</v>
      </c>
      <c r="EG76" s="20"/>
      <c r="EH76" s="20"/>
      <c r="EI76" s="20"/>
      <c r="EJ76" s="21"/>
      <c r="EK76" s="20"/>
      <c r="EL76" s="20">
        <v>1</v>
      </c>
      <c r="EM76" s="20"/>
      <c r="EN76" s="20">
        <v>1</v>
      </c>
      <c r="EO76" s="20">
        <v>1</v>
      </c>
      <c r="EP76" s="20"/>
      <c r="EQ76" s="20"/>
      <c r="ER76" s="20"/>
      <c r="ES76" s="21"/>
      <c r="ET76" s="20"/>
      <c r="EU76" s="20"/>
      <c r="EV76" s="20"/>
      <c r="EW76" s="20"/>
      <c r="EX76" s="20"/>
      <c r="EY76" s="20"/>
      <c r="EZ76" s="21"/>
      <c r="FA76" s="20"/>
      <c r="FB76" s="20"/>
      <c r="FC76" s="20"/>
      <c r="FD76" s="20"/>
      <c r="FE76" s="20"/>
      <c r="FF76" s="20"/>
      <c r="FG76" s="21"/>
      <c r="FH76" s="20"/>
      <c r="FI76" s="20"/>
      <c r="FJ76" s="20"/>
      <c r="FK76" s="20"/>
      <c r="FL76" s="20"/>
      <c r="FM76" s="20"/>
      <c r="FN76" s="21"/>
      <c r="FO76" s="20"/>
      <c r="FP76" s="20"/>
      <c r="FQ76" s="20"/>
      <c r="FR76" s="20"/>
      <c r="FS76" s="20"/>
      <c r="FT76" s="20"/>
      <c r="FU76" s="21"/>
      <c r="FV76" s="20"/>
      <c r="FW76" s="20"/>
      <c r="FX76" s="20"/>
      <c r="FY76" s="20"/>
      <c r="FZ76" s="20"/>
      <c r="GA76" s="20"/>
      <c r="GB76" s="21"/>
      <c r="GC76" s="20"/>
      <c r="GD76" s="20"/>
      <c r="GE76" s="20"/>
      <c r="GF76" s="20"/>
      <c r="GG76" s="20"/>
      <c r="GH76" s="20"/>
      <c r="GI76" s="21"/>
      <c r="GJ76" s="20"/>
      <c r="GK76" s="20"/>
      <c r="GL76" s="20"/>
      <c r="GM76" s="20"/>
      <c r="GN76" s="20"/>
      <c r="GO76" s="20"/>
      <c r="GP76" s="21"/>
      <c r="GQ76" s="20"/>
      <c r="GR76" s="20"/>
      <c r="GS76" s="20"/>
      <c r="GT76" s="20"/>
      <c r="GU76" s="20"/>
      <c r="GV76" s="20"/>
      <c r="GW76" s="21"/>
      <c r="GX76" s="20"/>
      <c r="GY76" s="20"/>
      <c r="GZ76" s="20"/>
      <c r="HA76" s="20"/>
      <c r="HB76" s="20"/>
      <c r="HC76" s="20"/>
      <c r="HD76" s="21"/>
      <c r="HE76" s="20"/>
      <c r="HF76" s="20"/>
      <c r="HG76" s="20"/>
      <c r="HH76" s="20"/>
      <c r="HI76" s="20"/>
      <c r="HJ76" s="20"/>
      <c r="HK76" s="21"/>
      <c r="HL76" s="20"/>
      <c r="HM76" s="20"/>
      <c r="HN76" s="20"/>
      <c r="HO76" s="20"/>
      <c r="HP76" s="20"/>
      <c r="HQ76" s="20"/>
      <c r="HR76" s="21"/>
      <c r="HS76" s="20"/>
      <c r="HT76" s="20"/>
      <c r="HU76" s="20"/>
      <c r="HV76" s="20"/>
      <c r="HW76" s="20"/>
      <c r="HX76" s="20"/>
      <c r="HY76" s="21"/>
      <c r="HZ76" s="20"/>
      <c r="IA76" s="20"/>
      <c r="IB76" s="20"/>
      <c r="IC76" s="20"/>
      <c r="ID76" s="20"/>
      <c r="IE76" s="20"/>
      <c r="IF76" s="21"/>
      <c r="IG76" s="20"/>
      <c r="IH76" s="20"/>
      <c r="II76" s="20"/>
      <c r="IJ76" s="20"/>
      <c r="IK76" s="20"/>
      <c r="IL76" s="20"/>
      <c r="IM76" s="21"/>
      <c r="IN76" s="20"/>
      <c r="IO76" s="20"/>
      <c r="IP76" s="20"/>
      <c r="IQ76" s="20"/>
      <c r="IR76" s="20"/>
      <c r="IS76" s="20"/>
      <c r="IT76" s="21"/>
      <c r="IU76" s="20"/>
      <c r="IV76" s="20"/>
      <c r="IW76" s="20"/>
      <c r="IX76" s="20"/>
      <c r="IY76" s="20"/>
      <c r="IZ76" s="20"/>
      <c r="JA76" s="21"/>
      <c r="JB76" s="20"/>
      <c r="JC76" s="20"/>
      <c r="JD76" s="20"/>
      <c r="JE76" s="20"/>
      <c r="JF76" s="20"/>
      <c r="JG76" s="20"/>
      <c r="JH76" s="21"/>
      <c r="JI76" s="20"/>
      <c r="JJ76" s="20"/>
      <c r="JK76" s="20"/>
      <c r="JL76" s="20"/>
      <c r="JM76" s="20"/>
      <c r="JN76" s="20"/>
      <c r="JO76" s="21"/>
      <c r="JP76" s="20"/>
      <c r="JQ76" s="20"/>
      <c r="JR76" s="20"/>
      <c r="JS76" s="20"/>
      <c r="JT76" s="20"/>
      <c r="JU76" s="20"/>
      <c r="JV76" s="21"/>
      <c r="JW76" s="20"/>
      <c r="JX76" s="20"/>
      <c r="JY76" s="20"/>
      <c r="JZ76" s="20"/>
      <c r="KA76" s="20"/>
      <c r="KB76" s="20"/>
      <c r="KC76" s="21"/>
      <c r="KD76" s="20"/>
      <c r="KE76" s="20"/>
      <c r="KF76" s="20"/>
      <c r="KG76" s="20"/>
      <c r="KH76" s="20"/>
      <c r="KI76" s="20"/>
      <c r="KJ76" s="21"/>
      <c r="KK76" s="20"/>
      <c r="KL76" s="20"/>
      <c r="KM76" s="20"/>
      <c r="KN76" s="20"/>
      <c r="KO76" s="20"/>
      <c r="KP76" s="20"/>
      <c r="KQ76" s="21"/>
      <c r="KR76" s="20"/>
      <c r="KS76" s="20"/>
      <c r="KT76" s="20"/>
      <c r="KU76" s="20"/>
      <c r="KV76" s="20"/>
      <c r="KW76" s="20"/>
      <c r="KX76" s="21"/>
      <c r="KY76" s="20"/>
      <c r="KZ76" s="20"/>
      <c r="LA76" s="20"/>
      <c r="LB76" s="20"/>
      <c r="LC76" s="20"/>
      <c r="LD76" s="20"/>
      <c r="LE76" s="21"/>
      <c r="LF76" s="20"/>
      <c r="LG76" s="20"/>
      <c r="LH76" s="20"/>
      <c r="LI76" s="20"/>
      <c r="LJ76" s="20"/>
      <c r="LK76" s="20"/>
      <c r="LL76" s="21"/>
      <c r="LM76" s="20"/>
      <c r="LN76" s="20"/>
      <c r="LO76" s="20"/>
      <c r="LP76" s="20"/>
      <c r="LQ76" s="20"/>
      <c r="LR76" s="20"/>
      <c r="LS76" s="21"/>
      <c r="LT76" s="20"/>
      <c r="LU76" s="20"/>
      <c r="LV76" s="20"/>
      <c r="LW76" s="20"/>
      <c r="LX76" s="20"/>
      <c r="LY76" s="20"/>
      <c r="LZ76" s="21"/>
      <c r="MA76" s="20"/>
      <c r="MB76" s="20"/>
      <c r="MC76" s="20"/>
      <c r="MD76" s="20"/>
      <c r="ME76" s="20"/>
      <c r="MF76" s="20"/>
      <c r="MG76" s="21"/>
      <c r="MH76" s="20"/>
      <c r="MI76" s="20"/>
      <c r="MJ76" s="20"/>
      <c r="MK76" s="20"/>
      <c r="ML76" s="20"/>
      <c r="MM76" s="20"/>
      <c r="MN76" s="21"/>
    </row>
    <row r="77" spans="1:352" ht="15.75" thickBot="1" x14ac:dyDescent="0.3">
      <c r="A77" s="64" t="s">
        <v>249</v>
      </c>
      <c r="B77" s="62"/>
      <c r="C77" s="62"/>
      <c r="D77" s="62"/>
      <c r="E77" s="63"/>
      <c r="F77" s="62"/>
      <c r="G77" s="62"/>
      <c r="H77" s="62"/>
      <c r="I77" s="62"/>
      <c r="J77" s="62"/>
      <c r="K77" s="62"/>
      <c r="L77" s="62"/>
      <c r="M77" s="62"/>
      <c r="N77" s="62"/>
      <c r="O77" s="63"/>
      <c r="P77" s="85">
        <f>VisibleSum(P71:P74)</f>
        <v>8.5</v>
      </c>
      <c r="Q77" s="62">
        <f>P77 / P76 * 100</f>
        <v>36.95652173913043</v>
      </c>
      <c r="R77" s="86"/>
      <c r="S77" s="63" t="str">
        <f>IF(SUM(S43:S63, S71:S74) &gt; 0, SUM(S43:S63, S71:S74), "")</f>
        <v/>
      </c>
      <c r="T77" s="62" t="str">
        <f t="shared" ref="T77:U77" si="383">IF(SUM(T70:T75) &gt; 0, SUM(T70:T75), "")</f>
        <v/>
      </c>
      <c r="U77" s="62" t="str">
        <f t="shared" si="383"/>
        <v/>
      </c>
      <c r="V77" s="62" t="str">
        <f t="shared" ref="V77" si="384">IF(SUM(V70:V75) &gt; 0, SUM(V70:V75), "")</f>
        <v/>
      </c>
      <c r="W77" s="62" t="str">
        <f t="shared" ref="W77" si="385">IF(SUM(W70:W75) &gt; 0, SUM(W70:W75), "")</f>
        <v/>
      </c>
      <c r="X77" s="62" t="str">
        <f t="shared" ref="X77" si="386">IF(SUM(X70:X75) &gt; 0, SUM(X70:X75), "")</f>
        <v/>
      </c>
      <c r="Y77" s="62" t="str">
        <f t="shared" ref="Y77" si="387">IF(SUM(Y70:Y75) &gt; 0, SUM(Y70:Y75), "")</f>
        <v/>
      </c>
      <c r="Z77" s="63" t="str">
        <f t="shared" ref="Z77:AB77" si="388">IF(SUM(Z70:Z75) &gt; 0, SUM(Z70:Z75), "")</f>
        <v/>
      </c>
      <c r="AA77" s="62" t="str">
        <f t="shared" si="388"/>
        <v/>
      </c>
      <c r="AB77" s="62" t="str">
        <f t="shared" si="388"/>
        <v/>
      </c>
      <c r="AC77" s="62" t="str">
        <f t="shared" ref="AC77" si="389">IF(SUM(AC70:AC75) &gt; 0, SUM(AC70:AC75), "")</f>
        <v/>
      </c>
      <c r="AD77" s="62" t="str">
        <f t="shared" ref="AD77" si="390">IF(SUM(AD70:AD75) &gt; 0, SUM(AD70:AD75), "")</f>
        <v/>
      </c>
      <c r="AE77" s="62" t="str">
        <f t="shared" ref="AE77" si="391">IF(SUM(AE70:AE75) &gt; 0, SUM(AE70:AE75), "")</f>
        <v/>
      </c>
      <c r="AF77" s="62" t="str">
        <f t="shared" ref="AF77" si="392">IF(SUM(AF70:AF75) &gt; 0, SUM(AF70:AF75), "")</f>
        <v/>
      </c>
      <c r="AG77" s="63" t="str">
        <f t="shared" ref="AG77" si="393">IF(SUM(AG70:AG75) &gt; 0, SUM(AG70:AG75), "")</f>
        <v/>
      </c>
      <c r="AH77" s="62" t="str">
        <f>IF(SUM(AH70:AH75) &gt; 0, SUM(AH70:AH75), "")</f>
        <v/>
      </c>
      <c r="AI77" s="62" t="str">
        <f>IF(SUM(AI70:AI75) &gt; 0, SUM(AI70:AI75), "")</f>
        <v/>
      </c>
      <c r="AJ77" s="62" t="str">
        <f t="shared" ref="AJ77:AN77" si="394">IF(SUM(AJ70:AJ75) &gt; 0, SUM(AJ70:AJ75), "")</f>
        <v/>
      </c>
      <c r="AK77" s="62">
        <f t="shared" si="394"/>
        <v>3</v>
      </c>
      <c r="AL77" s="62" t="str">
        <f t="shared" si="394"/>
        <v/>
      </c>
      <c r="AM77" s="62" t="str">
        <f t="shared" si="394"/>
        <v/>
      </c>
      <c r="AN77" s="63" t="str">
        <f t="shared" si="394"/>
        <v/>
      </c>
      <c r="AO77" s="62" t="str">
        <f>IF(SUM(AO70:AO75) &gt; 0, SUM(AO70:AO75), "")</f>
        <v/>
      </c>
      <c r="AP77" s="62">
        <f>IF(SUM(AP70:AP75) &gt; 0, SUM(AP70:AP75), "")</f>
        <v>2</v>
      </c>
      <c r="AQ77" s="62" t="str">
        <f t="shared" ref="AQ77" si="395">IF(SUM(AQ70:AQ75) &gt; 0, SUM(AQ70:AQ75), "")</f>
        <v/>
      </c>
      <c r="AR77" s="62">
        <f t="shared" ref="AR77" si="396">IF(SUM(AR70:AR75) &gt; 0, SUM(AR70:AR75), "")</f>
        <v>1</v>
      </c>
      <c r="AS77" s="62" t="str">
        <f t="shared" ref="AS77" si="397">IF(SUM(AS70:AS75) &gt; 0, SUM(AS70:AS75), "")</f>
        <v/>
      </c>
      <c r="AT77" s="62" t="str">
        <f t="shared" ref="AT77" si="398">IF(SUM(AT70:AT75) &gt; 0, SUM(AT70:AT75), "")</f>
        <v/>
      </c>
      <c r="AU77" s="63" t="str">
        <f t="shared" ref="AU77" si="399">IF(SUM(AU70:AU75) &gt; 0, SUM(AU70:AU75), "")</f>
        <v/>
      </c>
      <c r="AV77" s="62" t="str">
        <f>IF(SUM(AV70:AV75) &gt; 0, SUM(AV70:AV75), "")</f>
        <v/>
      </c>
      <c r="AW77" s="62">
        <f>IF(SUM(AW70:AW75) &gt; 0, SUM(AW70:AW75), "")</f>
        <v>2</v>
      </c>
      <c r="AX77" s="62" t="str">
        <f t="shared" ref="AX77" si="400">IF(SUM(AX70:AX75) &gt; 0, SUM(AX70:AX75), "")</f>
        <v/>
      </c>
      <c r="AY77" s="62">
        <f t="shared" ref="AY77" si="401">IF(SUM(AY70:AY75) &gt; 0, SUM(AY70:AY75), "")</f>
        <v>1</v>
      </c>
      <c r="AZ77" s="62" t="str">
        <f t="shared" ref="AZ77" si="402">IF(SUM(AZ70:AZ75) &gt; 0, SUM(AZ70:AZ75), "")</f>
        <v/>
      </c>
      <c r="BA77" s="62" t="str">
        <f t="shared" ref="BA77" si="403">IF(SUM(BA70:BA75) &gt; 0, SUM(BA70:BA75), "")</f>
        <v/>
      </c>
      <c r="BB77" s="63" t="str">
        <f t="shared" ref="BB77" si="404">IF(SUM(BB70:BB75) &gt; 0, SUM(BB70:BB75), "")</f>
        <v/>
      </c>
      <c r="BC77" s="62" t="str">
        <f>IF(SUM(BC70:BC75) &gt; 0, SUM(BC70:BC75), "")</f>
        <v/>
      </c>
      <c r="BD77" s="62">
        <f>IF(SUM(BD70:BD75) &gt; 0, SUM(BD70:BD75), "")</f>
        <v>3</v>
      </c>
      <c r="BE77" s="62" t="str">
        <f t="shared" ref="BE77:ED77" si="405">IF(SUM(BE70:BE75) &gt; 0, SUM(BE70:BE75), "")</f>
        <v/>
      </c>
      <c r="BF77" s="62">
        <f t="shared" si="405"/>
        <v>2</v>
      </c>
      <c r="BG77" s="62" t="str">
        <f t="shared" si="405"/>
        <v/>
      </c>
      <c r="BH77" s="62" t="str">
        <f t="shared" si="405"/>
        <v/>
      </c>
      <c r="BI77" s="63" t="str">
        <f t="shared" si="405"/>
        <v/>
      </c>
      <c r="BJ77" s="62" t="str">
        <f t="shared" si="405"/>
        <v/>
      </c>
      <c r="BK77" s="62">
        <f t="shared" si="405"/>
        <v>2</v>
      </c>
      <c r="BL77" s="62" t="str">
        <f t="shared" si="405"/>
        <v/>
      </c>
      <c r="BM77" s="62">
        <f t="shared" si="405"/>
        <v>3</v>
      </c>
      <c r="BN77" s="62">
        <f t="shared" si="405"/>
        <v>2</v>
      </c>
      <c r="BO77" s="62" t="str">
        <f t="shared" si="405"/>
        <v/>
      </c>
      <c r="BP77" s="63">
        <f t="shared" si="405"/>
        <v>1</v>
      </c>
      <c r="BQ77" s="62" t="str">
        <f t="shared" si="405"/>
        <v/>
      </c>
      <c r="BR77" s="62" t="str">
        <f t="shared" si="405"/>
        <v/>
      </c>
      <c r="BS77" s="62" t="str">
        <f t="shared" si="405"/>
        <v/>
      </c>
      <c r="BT77" s="62" t="str">
        <f t="shared" si="405"/>
        <v/>
      </c>
      <c r="BU77" s="62" t="str">
        <f t="shared" si="405"/>
        <v/>
      </c>
      <c r="BV77" s="62" t="str">
        <f t="shared" si="405"/>
        <v/>
      </c>
      <c r="BW77" s="62">
        <f t="shared" ref="BW77" si="406">IF(SUM(BW70:BW75) &gt; 0, SUM(BW70:BW75), "")</f>
        <v>2</v>
      </c>
      <c r="BX77" s="62"/>
      <c r="BY77" s="63" t="str">
        <f t="shared" si="405"/>
        <v/>
      </c>
      <c r="BZ77" s="62" t="str">
        <f t="shared" si="405"/>
        <v/>
      </c>
      <c r="CA77" s="62" t="str">
        <f t="shared" si="405"/>
        <v/>
      </c>
      <c r="CB77" s="62" t="str">
        <f t="shared" si="405"/>
        <v/>
      </c>
      <c r="CC77" s="62" t="str">
        <f t="shared" si="405"/>
        <v/>
      </c>
      <c r="CD77" s="62" t="str">
        <f t="shared" si="405"/>
        <v/>
      </c>
      <c r="CE77" s="62" t="str">
        <f t="shared" si="405"/>
        <v/>
      </c>
      <c r="CF77" s="62"/>
      <c r="CG77" s="62"/>
      <c r="CH77" s="63" t="str">
        <f t="shared" si="405"/>
        <v/>
      </c>
      <c r="CI77" s="62" t="str">
        <f t="shared" si="405"/>
        <v/>
      </c>
      <c r="CJ77" s="62" t="str">
        <f t="shared" si="405"/>
        <v/>
      </c>
      <c r="CK77" s="62" t="str">
        <f t="shared" si="405"/>
        <v/>
      </c>
      <c r="CL77" s="62" t="str">
        <f t="shared" si="405"/>
        <v/>
      </c>
      <c r="CM77" s="62" t="str">
        <f t="shared" si="405"/>
        <v/>
      </c>
      <c r="CN77" s="62" t="str">
        <f t="shared" si="405"/>
        <v/>
      </c>
      <c r="CO77" s="62" t="str">
        <f t="shared" ref="CO77" si="407">IF(SUM(CO70:CO75) &gt; 0, SUM(CO70:CO75), "")</f>
        <v/>
      </c>
      <c r="CP77" s="62"/>
      <c r="CQ77" s="63" t="str">
        <f t="shared" si="405"/>
        <v/>
      </c>
      <c r="CR77" s="62" t="str">
        <f t="shared" si="405"/>
        <v/>
      </c>
      <c r="CS77" s="62" t="str">
        <f t="shared" si="405"/>
        <v/>
      </c>
      <c r="CT77" s="62" t="str">
        <f t="shared" si="405"/>
        <v/>
      </c>
      <c r="CU77" s="62" t="str">
        <f t="shared" si="405"/>
        <v/>
      </c>
      <c r="CV77" s="62" t="str">
        <f t="shared" si="405"/>
        <v/>
      </c>
      <c r="CW77" s="62"/>
      <c r="CX77" s="62"/>
      <c r="CY77" s="62" t="str">
        <f t="shared" si="405"/>
        <v/>
      </c>
      <c r="CZ77" s="63" t="str">
        <f t="shared" si="405"/>
        <v/>
      </c>
      <c r="DA77" s="62" t="str">
        <f t="shared" si="405"/>
        <v/>
      </c>
      <c r="DB77" s="62" t="str">
        <f t="shared" si="405"/>
        <v/>
      </c>
      <c r="DC77" s="62" t="str">
        <f t="shared" si="405"/>
        <v/>
      </c>
      <c r="DD77" s="62" t="str">
        <f t="shared" si="405"/>
        <v/>
      </c>
      <c r="DE77" s="62" t="str">
        <f t="shared" si="405"/>
        <v/>
      </c>
      <c r="DF77" s="62" t="str">
        <f t="shared" si="405"/>
        <v/>
      </c>
      <c r="DG77" s="62"/>
      <c r="DH77" s="62"/>
      <c r="DI77" s="63" t="str">
        <f t="shared" si="405"/>
        <v/>
      </c>
      <c r="DJ77" s="62" t="str">
        <f t="shared" si="405"/>
        <v/>
      </c>
      <c r="DK77" s="62" t="str">
        <f t="shared" si="405"/>
        <v/>
      </c>
      <c r="DL77" s="62" t="str">
        <f t="shared" si="405"/>
        <v/>
      </c>
      <c r="DM77" s="62" t="str">
        <f t="shared" si="405"/>
        <v/>
      </c>
      <c r="DN77" s="62" t="str">
        <f t="shared" si="405"/>
        <v/>
      </c>
      <c r="DO77" s="62" t="str">
        <f t="shared" si="405"/>
        <v/>
      </c>
      <c r="DP77" s="62"/>
      <c r="DQ77" s="62"/>
      <c r="DR77" s="63" t="str">
        <f t="shared" si="405"/>
        <v/>
      </c>
      <c r="DS77" s="62" t="str">
        <f t="shared" si="405"/>
        <v/>
      </c>
      <c r="DT77" s="62">
        <f t="shared" si="405"/>
        <v>1</v>
      </c>
      <c r="DU77" s="62" t="str">
        <f t="shared" si="405"/>
        <v/>
      </c>
      <c r="DV77" s="62">
        <f t="shared" si="405"/>
        <v>2</v>
      </c>
      <c r="DW77" s="62">
        <f t="shared" si="405"/>
        <v>1</v>
      </c>
      <c r="DX77" s="62"/>
      <c r="DY77" s="62"/>
      <c r="DZ77" s="62" t="str">
        <f t="shared" si="405"/>
        <v/>
      </c>
      <c r="EA77" s="63" t="str">
        <f t="shared" si="405"/>
        <v/>
      </c>
      <c r="EB77" s="62" t="str">
        <f t="shared" si="405"/>
        <v/>
      </c>
      <c r="EC77" s="62">
        <f t="shared" si="405"/>
        <v>1</v>
      </c>
      <c r="ED77" s="62" t="str">
        <f t="shared" si="405"/>
        <v/>
      </c>
      <c r="EE77" s="62">
        <f t="shared" ref="EE77:GT77" si="408">IF(SUM(EE70:EE75) &gt; 0, SUM(EE70:EE75), "")</f>
        <v>1</v>
      </c>
      <c r="EF77" s="62">
        <v>0</v>
      </c>
      <c r="EG77" s="62"/>
      <c r="EH77" s="62"/>
      <c r="EI77" s="62" t="str">
        <f t="shared" si="408"/>
        <v/>
      </c>
      <c r="EJ77" s="63" t="str">
        <f t="shared" si="408"/>
        <v/>
      </c>
      <c r="EK77" s="62" t="str">
        <f t="shared" si="408"/>
        <v/>
      </c>
      <c r="EL77" s="62">
        <f t="shared" si="408"/>
        <v>1</v>
      </c>
      <c r="EM77" s="62" t="str">
        <f t="shared" si="408"/>
        <v/>
      </c>
      <c r="EN77" s="62">
        <f t="shared" si="408"/>
        <v>1</v>
      </c>
      <c r="EO77" s="62">
        <f t="shared" si="408"/>
        <v>2</v>
      </c>
      <c r="EP77" s="62" t="str">
        <f t="shared" si="408"/>
        <v/>
      </c>
      <c r="EQ77" s="62"/>
      <c r="ER77" s="62"/>
      <c r="ES77" s="63" t="str">
        <f t="shared" si="408"/>
        <v/>
      </c>
      <c r="ET77" s="62" t="str">
        <f t="shared" si="408"/>
        <v/>
      </c>
      <c r="EU77" s="62" t="str">
        <f t="shared" si="408"/>
        <v/>
      </c>
      <c r="EV77" s="62" t="str">
        <f t="shared" si="408"/>
        <v/>
      </c>
      <c r="EW77" s="62" t="str">
        <f t="shared" si="408"/>
        <v/>
      </c>
      <c r="EX77" s="62" t="str">
        <f t="shared" si="408"/>
        <v/>
      </c>
      <c r="EY77" s="62" t="str">
        <f t="shared" si="408"/>
        <v/>
      </c>
      <c r="EZ77" s="63" t="str">
        <f t="shared" si="408"/>
        <v/>
      </c>
      <c r="FA77" s="62" t="str">
        <f t="shared" si="408"/>
        <v/>
      </c>
      <c r="FB77" s="62" t="str">
        <f t="shared" si="408"/>
        <v/>
      </c>
      <c r="FC77" s="62" t="str">
        <f t="shared" si="408"/>
        <v/>
      </c>
      <c r="FD77" s="62" t="str">
        <f t="shared" si="408"/>
        <v/>
      </c>
      <c r="FE77" s="62" t="str">
        <f t="shared" si="408"/>
        <v/>
      </c>
      <c r="FF77" s="62" t="str">
        <f t="shared" si="408"/>
        <v/>
      </c>
      <c r="FG77" s="63" t="str">
        <f t="shared" si="408"/>
        <v/>
      </c>
      <c r="FH77" s="62" t="str">
        <f t="shared" si="408"/>
        <v/>
      </c>
      <c r="FI77" s="62" t="str">
        <f t="shared" si="408"/>
        <v/>
      </c>
      <c r="FJ77" s="62" t="str">
        <f t="shared" si="408"/>
        <v/>
      </c>
      <c r="FK77" s="62" t="str">
        <f t="shared" si="408"/>
        <v/>
      </c>
      <c r="FL77" s="62" t="str">
        <f t="shared" si="408"/>
        <v/>
      </c>
      <c r="FM77" s="62" t="str">
        <f t="shared" si="408"/>
        <v/>
      </c>
      <c r="FN77" s="63" t="str">
        <f t="shared" si="408"/>
        <v/>
      </c>
      <c r="FO77" s="62" t="str">
        <f t="shared" si="408"/>
        <v/>
      </c>
      <c r="FP77" s="62" t="str">
        <f t="shared" si="408"/>
        <v/>
      </c>
      <c r="FQ77" s="62" t="str">
        <f t="shared" si="408"/>
        <v/>
      </c>
      <c r="FR77" s="62" t="str">
        <f t="shared" si="408"/>
        <v/>
      </c>
      <c r="FS77" s="62" t="str">
        <f t="shared" si="408"/>
        <v/>
      </c>
      <c r="FT77" s="62" t="str">
        <f t="shared" si="408"/>
        <v/>
      </c>
      <c r="FU77" s="63" t="str">
        <f t="shared" si="408"/>
        <v/>
      </c>
      <c r="FV77" s="62" t="str">
        <f t="shared" si="408"/>
        <v/>
      </c>
      <c r="FW77" s="62" t="str">
        <f t="shared" si="408"/>
        <v/>
      </c>
      <c r="FX77" s="62" t="str">
        <f t="shared" si="408"/>
        <v/>
      </c>
      <c r="FY77" s="62" t="str">
        <f t="shared" si="408"/>
        <v/>
      </c>
      <c r="FZ77" s="62" t="str">
        <f t="shared" si="408"/>
        <v/>
      </c>
      <c r="GA77" s="62" t="str">
        <f t="shared" si="408"/>
        <v/>
      </c>
      <c r="GB77" s="63" t="str">
        <f t="shared" si="408"/>
        <v/>
      </c>
      <c r="GC77" s="62" t="str">
        <f t="shared" si="408"/>
        <v/>
      </c>
      <c r="GD77" s="62" t="str">
        <f t="shared" si="408"/>
        <v/>
      </c>
      <c r="GE77" s="62" t="str">
        <f t="shared" si="408"/>
        <v/>
      </c>
      <c r="GF77" s="62" t="str">
        <f t="shared" si="408"/>
        <v/>
      </c>
      <c r="GG77" s="62" t="str">
        <f t="shared" si="408"/>
        <v/>
      </c>
      <c r="GH77" s="62" t="str">
        <f t="shared" si="408"/>
        <v/>
      </c>
      <c r="GI77" s="63" t="str">
        <f t="shared" si="408"/>
        <v/>
      </c>
      <c r="GJ77" s="62" t="str">
        <f t="shared" si="408"/>
        <v/>
      </c>
      <c r="GK77" s="62" t="str">
        <f t="shared" si="408"/>
        <v/>
      </c>
      <c r="GL77" s="62" t="str">
        <f t="shared" si="408"/>
        <v/>
      </c>
      <c r="GM77" s="62" t="str">
        <f t="shared" si="408"/>
        <v/>
      </c>
      <c r="GN77" s="62" t="str">
        <f t="shared" si="408"/>
        <v/>
      </c>
      <c r="GO77" s="62" t="str">
        <f t="shared" si="408"/>
        <v/>
      </c>
      <c r="GP77" s="63" t="str">
        <f t="shared" si="408"/>
        <v/>
      </c>
      <c r="GQ77" s="62" t="str">
        <f t="shared" si="408"/>
        <v/>
      </c>
      <c r="GR77" s="62" t="str">
        <f t="shared" si="408"/>
        <v/>
      </c>
      <c r="GS77" s="62" t="str">
        <f t="shared" si="408"/>
        <v/>
      </c>
      <c r="GT77" s="62" t="str">
        <f t="shared" si="408"/>
        <v/>
      </c>
      <c r="GU77" s="62" t="str">
        <f t="shared" ref="GU77:JF77" si="409">IF(SUM(GU70:GU75) &gt; 0, SUM(GU70:GU75), "")</f>
        <v/>
      </c>
      <c r="GV77" s="62" t="str">
        <f t="shared" si="409"/>
        <v/>
      </c>
      <c r="GW77" s="63" t="str">
        <f t="shared" si="409"/>
        <v/>
      </c>
      <c r="GX77" s="62" t="str">
        <f t="shared" si="409"/>
        <v/>
      </c>
      <c r="GY77" s="62" t="str">
        <f t="shared" si="409"/>
        <v/>
      </c>
      <c r="GZ77" s="62" t="str">
        <f t="shared" si="409"/>
        <v/>
      </c>
      <c r="HA77" s="62" t="str">
        <f t="shared" si="409"/>
        <v/>
      </c>
      <c r="HB77" s="62" t="str">
        <f t="shared" si="409"/>
        <v/>
      </c>
      <c r="HC77" s="62" t="str">
        <f t="shared" si="409"/>
        <v/>
      </c>
      <c r="HD77" s="63" t="str">
        <f t="shared" si="409"/>
        <v/>
      </c>
      <c r="HE77" s="62" t="str">
        <f t="shared" si="409"/>
        <v/>
      </c>
      <c r="HF77" s="62" t="str">
        <f t="shared" si="409"/>
        <v/>
      </c>
      <c r="HG77" s="62" t="str">
        <f t="shared" si="409"/>
        <v/>
      </c>
      <c r="HH77" s="62" t="str">
        <f t="shared" si="409"/>
        <v/>
      </c>
      <c r="HI77" s="62" t="str">
        <f t="shared" si="409"/>
        <v/>
      </c>
      <c r="HJ77" s="62" t="str">
        <f t="shared" si="409"/>
        <v/>
      </c>
      <c r="HK77" s="63" t="str">
        <f t="shared" si="409"/>
        <v/>
      </c>
      <c r="HL77" s="62" t="str">
        <f t="shared" si="409"/>
        <v/>
      </c>
      <c r="HM77" s="62" t="str">
        <f t="shared" si="409"/>
        <v/>
      </c>
      <c r="HN77" s="62" t="str">
        <f t="shared" si="409"/>
        <v/>
      </c>
      <c r="HO77" s="62" t="str">
        <f t="shared" si="409"/>
        <v/>
      </c>
      <c r="HP77" s="62" t="str">
        <f t="shared" si="409"/>
        <v/>
      </c>
      <c r="HQ77" s="62" t="str">
        <f t="shared" si="409"/>
        <v/>
      </c>
      <c r="HR77" s="63" t="str">
        <f t="shared" si="409"/>
        <v/>
      </c>
      <c r="HS77" s="62" t="str">
        <f t="shared" si="409"/>
        <v/>
      </c>
      <c r="HT77" s="62" t="str">
        <f t="shared" si="409"/>
        <v/>
      </c>
      <c r="HU77" s="62" t="str">
        <f t="shared" si="409"/>
        <v/>
      </c>
      <c r="HV77" s="62" t="str">
        <f t="shared" si="409"/>
        <v/>
      </c>
      <c r="HW77" s="62" t="str">
        <f t="shared" si="409"/>
        <v/>
      </c>
      <c r="HX77" s="62" t="str">
        <f t="shared" si="409"/>
        <v/>
      </c>
      <c r="HY77" s="63" t="str">
        <f t="shared" si="409"/>
        <v/>
      </c>
      <c r="HZ77" s="62" t="str">
        <f t="shared" si="409"/>
        <v/>
      </c>
      <c r="IA77" s="62" t="str">
        <f t="shared" si="409"/>
        <v/>
      </c>
      <c r="IB77" s="62" t="str">
        <f t="shared" si="409"/>
        <v/>
      </c>
      <c r="IC77" s="62" t="str">
        <f t="shared" si="409"/>
        <v/>
      </c>
      <c r="ID77" s="62" t="str">
        <f t="shared" si="409"/>
        <v/>
      </c>
      <c r="IE77" s="62" t="str">
        <f t="shared" si="409"/>
        <v/>
      </c>
      <c r="IF77" s="63" t="str">
        <f t="shared" si="409"/>
        <v/>
      </c>
      <c r="IG77" s="62" t="str">
        <f t="shared" si="409"/>
        <v/>
      </c>
      <c r="IH77" s="62" t="str">
        <f t="shared" si="409"/>
        <v/>
      </c>
      <c r="II77" s="62" t="str">
        <f t="shared" si="409"/>
        <v/>
      </c>
      <c r="IJ77" s="62" t="str">
        <f t="shared" si="409"/>
        <v/>
      </c>
      <c r="IK77" s="62" t="str">
        <f t="shared" si="409"/>
        <v/>
      </c>
      <c r="IL77" s="62" t="str">
        <f t="shared" si="409"/>
        <v/>
      </c>
      <c r="IM77" s="63" t="str">
        <f t="shared" si="409"/>
        <v/>
      </c>
      <c r="IN77" s="62" t="str">
        <f t="shared" si="409"/>
        <v/>
      </c>
      <c r="IO77" s="62" t="str">
        <f t="shared" si="409"/>
        <v/>
      </c>
      <c r="IP77" s="62" t="str">
        <f t="shared" si="409"/>
        <v/>
      </c>
      <c r="IQ77" s="62" t="str">
        <f t="shared" si="409"/>
        <v/>
      </c>
      <c r="IR77" s="62" t="str">
        <f t="shared" si="409"/>
        <v/>
      </c>
      <c r="IS77" s="62" t="str">
        <f t="shared" si="409"/>
        <v/>
      </c>
      <c r="IT77" s="63" t="str">
        <f t="shared" si="409"/>
        <v/>
      </c>
      <c r="IU77" s="62" t="str">
        <f t="shared" si="409"/>
        <v/>
      </c>
      <c r="IV77" s="62" t="str">
        <f t="shared" si="409"/>
        <v/>
      </c>
      <c r="IW77" s="62" t="str">
        <f t="shared" si="409"/>
        <v/>
      </c>
      <c r="IX77" s="62" t="str">
        <f t="shared" si="409"/>
        <v/>
      </c>
      <c r="IY77" s="62" t="str">
        <f t="shared" si="409"/>
        <v/>
      </c>
      <c r="IZ77" s="62" t="str">
        <f t="shared" si="409"/>
        <v/>
      </c>
      <c r="JA77" s="63" t="str">
        <f t="shared" si="409"/>
        <v/>
      </c>
      <c r="JB77" s="62" t="str">
        <f t="shared" si="409"/>
        <v/>
      </c>
      <c r="JC77" s="62" t="str">
        <f t="shared" si="409"/>
        <v/>
      </c>
      <c r="JD77" s="62" t="str">
        <f t="shared" si="409"/>
        <v/>
      </c>
      <c r="JE77" s="62" t="str">
        <f t="shared" si="409"/>
        <v/>
      </c>
      <c r="JF77" s="62" t="str">
        <f t="shared" si="409"/>
        <v/>
      </c>
      <c r="JG77" s="62" t="str">
        <f t="shared" ref="JG77:LR77" si="410">IF(SUM(JG70:JG75) &gt; 0, SUM(JG70:JG75), "")</f>
        <v/>
      </c>
      <c r="JH77" s="63" t="str">
        <f t="shared" si="410"/>
        <v/>
      </c>
      <c r="JI77" s="62" t="str">
        <f t="shared" si="410"/>
        <v/>
      </c>
      <c r="JJ77" s="62" t="str">
        <f t="shared" si="410"/>
        <v/>
      </c>
      <c r="JK77" s="62" t="str">
        <f t="shared" si="410"/>
        <v/>
      </c>
      <c r="JL77" s="62" t="str">
        <f t="shared" si="410"/>
        <v/>
      </c>
      <c r="JM77" s="62" t="str">
        <f t="shared" si="410"/>
        <v/>
      </c>
      <c r="JN77" s="62" t="str">
        <f t="shared" si="410"/>
        <v/>
      </c>
      <c r="JO77" s="63" t="str">
        <f t="shared" si="410"/>
        <v/>
      </c>
      <c r="JP77" s="62" t="str">
        <f t="shared" si="410"/>
        <v/>
      </c>
      <c r="JQ77" s="62" t="str">
        <f t="shared" si="410"/>
        <v/>
      </c>
      <c r="JR77" s="62" t="str">
        <f t="shared" si="410"/>
        <v/>
      </c>
      <c r="JS77" s="62" t="str">
        <f t="shared" si="410"/>
        <v/>
      </c>
      <c r="JT77" s="62" t="str">
        <f t="shared" si="410"/>
        <v/>
      </c>
      <c r="JU77" s="62" t="str">
        <f t="shared" si="410"/>
        <v/>
      </c>
      <c r="JV77" s="63" t="str">
        <f t="shared" si="410"/>
        <v/>
      </c>
      <c r="JW77" s="62" t="str">
        <f t="shared" si="410"/>
        <v/>
      </c>
      <c r="JX77" s="62" t="str">
        <f t="shared" si="410"/>
        <v/>
      </c>
      <c r="JY77" s="62" t="str">
        <f t="shared" si="410"/>
        <v/>
      </c>
      <c r="JZ77" s="62" t="str">
        <f t="shared" si="410"/>
        <v/>
      </c>
      <c r="KA77" s="62" t="str">
        <f t="shared" si="410"/>
        <v/>
      </c>
      <c r="KB77" s="62" t="str">
        <f t="shared" si="410"/>
        <v/>
      </c>
      <c r="KC77" s="63" t="str">
        <f t="shared" si="410"/>
        <v/>
      </c>
      <c r="KD77" s="62" t="str">
        <f t="shared" si="410"/>
        <v/>
      </c>
      <c r="KE77" s="62" t="str">
        <f t="shared" si="410"/>
        <v/>
      </c>
      <c r="KF77" s="62" t="str">
        <f t="shared" si="410"/>
        <v/>
      </c>
      <c r="KG77" s="62" t="str">
        <f t="shared" si="410"/>
        <v/>
      </c>
      <c r="KH77" s="62" t="str">
        <f t="shared" si="410"/>
        <v/>
      </c>
      <c r="KI77" s="62" t="str">
        <f t="shared" si="410"/>
        <v/>
      </c>
      <c r="KJ77" s="63" t="str">
        <f t="shared" si="410"/>
        <v/>
      </c>
      <c r="KK77" s="62" t="str">
        <f t="shared" si="410"/>
        <v/>
      </c>
      <c r="KL77" s="62" t="str">
        <f t="shared" si="410"/>
        <v/>
      </c>
      <c r="KM77" s="62" t="str">
        <f t="shared" si="410"/>
        <v/>
      </c>
      <c r="KN77" s="62" t="str">
        <f t="shared" si="410"/>
        <v/>
      </c>
      <c r="KO77" s="62" t="str">
        <f t="shared" si="410"/>
        <v/>
      </c>
      <c r="KP77" s="62" t="str">
        <f t="shared" si="410"/>
        <v/>
      </c>
      <c r="KQ77" s="63" t="str">
        <f t="shared" si="410"/>
        <v/>
      </c>
      <c r="KR77" s="62" t="str">
        <f t="shared" si="410"/>
        <v/>
      </c>
      <c r="KS77" s="62" t="str">
        <f t="shared" si="410"/>
        <v/>
      </c>
      <c r="KT77" s="62" t="str">
        <f t="shared" si="410"/>
        <v/>
      </c>
      <c r="KU77" s="62" t="str">
        <f t="shared" si="410"/>
        <v/>
      </c>
      <c r="KV77" s="62" t="str">
        <f t="shared" si="410"/>
        <v/>
      </c>
      <c r="KW77" s="62" t="str">
        <f t="shared" si="410"/>
        <v/>
      </c>
      <c r="KX77" s="63" t="str">
        <f t="shared" si="410"/>
        <v/>
      </c>
      <c r="KY77" s="62" t="str">
        <f t="shared" si="410"/>
        <v/>
      </c>
      <c r="KZ77" s="62" t="str">
        <f t="shared" si="410"/>
        <v/>
      </c>
      <c r="LA77" s="62" t="str">
        <f t="shared" si="410"/>
        <v/>
      </c>
      <c r="LB77" s="62" t="str">
        <f t="shared" si="410"/>
        <v/>
      </c>
      <c r="LC77" s="62" t="str">
        <f t="shared" si="410"/>
        <v/>
      </c>
      <c r="LD77" s="62" t="str">
        <f t="shared" si="410"/>
        <v/>
      </c>
      <c r="LE77" s="63" t="str">
        <f t="shared" si="410"/>
        <v/>
      </c>
      <c r="LF77" s="62" t="str">
        <f t="shared" si="410"/>
        <v/>
      </c>
      <c r="LG77" s="62" t="str">
        <f t="shared" si="410"/>
        <v/>
      </c>
      <c r="LH77" s="62" t="str">
        <f t="shared" si="410"/>
        <v/>
      </c>
      <c r="LI77" s="62" t="str">
        <f t="shared" si="410"/>
        <v/>
      </c>
      <c r="LJ77" s="62" t="str">
        <f t="shared" si="410"/>
        <v/>
      </c>
      <c r="LK77" s="62" t="str">
        <f t="shared" si="410"/>
        <v/>
      </c>
      <c r="LL77" s="63" t="str">
        <f t="shared" si="410"/>
        <v/>
      </c>
      <c r="LM77" s="62" t="str">
        <f t="shared" si="410"/>
        <v/>
      </c>
      <c r="LN77" s="62" t="str">
        <f t="shared" si="410"/>
        <v/>
      </c>
      <c r="LO77" s="62" t="str">
        <f t="shared" si="410"/>
        <v/>
      </c>
      <c r="LP77" s="62" t="str">
        <f t="shared" si="410"/>
        <v/>
      </c>
      <c r="LQ77" s="62" t="str">
        <f t="shared" si="410"/>
        <v/>
      </c>
      <c r="LR77" s="62" t="str">
        <f t="shared" si="410"/>
        <v/>
      </c>
      <c r="LS77" s="63" t="str">
        <f t="shared" ref="LS77:MN77" si="411">IF(SUM(LS70:LS75) &gt; 0, SUM(LS70:LS75), "")</f>
        <v/>
      </c>
      <c r="LT77" s="62" t="str">
        <f t="shared" si="411"/>
        <v/>
      </c>
      <c r="LU77" s="62" t="str">
        <f t="shared" si="411"/>
        <v/>
      </c>
      <c r="LV77" s="62" t="str">
        <f t="shared" si="411"/>
        <v/>
      </c>
      <c r="LW77" s="62" t="str">
        <f t="shared" si="411"/>
        <v/>
      </c>
      <c r="LX77" s="62" t="str">
        <f t="shared" si="411"/>
        <v/>
      </c>
      <c r="LY77" s="62" t="str">
        <f t="shared" si="411"/>
        <v/>
      </c>
      <c r="LZ77" s="63" t="str">
        <f t="shared" si="411"/>
        <v/>
      </c>
      <c r="MA77" s="62" t="str">
        <f t="shared" si="411"/>
        <v/>
      </c>
      <c r="MB77" s="62" t="str">
        <f t="shared" si="411"/>
        <v/>
      </c>
      <c r="MC77" s="62" t="str">
        <f t="shared" si="411"/>
        <v/>
      </c>
      <c r="MD77" s="62" t="str">
        <f t="shared" si="411"/>
        <v/>
      </c>
      <c r="ME77" s="62" t="str">
        <f t="shared" si="411"/>
        <v/>
      </c>
      <c r="MF77" s="62" t="str">
        <f t="shared" si="411"/>
        <v/>
      </c>
      <c r="MG77" s="63" t="str">
        <f t="shared" si="411"/>
        <v/>
      </c>
      <c r="MH77" s="62" t="str">
        <f t="shared" si="411"/>
        <v/>
      </c>
      <c r="MI77" s="62" t="str">
        <f t="shared" si="411"/>
        <v/>
      </c>
      <c r="MJ77" s="62" t="str">
        <f t="shared" si="411"/>
        <v/>
      </c>
      <c r="MK77" s="62" t="str">
        <f t="shared" si="411"/>
        <v/>
      </c>
      <c r="ML77" s="62" t="str">
        <f t="shared" si="411"/>
        <v/>
      </c>
      <c r="MM77" s="62" t="str">
        <f t="shared" si="411"/>
        <v/>
      </c>
      <c r="MN77" s="87" t="str">
        <f t="shared" si="411"/>
        <v/>
      </c>
    </row>
    <row r="78" spans="1:352"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412">IF(SUM(T65, T77) &gt; 0, SUM(T65, T77), "")</f>
        <v/>
      </c>
      <c r="U78" s="62" t="str">
        <f t="shared" si="412"/>
        <v/>
      </c>
      <c r="V78" s="62" t="str">
        <f t="shared" si="412"/>
        <v/>
      </c>
      <c r="W78" s="62" t="str">
        <f t="shared" si="412"/>
        <v/>
      </c>
      <c r="X78" s="62" t="str">
        <f t="shared" si="412"/>
        <v/>
      </c>
      <c r="Y78" s="62" t="str">
        <f t="shared" si="412"/>
        <v/>
      </c>
      <c r="Z78" s="63" t="str">
        <f t="shared" si="412"/>
        <v/>
      </c>
      <c r="AA78" s="65" t="str">
        <f t="shared" ref="AA78" si="413">IF(SUM(AA65, AA77) &gt; 0, SUM(AA65, AA77), "")</f>
        <v/>
      </c>
      <c r="AB78" s="62" t="str">
        <f t="shared" ref="AB78" si="414">IF(SUM(AB65, AB77) &gt; 0, SUM(AB65, AB77), "")</f>
        <v/>
      </c>
      <c r="AC78" s="62" t="str">
        <f t="shared" ref="AC78" si="415">IF(SUM(AC65, AC77) &gt; 0, SUM(AC65, AC77), "")</f>
        <v/>
      </c>
      <c r="AD78" s="62" t="str">
        <f t="shared" ref="AD78" si="416">IF(SUM(AD65, AD77) &gt; 0, SUM(AD65, AD77), "")</f>
        <v/>
      </c>
      <c r="AE78" s="62" t="str">
        <f t="shared" ref="AE78" si="417">IF(SUM(AE65, AE77) &gt; 0, SUM(AE65, AE77), "")</f>
        <v/>
      </c>
      <c r="AF78" s="62" t="str">
        <f t="shared" ref="AF78" si="418">IF(SUM(AF65, AF77) &gt; 0, SUM(AF65, AF77), "")</f>
        <v/>
      </c>
      <c r="AG78" s="63" t="str">
        <f t="shared" ref="AG78" si="419">IF(SUM(AG65, AG77) &gt; 0, SUM(AG65, AG77), "")</f>
        <v/>
      </c>
      <c r="AH78" s="65" t="str">
        <f t="shared" ref="AH78" si="420">IF(SUM(AH65, AH77) &gt; 0, SUM(AH65, AH77), "")</f>
        <v/>
      </c>
      <c r="AI78" s="62">
        <f t="shared" ref="AI78" si="421">IF(SUM(AI65, AI77) &gt; 0, SUM(AI65, AI77), "")</f>
        <v>11</v>
      </c>
      <c r="AJ78" s="62" t="str">
        <f t="shared" ref="AJ78" si="422">IF(SUM(AJ65, AJ77) &gt; 0, SUM(AJ65, AJ77), "")</f>
        <v/>
      </c>
      <c r="AK78" s="62">
        <f t="shared" ref="AK78" si="423">IF(SUM(AK65, AK77) &gt; 0, SUM(AK65, AK77), "")</f>
        <v>10</v>
      </c>
      <c r="AL78" s="62" t="str">
        <f t="shared" ref="AL78" si="424">IF(SUM(AL65, AL77) &gt; 0, SUM(AL65, AL77), "")</f>
        <v/>
      </c>
      <c r="AM78" s="62" t="str">
        <f t="shared" ref="AM78" si="425">IF(SUM(AM65, AM77) &gt; 0, SUM(AM65, AM77), "")</f>
        <v/>
      </c>
      <c r="AN78" s="63" t="str">
        <f t="shared" ref="AN78" si="426">IF(SUM(AN65, AN77) &gt; 0, SUM(AN65, AN77), "")</f>
        <v/>
      </c>
      <c r="AO78" s="65" t="str">
        <f t="shared" ref="AO78" si="427">IF(SUM(AO65, AO77) &gt; 0, SUM(AO65, AO77), "")</f>
        <v/>
      </c>
      <c r="AP78" s="62">
        <f t="shared" ref="AP78" si="428">IF(SUM(AP65, AP77) &gt; 0, SUM(AP65, AP77), "")</f>
        <v>11</v>
      </c>
      <c r="AQ78" s="62" t="str">
        <f t="shared" ref="AQ78" si="429">IF(SUM(AQ65, AQ77) &gt; 0, SUM(AQ65, AQ77), "")</f>
        <v/>
      </c>
      <c r="AR78" s="62">
        <f t="shared" ref="AR78" si="430">IF(SUM(AR65, AR77) &gt; 0, SUM(AR65, AR77), "")</f>
        <v>10</v>
      </c>
      <c r="AS78" s="62" t="str">
        <f t="shared" ref="AS78" si="431">IF(SUM(AS65, AS77) &gt; 0, SUM(AS65, AS77), "")</f>
        <v/>
      </c>
      <c r="AT78" s="62" t="str">
        <f t="shared" ref="AT78" si="432">IF(SUM(AT65, AT77) &gt; 0, SUM(AT65, AT77), "")</f>
        <v/>
      </c>
      <c r="AU78" s="63" t="str">
        <f t="shared" ref="AU78" si="433">IF(SUM(AU65, AU77) &gt; 0, SUM(AU65, AU77), "")</f>
        <v/>
      </c>
      <c r="AV78" s="65" t="str">
        <f t="shared" ref="AV78" si="434">IF(SUM(AV65, AV77) &gt; 0, SUM(AV65, AV77), "")</f>
        <v/>
      </c>
      <c r="AW78" s="62">
        <f t="shared" ref="AW78" si="435">IF(SUM(AW65, AW77) &gt; 0, SUM(AW65, AW77), "")</f>
        <v>11</v>
      </c>
      <c r="AX78" s="62">
        <f t="shared" ref="AX78" si="436">IF(SUM(AX65, AX77) &gt; 0, SUM(AX65, AX77), "")</f>
        <v>6</v>
      </c>
      <c r="AY78" s="62">
        <f t="shared" ref="AY78" si="437">IF(SUM(AY65, AY77) &gt; 0, SUM(AY65, AY77), "")</f>
        <v>8</v>
      </c>
      <c r="AZ78" s="62" t="str">
        <f t="shared" ref="AZ78" si="438">IF(SUM(AZ65, AZ77) &gt; 0, SUM(AZ65, AZ77), "")</f>
        <v/>
      </c>
      <c r="BA78" s="62" t="str">
        <f t="shared" ref="BA78" si="439">IF(SUM(BA65, BA77) &gt; 0, SUM(BA65, BA77), "")</f>
        <v/>
      </c>
      <c r="BB78" s="63" t="str">
        <f t="shared" ref="BB78" si="440">IF(SUM(BB65, BB77) &gt; 0, SUM(BB65, BB77), "")</f>
        <v/>
      </c>
      <c r="BC78" s="65" t="str">
        <f t="shared" ref="BC78" si="441">IF(SUM(BC65, BC77) &gt; 0, SUM(BC65, BC77), "")</f>
        <v/>
      </c>
      <c r="BD78" s="62">
        <f t="shared" ref="BD78" si="442">IF(SUM(BD65, BD77) &gt; 0, SUM(BD65, BD77), "")</f>
        <v>11</v>
      </c>
      <c r="BE78" s="62" t="str">
        <f t="shared" ref="BE78" si="443">IF(SUM(BE65, BE77) &gt; 0, SUM(BE65, BE77), "")</f>
        <v/>
      </c>
      <c r="BF78" s="62">
        <f t="shared" ref="BF78" si="444">IF(SUM(BF65, BF77) &gt; 0, SUM(BF65, BF77), "")</f>
        <v>8</v>
      </c>
      <c r="BG78" s="62" t="str">
        <f t="shared" ref="BG78" si="445">IF(SUM(BG65, BG77) &gt; 0, SUM(BG65, BG77), "")</f>
        <v/>
      </c>
      <c r="BH78" s="62" t="str">
        <f t="shared" ref="BH78" si="446">IF(SUM(BH65, BH77) &gt; 0, SUM(BH65, BH77), "")</f>
        <v/>
      </c>
      <c r="BI78" s="63" t="str">
        <f t="shared" ref="BI78" si="447">IF(SUM(BI65, BI77) &gt; 0, SUM(BI65, BI77), "")</f>
        <v/>
      </c>
      <c r="BJ78" s="65" t="str">
        <f t="shared" ref="BJ78" si="448">IF(SUM(BJ65, BJ77) &gt; 0, SUM(BJ65, BJ77), "")</f>
        <v/>
      </c>
      <c r="BK78" s="62">
        <f t="shared" ref="BK78" si="449">IF(SUM(BK65, BK77) &gt; 0, SUM(BK65, BK77), "")</f>
        <v>9</v>
      </c>
      <c r="BL78" s="62" t="str">
        <f t="shared" ref="BL78" si="450">IF(SUM(BL65, BL77) &gt; 0, SUM(BL65, BL77), "")</f>
        <v/>
      </c>
      <c r="BM78" s="62">
        <f t="shared" ref="BM78" si="451">IF(SUM(BM65, BM77) &gt; 0, SUM(BM65, BM77), "")</f>
        <v>13</v>
      </c>
      <c r="BN78" s="62">
        <f t="shared" ref="BN78" si="452">IF(SUM(BN65, BN77) &gt; 0, SUM(BN65, BN77), "")</f>
        <v>12</v>
      </c>
      <c r="BO78" s="62" t="str">
        <f t="shared" ref="BO78:BP78" si="453">IF(SUM(BO65, BO77) &gt; 0, SUM(BO65, BO77), "")</f>
        <v/>
      </c>
      <c r="BP78" s="63">
        <f t="shared" si="453"/>
        <v>5</v>
      </c>
      <c r="BQ78" s="62" t="str">
        <f t="shared" ref="BQ78" si="454">IF(SUM(BQ65, BQ77) &gt; 0, SUM(BQ65, BQ77), "")</f>
        <v/>
      </c>
      <c r="BR78" s="62" t="str">
        <f t="shared" ref="BR78" si="455">IF(SUM(BR65, BR77) &gt; 0, SUM(BR65, BR77), "")</f>
        <v/>
      </c>
      <c r="BS78" s="62" t="str">
        <f t="shared" ref="BS78" si="456">IF(SUM(BS65, BS77) &gt; 0, SUM(BS65, BS77), "")</f>
        <v/>
      </c>
      <c r="BT78" s="62" t="str">
        <f t="shared" ref="BT78" si="457">IF(SUM(BT65, BT77) &gt; 0, SUM(BT65, BT77), "")</f>
        <v/>
      </c>
      <c r="BU78" s="62" t="str">
        <f t="shared" ref="BU78" si="458">IF(SUM(BU65, BU77) &gt; 0, SUM(BU65, BU77), "")</f>
        <v/>
      </c>
      <c r="BV78" s="62" t="str">
        <f t="shared" ref="BV78:BW78" si="459">IF(SUM(BV65, BV77) &gt; 0, SUM(BV65, BV77), "")</f>
        <v/>
      </c>
      <c r="BW78" s="62">
        <f t="shared" si="459"/>
        <v>2</v>
      </c>
      <c r="BX78" s="62"/>
      <c r="BY78" s="63" t="str">
        <f t="shared" ref="BY78" si="460">IF(SUM(BY65, BY77) &gt; 0, SUM(BY65, BY77), "")</f>
        <v/>
      </c>
      <c r="BZ78" s="65" t="str">
        <f t="shared" ref="BZ78" si="461">IF(SUM(BZ65, BZ77) &gt; 0, SUM(BZ65, BZ77), "")</f>
        <v/>
      </c>
      <c r="CA78" s="62" t="str">
        <f t="shared" ref="CA78" si="462">IF(SUM(CA65, CA77) &gt; 0, SUM(CA65, CA77), "")</f>
        <v/>
      </c>
      <c r="CB78" s="62" t="str">
        <f t="shared" ref="CB78" si="463">IF(SUM(CB65, CB77) &gt; 0, SUM(CB65, CB77), "")</f>
        <v/>
      </c>
      <c r="CC78" s="62" t="str">
        <f t="shared" ref="CC78" si="464">IF(SUM(CC65, CC77) &gt; 0, SUM(CC65, CC77), "")</f>
        <v/>
      </c>
      <c r="CD78" s="62" t="str">
        <f t="shared" ref="CD78" si="465">IF(SUM(CD65, CD77) &gt; 0, SUM(CD65, CD77), "")</f>
        <v/>
      </c>
      <c r="CE78" s="62" t="str">
        <f t="shared" ref="CE78" si="466">IF(SUM(CE65, CE77) &gt; 0, SUM(CE65, CE77), "")</f>
        <v/>
      </c>
      <c r="CF78" s="62"/>
      <c r="CG78" s="62"/>
      <c r="CH78" s="63" t="str">
        <f t="shared" ref="CH78" si="467">IF(SUM(CH65, CH77) &gt; 0, SUM(CH65, CH77), "")</f>
        <v/>
      </c>
      <c r="CI78" s="65" t="str">
        <f t="shared" ref="CI78" si="468">IF(SUM(CI65, CI77) &gt; 0, SUM(CI65, CI77), "")</f>
        <v/>
      </c>
      <c r="CJ78" s="62" t="str">
        <f t="shared" ref="CJ78" si="469">IF(SUM(CJ65, CJ77) &gt; 0, SUM(CJ65, CJ77), "")</f>
        <v/>
      </c>
      <c r="CK78" s="62" t="str">
        <f t="shared" ref="CK78" si="470">IF(SUM(CK65, CK77) &gt; 0, SUM(CK65, CK77), "")</f>
        <v/>
      </c>
      <c r="CL78" s="62" t="str">
        <f t="shared" ref="CL78" si="471">IF(SUM(CL65, CL77) &gt; 0, SUM(CL65, CL77), "")</f>
        <v/>
      </c>
      <c r="CM78" s="62" t="str">
        <f t="shared" ref="CM78" si="472">IF(SUM(CM65, CM77) &gt; 0, SUM(CM65, CM77), "")</f>
        <v/>
      </c>
      <c r="CN78" s="62" t="str">
        <f t="shared" ref="CN78:CO78" si="473">IF(SUM(CN65, CN77) &gt; 0, SUM(CN65, CN77), "")</f>
        <v/>
      </c>
      <c r="CO78" s="62" t="str">
        <f t="shared" si="473"/>
        <v/>
      </c>
      <c r="CP78" s="62"/>
      <c r="CQ78" s="63" t="str">
        <f t="shared" ref="CQ78" si="474">IF(SUM(CQ65, CQ77) &gt; 0, SUM(CQ65, CQ77), "")</f>
        <v/>
      </c>
      <c r="CR78" s="65" t="str">
        <f t="shared" ref="CR78" si="475">IF(SUM(CR65, CR77) &gt; 0, SUM(CR65, CR77), "")</f>
        <v/>
      </c>
      <c r="CS78" s="62" t="str">
        <f t="shared" ref="CS78" si="476">IF(SUM(CS65, CS77) &gt; 0, SUM(CS65, CS77), "")</f>
        <v/>
      </c>
      <c r="CT78" s="62" t="str">
        <f t="shared" ref="CT78" si="477">IF(SUM(CT65, CT77) &gt; 0, SUM(CT65, CT77), "")</f>
        <v/>
      </c>
      <c r="CU78" s="62" t="str">
        <f t="shared" ref="CU78" si="478">IF(SUM(CU65, CU77) &gt; 0, SUM(CU65, CU77), "")</f>
        <v/>
      </c>
      <c r="CV78" s="62" t="str">
        <f t="shared" ref="CV78" si="479">IF(SUM(CV65, CV77) &gt; 0, SUM(CV65, CV77), "")</f>
        <v/>
      </c>
      <c r="CW78" s="62"/>
      <c r="CX78" s="62"/>
      <c r="CY78" s="62" t="str">
        <f t="shared" ref="CY78" si="480">IF(SUM(CY65, CY77) &gt; 0, SUM(CY65, CY77), "")</f>
        <v/>
      </c>
      <c r="CZ78" s="63" t="str">
        <f t="shared" ref="CZ78" si="481">IF(SUM(CZ65, CZ77) &gt; 0, SUM(CZ65, CZ77), "")</f>
        <v/>
      </c>
      <c r="DA78" s="65" t="str">
        <f t="shared" ref="DA78" si="482">IF(SUM(DA65, DA77) &gt; 0, SUM(DA65, DA77), "")</f>
        <v/>
      </c>
      <c r="DB78" s="62" t="str">
        <f t="shared" ref="DB78" si="483">IF(SUM(DB65, DB77) &gt; 0, SUM(DB65, DB77), "")</f>
        <v/>
      </c>
      <c r="DC78" s="62" t="str">
        <f t="shared" ref="DC78" si="484">IF(SUM(DC65, DC77) &gt; 0, SUM(DC65, DC77), "")</f>
        <v/>
      </c>
      <c r="DD78" s="62" t="str">
        <f t="shared" ref="DD78" si="485">IF(SUM(DD65, DD77) &gt; 0, SUM(DD65, DD77), "")</f>
        <v/>
      </c>
      <c r="DE78" s="62" t="str">
        <f t="shared" ref="DE78" si="486">IF(SUM(DE65, DE77) &gt; 0, SUM(DE65, DE77), "")</f>
        <v/>
      </c>
      <c r="DF78" s="62" t="str">
        <f t="shared" ref="DF78" si="487">IF(SUM(DF65, DF77) &gt; 0, SUM(DF65, DF77), "")</f>
        <v/>
      </c>
      <c r="DG78" s="62"/>
      <c r="DH78" s="62"/>
      <c r="DI78" s="63" t="str">
        <f t="shared" ref="DI78" si="488">IF(SUM(DI65, DI77) &gt; 0, SUM(DI65, DI77), "")</f>
        <v/>
      </c>
      <c r="DJ78" s="65" t="str">
        <f t="shared" ref="DJ78" si="489">IF(SUM(DJ65, DJ77) &gt; 0, SUM(DJ65, DJ77), "")</f>
        <v/>
      </c>
      <c r="DK78" s="62" t="str">
        <f t="shared" ref="DK78" si="490">IF(SUM(DK65, DK77) &gt; 0, SUM(DK65, DK77), "")</f>
        <v/>
      </c>
      <c r="DL78" s="62" t="str">
        <f t="shared" ref="DL78" si="491">IF(SUM(DL65, DL77) &gt; 0, SUM(DL65, DL77), "")</f>
        <v/>
      </c>
      <c r="DM78" s="62" t="str">
        <f t="shared" ref="DM78" si="492">IF(SUM(DM65, DM77) &gt; 0, SUM(DM65, DM77), "")</f>
        <v/>
      </c>
      <c r="DN78" s="62" t="str">
        <f t="shared" ref="DN78" si="493">IF(SUM(DN65, DN77) &gt; 0, SUM(DN65, DN77), "")</f>
        <v/>
      </c>
      <c r="DO78" s="62" t="str">
        <f t="shared" ref="DO78" si="494">IF(SUM(DO65, DO77) &gt; 0, SUM(DO65, DO77), "")</f>
        <v/>
      </c>
      <c r="DP78" s="62"/>
      <c r="DQ78" s="62"/>
      <c r="DR78" s="63" t="str">
        <f t="shared" ref="DR78" si="495">IF(SUM(DR65, DR77) &gt; 0, SUM(DR65, DR77), "")</f>
        <v/>
      </c>
      <c r="DS78" s="65" t="str">
        <f t="shared" ref="DS78" si="496">IF(SUM(DS65, DS77) &gt; 0, SUM(DS65, DS77), "")</f>
        <v/>
      </c>
      <c r="DT78" s="62">
        <f t="shared" ref="DT78" si="497">IF(SUM(DT65, DT77) &gt; 0, SUM(DT65, DT77), "")</f>
        <v>8</v>
      </c>
      <c r="DU78" s="62" t="str">
        <f t="shared" ref="DU78" si="498">IF(SUM(DU65, DU77) &gt; 0, SUM(DU65, DU77), "")</f>
        <v/>
      </c>
      <c r="DV78" s="62">
        <f t="shared" ref="DV78" si="499">IF(SUM(DV65, DV77) &gt; 0, SUM(DV65, DV77), "")</f>
        <v>7</v>
      </c>
      <c r="DW78" s="62">
        <f t="shared" ref="DW78" si="500">IF(SUM(DW65, DW77) &gt; 0, SUM(DW65, DW77), "")</f>
        <v>6</v>
      </c>
      <c r="DX78" s="62"/>
      <c r="DY78" s="62"/>
      <c r="DZ78" s="62" t="str">
        <f t="shared" ref="DZ78" si="501">IF(SUM(DZ65, DZ77) &gt; 0, SUM(DZ65, DZ77), "")</f>
        <v/>
      </c>
      <c r="EA78" s="63" t="str">
        <f t="shared" ref="EA78" si="502">IF(SUM(EA65, EA77) &gt; 0, SUM(EA65, EA77), "")</f>
        <v/>
      </c>
      <c r="EB78" s="65" t="str">
        <f t="shared" ref="EB78" si="503">IF(SUM(EB65, EB77) &gt; 0, SUM(EB65, EB77), "")</f>
        <v/>
      </c>
      <c r="EC78" s="62">
        <f t="shared" ref="EC78" si="504">IF(SUM(EC65, EC77) &gt; 0, SUM(EC65, EC77), "")</f>
        <v>7</v>
      </c>
      <c r="ED78" s="62" t="str">
        <f t="shared" ref="ED78" si="505">IF(SUM(ED65, ED77) &gt; 0, SUM(ED65, ED77), "")</f>
        <v/>
      </c>
      <c r="EE78" s="62">
        <f t="shared" ref="EE78" si="506">IF(SUM(EE65, EE77) &gt; 0, SUM(EE65, EE77), "")</f>
        <v>6</v>
      </c>
      <c r="EF78" s="62">
        <f t="shared" ref="EF78" si="507">IF(SUM(EF65, EF77) &gt; 0, SUM(EF65, EF77), "")</f>
        <v>4</v>
      </c>
      <c r="EG78" s="62"/>
      <c r="EH78" s="62"/>
      <c r="EI78" s="62" t="str">
        <f t="shared" ref="EI78" si="508">IF(SUM(EI65, EI77) &gt; 0, SUM(EI65, EI77), "")</f>
        <v/>
      </c>
      <c r="EJ78" s="63" t="str">
        <f t="shared" ref="EJ78" si="509">IF(SUM(EJ65, EJ77) &gt; 0, SUM(EJ65, EJ77), "")</f>
        <v/>
      </c>
      <c r="EK78" s="65" t="str">
        <f t="shared" ref="EK78" si="510">IF(SUM(EK65, EK77) &gt; 0, SUM(EK65, EK77), "")</f>
        <v/>
      </c>
      <c r="EL78" s="62">
        <f t="shared" ref="EL78" si="511">IF(SUM(EL65, EL77) &gt; 0, SUM(EL65, EL77), "")</f>
        <v>7</v>
      </c>
      <c r="EM78" s="62" t="str">
        <f t="shared" ref="EM78" si="512">IF(SUM(EM65, EM77) &gt; 0, SUM(EM65, EM77), "")</f>
        <v/>
      </c>
      <c r="EN78" s="62">
        <f t="shared" ref="EN78" si="513">IF(SUM(EN65, EN77) &gt; 0, SUM(EN65, EN77), "")</f>
        <v>8</v>
      </c>
      <c r="EO78" s="62">
        <f t="shared" ref="EO78" si="514">IF(SUM(EO65, EO77) &gt; 0, SUM(EO65, EO77), "")</f>
        <v>7</v>
      </c>
      <c r="EP78" s="62" t="str">
        <f t="shared" ref="EP78" si="515">IF(SUM(EP65, EP77) &gt; 0, SUM(EP65, EP77), "")</f>
        <v/>
      </c>
      <c r="EQ78" s="62"/>
      <c r="ER78" s="62"/>
      <c r="ES78" s="63" t="str">
        <f t="shared" ref="ES78" si="516">IF(SUM(ES65, ES77) &gt; 0, SUM(ES65, ES77), "")</f>
        <v/>
      </c>
      <c r="ET78" s="65" t="str">
        <f t="shared" ref="ET78" si="517">IF(SUM(ET65, ET77) &gt; 0, SUM(ET65, ET77), "")</f>
        <v/>
      </c>
      <c r="EU78" s="62" t="str">
        <f t="shared" ref="EU78" si="518">IF(SUM(EU65, EU77) &gt; 0, SUM(EU65, EU77), "")</f>
        <v/>
      </c>
      <c r="EV78" s="62" t="str">
        <f t="shared" ref="EV78" si="519">IF(SUM(EV65, EV77) &gt; 0, SUM(EV65, EV77), "")</f>
        <v/>
      </c>
      <c r="EW78" s="62" t="str">
        <f t="shared" ref="EW78" si="520">IF(SUM(EW65, EW77) &gt; 0, SUM(EW65, EW77), "")</f>
        <v/>
      </c>
      <c r="EX78" s="62" t="str">
        <f t="shared" ref="EX78" si="521">IF(SUM(EX65, EX77) &gt; 0, SUM(EX65, EX77), "")</f>
        <v/>
      </c>
      <c r="EY78" s="62" t="str">
        <f t="shared" ref="EY78" si="522">IF(SUM(EY65, EY77) &gt; 0, SUM(EY65, EY77), "")</f>
        <v/>
      </c>
      <c r="EZ78" s="63" t="str">
        <f t="shared" ref="EZ78" si="523">IF(SUM(EZ65, EZ77) &gt; 0, SUM(EZ65, EZ77), "")</f>
        <v/>
      </c>
      <c r="FA78" s="65" t="str">
        <f t="shared" ref="FA78" si="524">IF(SUM(FA65, FA77) &gt; 0, SUM(FA65, FA77), "")</f>
        <v/>
      </c>
      <c r="FB78" s="62" t="str">
        <f t="shared" ref="FB78" si="525">IF(SUM(FB65, FB77) &gt; 0, SUM(FB65, FB77), "")</f>
        <v/>
      </c>
      <c r="FC78" s="62" t="str">
        <f t="shared" ref="FC78" si="526">IF(SUM(FC65, FC77) &gt; 0, SUM(FC65, FC77), "")</f>
        <v/>
      </c>
      <c r="FD78" s="62" t="str">
        <f t="shared" ref="FD78" si="527">IF(SUM(FD65, FD77) &gt; 0, SUM(FD65, FD77), "")</f>
        <v/>
      </c>
      <c r="FE78" s="62" t="str">
        <f t="shared" ref="FE78" si="528">IF(SUM(FE65, FE77) &gt; 0, SUM(FE65, FE77), "")</f>
        <v/>
      </c>
      <c r="FF78" s="62" t="str">
        <f t="shared" ref="FF78" si="529">IF(SUM(FF65, FF77) &gt; 0, SUM(FF65, FF77), "")</f>
        <v/>
      </c>
      <c r="FG78" s="63" t="str">
        <f t="shared" ref="FG78" si="530">IF(SUM(FG65, FG77) &gt; 0, SUM(FG65, FG77), "")</f>
        <v/>
      </c>
      <c r="FH78" s="65" t="str">
        <f t="shared" ref="FH78" si="531">IF(SUM(FH65, FH77) &gt; 0, SUM(FH65, FH77), "")</f>
        <v/>
      </c>
      <c r="FI78" s="62" t="str">
        <f t="shared" ref="FI78" si="532">IF(SUM(FI65, FI77) &gt; 0, SUM(FI65, FI77), "")</f>
        <v/>
      </c>
      <c r="FJ78" s="62" t="str">
        <f t="shared" ref="FJ78" si="533">IF(SUM(FJ65, FJ77) &gt; 0, SUM(FJ65, FJ77), "")</f>
        <v/>
      </c>
      <c r="FK78" s="62" t="str">
        <f t="shared" ref="FK78" si="534">IF(SUM(FK65, FK77) &gt; 0, SUM(FK65, FK77), "")</f>
        <v/>
      </c>
      <c r="FL78" s="62" t="str">
        <f t="shared" ref="FL78" si="535">IF(SUM(FL65, FL77) &gt; 0, SUM(FL65, FL77), "")</f>
        <v/>
      </c>
      <c r="FM78" s="62" t="str">
        <f t="shared" ref="FM78" si="536">IF(SUM(FM65, FM77) &gt; 0, SUM(FM65, FM77), "")</f>
        <v/>
      </c>
      <c r="FN78" s="63" t="str">
        <f t="shared" ref="FN78" si="537">IF(SUM(FN65, FN77) &gt; 0, SUM(FN65, FN77), "")</f>
        <v/>
      </c>
      <c r="FO78" s="65" t="str">
        <f t="shared" ref="FO78" si="538">IF(SUM(FO65, FO77) &gt; 0, SUM(FO65, FO77), "")</f>
        <v/>
      </c>
      <c r="FP78" s="62" t="str">
        <f t="shared" ref="FP78" si="539">IF(SUM(FP65, FP77) &gt; 0, SUM(FP65, FP77), "")</f>
        <v/>
      </c>
      <c r="FQ78" s="62" t="str">
        <f t="shared" ref="FQ78" si="540">IF(SUM(FQ65, FQ77) &gt; 0, SUM(FQ65, FQ77), "")</f>
        <v/>
      </c>
      <c r="FR78" s="62" t="str">
        <f t="shared" ref="FR78" si="541">IF(SUM(FR65, FR77) &gt; 0, SUM(FR65, FR77), "")</f>
        <v/>
      </c>
      <c r="FS78" s="62" t="str">
        <f t="shared" ref="FS78" si="542">IF(SUM(FS65, FS77) &gt; 0, SUM(FS65, FS77), "")</f>
        <v/>
      </c>
      <c r="FT78" s="62" t="str">
        <f t="shared" ref="FT78" si="543">IF(SUM(FT65, FT77) &gt; 0, SUM(FT65, FT77), "")</f>
        <v/>
      </c>
      <c r="FU78" s="63" t="str">
        <f t="shared" ref="FU78" si="544">IF(SUM(FU65, FU77) &gt; 0, SUM(FU65, FU77), "")</f>
        <v/>
      </c>
      <c r="FV78" s="65" t="str">
        <f t="shared" ref="FV78" si="545">IF(SUM(FV65, FV77) &gt; 0, SUM(FV65, FV77), "")</f>
        <v/>
      </c>
      <c r="FW78" s="62" t="str">
        <f t="shared" ref="FW78" si="546">IF(SUM(FW65, FW77) &gt; 0, SUM(FW65, FW77), "")</f>
        <v/>
      </c>
      <c r="FX78" s="62" t="str">
        <f t="shared" ref="FX78" si="547">IF(SUM(FX65, FX77) &gt; 0, SUM(FX65, FX77), "")</f>
        <v/>
      </c>
      <c r="FY78" s="62" t="str">
        <f t="shared" ref="FY78" si="548">IF(SUM(FY65, FY77) &gt; 0, SUM(FY65, FY77), "")</f>
        <v/>
      </c>
      <c r="FZ78" s="62" t="str">
        <f t="shared" ref="FZ78" si="549">IF(SUM(FZ65, FZ77) &gt; 0, SUM(FZ65, FZ77), "")</f>
        <v/>
      </c>
      <c r="GA78" s="62" t="str">
        <f t="shared" ref="GA78" si="550">IF(SUM(GA65, GA77) &gt; 0, SUM(GA65, GA77), "")</f>
        <v/>
      </c>
      <c r="GB78" s="63" t="str">
        <f t="shared" ref="GB78" si="551">IF(SUM(GB65, GB77) &gt; 0, SUM(GB65, GB77), "")</f>
        <v/>
      </c>
      <c r="GC78" s="65" t="str">
        <f t="shared" ref="GC78" si="552">IF(SUM(GC65, GC77) &gt; 0, SUM(GC65, GC77), "")</f>
        <v/>
      </c>
      <c r="GD78" s="62" t="str">
        <f t="shared" ref="GD78" si="553">IF(SUM(GD65, GD77) &gt; 0, SUM(GD65, GD77), "")</f>
        <v/>
      </c>
      <c r="GE78" s="62" t="str">
        <f t="shared" ref="GE78" si="554">IF(SUM(GE65, GE77) &gt; 0, SUM(GE65, GE77), "")</f>
        <v/>
      </c>
      <c r="GF78" s="62" t="str">
        <f t="shared" ref="GF78" si="555">IF(SUM(GF65, GF77) &gt; 0, SUM(GF65, GF77), "")</f>
        <v/>
      </c>
      <c r="GG78" s="62" t="str">
        <f t="shared" ref="GG78" si="556">IF(SUM(GG65, GG77) &gt; 0, SUM(GG65, GG77), "")</f>
        <v/>
      </c>
      <c r="GH78" s="62" t="str">
        <f t="shared" ref="GH78" si="557">IF(SUM(GH65, GH77) &gt; 0, SUM(GH65, GH77), "")</f>
        <v/>
      </c>
      <c r="GI78" s="63" t="str">
        <f t="shared" ref="GI78" si="558">IF(SUM(GI65, GI77) &gt; 0, SUM(GI65, GI77), "")</f>
        <v/>
      </c>
      <c r="GJ78" s="65" t="str">
        <f t="shared" ref="GJ78" si="559">IF(SUM(GJ65, GJ77) &gt; 0, SUM(GJ65, GJ77), "")</f>
        <v/>
      </c>
      <c r="GK78" s="62" t="str">
        <f t="shared" ref="GK78" si="560">IF(SUM(GK65, GK77) &gt; 0, SUM(GK65, GK77), "")</f>
        <v/>
      </c>
      <c r="GL78" s="62" t="str">
        <f t="shared" ref="GL78" si="561">IF(SUM(GL65, GL77) &gt; 0, SUM(GL65, GL77), "")</f>
        <v/>
      </c>
      <c r="GM78" s="62" t="str">
        <f t="shared" ref="GM78" si="562">IF(SUM(GM65, GM77) &gt; 0, SUM(GM65, GM77), "")</f>
        <v/>
      </c>
      <c r="GN78" s="62" t="str">
        <f t="shared" ref="GN78" si="563">IF(SUM(GN65, GN77) &gt; 0, SUM(GN65, GN77), "")</f>
        <v/>
      </c>
      <c r="GO78" s="62" t="str">
        <f t="shared" ref="GO78" si="564">IF(SUM(GO65, GO77) &gt; 0, SUM(GO65, GO77), "")</f>
        <v/>
      </c>
      <c r="GP78" s="63" t="str">
        <f t="shared" ref="GP78" si="565">IF(SUM(GP65, GP77) &gt; 0, SUM(GP65, GP77), "")</f>
        <v/>
      </c>
      <c r="GQ78" s="65" t="str">
        <f t="shared" ref="GQ78" si="566">IF(SUM(GQ65, GQ77) &gt; 0, SUM(GQ65, GQ77), "")</f>
        <v/>
      </c>
      <c r="GR78" s="62" t="str">
        <f t="shared" ref="GR78" si="567">IF(SUM(GR65, GR77) &gt; 0, SUM(GR65, GR77), "")</f>
        <v/>
      </c>
      <c r="GS78" s="62" t="str">
        <f t="shared" ref="GS78" si="568">IF(SUM(GS65, GS77) &gt; 0, SUM(GS65, GS77), "")</f>
        <v/>
      </c>
      <c r="GT78" s="62" t="str">
        <f t="shared" ref="GT78" si="569">IF(SUM(GT65, GT77) &gt; 0, SUM(GT65, GT77), "")</f>
        <v/>
      </c>
      <c r="GU78" s="62" t="str">
        <f t="shared" ref="GU78" si="570">IF(SUM(GU65, GU77) &gt; 0, SUM(GU65, GU77), "")</f>
        <v/>
      </c>
      <c r="GV78" s="62" t="str">
        <f t="shared" ref="GV78" si="571">IF(SUM(GV65, GV77) &gt; 0, SUM(GV65, GV77), "")</f>
        <v/>
      </c>
      <c r="GW78" s="63" t="str">
        <f t="shared" ref="GW78" si="572">IF(SUM(GW65, GW77) &gt; 0, SUM(GW65, GW77), "")</f>
        <v/>
      </c>
      <c r="GX78" s="65" t="str">
        <f t="shared" ref="GX78" si="573">IF(SUM(GX65, GX77) &gt; 0, SUM(GX65, GX77), "")</f>
        <v/>
      </c>
      <c r="GY78" s="62" t="str">
        <f t="shared" ref="GY78" si="574">IF(SUM(GY65, GY77) &gt; 0, SUM(GY65, GY77), "")</f>
        <v/>
      </c>
      <c r="GZ78" s="62" t="str">
        <f t="shared" ref="GZ78" si="575">IF(SUM(GZ65, GZ77) &gt; 0, SUM(GZ65, GZ77), "")</f>
        <v/>
      </c>
      <c r="HA78" s="62" t="str">
        <f t="shared" ref="HA78" si="576">IF(SUM(HA65, HA77) &gt; 0, SUM(HA65, HA77), "")</f>
        <v/>
      </c>
      <c r="HB78" s="62" t="str">
        <f t="shared" ref="HB78" si="577">IF(SUM(HB65, HB77) &gt; 0, SUM(HB65, HB77), "")</f>
        <v/>
      </c>
      <c r="HC78" s="62" t="str">
        <f t="shared" ref="HC78" si="578">IF(SUM(HC65, HC77) &gt; 0, SUM(HC65, HC77), "")</f>
        <v/>
      </c>
      <c r="HD78" s="63" t="str">
        <f t="shared" ref="HD78" si="579">IF(SUM(HD65, HD77) &gt; 0, SUM(HD65, HD77), "")</f>
        <v/>
      </c>
      <c r="HE78" s="65" t="str">
        <f t="shared" ref="HE78" si="580">IF(SUM(HE65, HE77) &gt; 0, SUM(HE65, HE77), "")</f>
        <v/>
      </c>
      <c r="HF78" s="62" t="str">
        <f t="shared" ref="HF78" si="581">IF(SUM(HF65, HF77) &gt; 0, SUM(HF65, HF77), "")</f>
        <v/>
      </c>
      <c r="HG78" s="62" t="str">
        <f t="shared" ref="HG78" si="582">IF(SUM(HG65, HG77) &gt; 0, SUM(HG65, HG77), "")</f>
        <v/>
      </c>
      <c r="HH78" s="62" t="str">
        <f t="shared" ref="HH78" si="583">IF(SUM(HH65, HH77) &gt; 0, SUM(HH65, HH77), "")</f>
        <v/>
      </c>
      <c r="HI78" s="62" t="str">
        <f t="shared" ref="HI78" si="584">IF(SUM(HI65, HI77) &gt; 0, SUM(HI65, HI77), "")</f>
        <v/>
      </c>
      <c r="HJ78" s="62" t="str">
        <f t="shared" ref="HJ78" si="585">IF(SUM(HJ65, HJ77) &gt; 0, SUM(HJ65, HJ77), "")</f>
        <v/>
      </c>
      <c r="HK78" s="63" t="str">
        <f t="shared" ref="HK78" si="586">IF(SUM(HK65, HK77) &gt; 0, SUM(HK65, HK77), "")</f>
        <v/>
      </c>
      <c r="HL78" s="65" t="str">
        <f t="shared" ref="HL78" si="587">IF(SUM(HL65, HL77) &gt; 0, SUM(HL65, HL77), "")</f>
        <v/>
      </c>
      <c r="HM78" s="62" t="str">
        <f t="shared" ref="HM78" si="588">IF(SUM(HM65, HM77) &gt; 0, SUM(HM65, HM77), "")</f>
        <v/>
      </c>
      <c r="HN78" s="62" t="str">
        <f t="shared" ref="HN78" si="589">IF(SUM(HN65, HN77) &gt; 0, SUM(HN65, HN77), "")</f>
        <v/>
      </c>
      <c r="HO78" s="62" t="str">
        <f t="shared" ref="HO78" si="590">IF(SUM(HO65, HO77) &gt; 0, SUM(HO65, HO77), "")</f>
        <v/>
      </c>
      <c r="HP78" s="62" t="str">
        <f t="shared" ref="HP78" si="591">IF(SUM(HP65, HP77) &gt; 0, SUM(HP65, HP77), "")</f>
        <v/>
      </c>
      <c r="HQ78" s="62" t="str">
        <f t="shared" ref="HQ78" si="592">IF(SUM(HQ65, HQ77) &gt; 0, SUM(HQ65, HQ77), "")</f>
        <v/>
      </c>
      <c r="HR78" s="63" t="str">
        <f t="shared" ref="HR78" si="593">IF(SUM(HR65, HR77) &gt; 0, SUM(HR65, HR77), "")</f>
        <v/>
      </c>
      <c r="HS78" s="65" t="str">
        <f t="shared" ref="HS78" si="594">IF(SUM(HS65, HS77) &gt; 0, SUM(HS65, HS77), "")</f>
        <v/>
      </c>
      <c r="HT78" s="62" t="str">
        <f t="shared" ref="HT78" si="595">IF(SUM(HT65, HT77) &gt; 0, SUM(HT65, HT77), "")</f>
        <v/>
      </c>
      <c r="HU78" s="62" t="str">
        <f t="shared" ref="HU78" si="596">IF(SUM(HU65, HU77) &gt; 0, SUM(HU65, HU77), "")</f>
        <v/>
      </c>
      <c r="HV78" s="62" t="str">
        <f t="shared" ref="HV78" si="597">IF(SUM(HV65, HV77) &gt; 0, SUM(HV65, HV77), "")</f>
        <v/>
      </c>
      <c r="HW78" s="62" t="str">
        <f t="shared" ref="HW78" si="598">IF(SUM(HW65, HW77) &gt; 0, SUM(HW65, HW77), "")</f>
        <v/>
      </c>
      <c r="HX78" s="62" t="str">
        <f t="shared" ref="HX78" si="599">IF(SUM(HX65, HX77) &gt; 0, SUM(HX65, HX77), "")</f>
        <v/>
      </c>
      <c r="HY78" s="63" t="str">
        <f t="shared" ref="HY78" si="600">IF(SUM(HY65, HY77) &gt; 0, SUM(HY65, HY77), "")</f>
        <v/>
      </c>
      <c r="HZ78" s="65" t="str">
        <f t="shared" ref="HZ78" si="601">IF(SUM(HZ65, HZ77) &gt; 0, SUM(HZ65, HZ77), "")</f>
        <v/>
      </c>
      <c r="IA78" s="62" t="str">
        <f t="shared" ref="IA78" si="602">IF(SUM(IA65, IA77) &gt; 0, SUM(IA65, IA77), "")</f>
        <v/>
      </c>
      <c r="IB78" s="62" t="str">
        <f t="shared" ref="IB78" si="603">IF(SUM(IB65, IB77) &gt; 0, SUM(IB65, IB77), "")</f>
        <v/>
      </c>
      <c r="IC78" s="62" t="str">
        <f t="shared" ref="IC78" si="604">IF(SUM(IC65, IC77) &gt; 0, SUM(IC65, IC77), "")</f>
        <v/>
      </c>
      <c r="ID78" s="62" t="str">
        <f t="shared" ref="ID78" si="605">IF(SUM(ID65, ID77) &gt; 0, SUM(ID65, ID77), "")</f>
        <v/>
      </c>
      <c r="IE78" s="62" t="str">
        <f t="shared" ref="IE78" si="606">IF(SUM(IE65, IE77) &gt; 0, SUM(IE65, IE77), "")</f>
        <v/>
      </c>
      <c r="IF78" s="63" t="str">
        <f t="shared" ref="IF78" si="607">IF(SUM(IF65, IF77) &gt; 0, SUM(IF65, IF77), "")</f>
        <v/>
      </c>
      <c r="IG78" s="65" t="str">
        <f t="shared" ref="IG78" si="608">IF(SUM(IG65, IG77) &gt; 0, SUM(IG65, IG77), "")</f>
        <v/>
      </c>
      <c r="IH78" s="62" t="str">
        <f t="shared" ref="IH78" si="609">IF(SUM(IH65, IH77) &gt; 0, SUM(IH65, IH77), "")</f>
        <v/>
      </c>
      <c r="II78" s="62" t="str">
        <f t="shared" ref="II78" si="610">IF(SUM(II65, II77) &gt; 0, SUM(II65, II77), "")</f>
        <v/>
      </c>
      <c r="IJ78" s="62" t="str">
        <f t="shared" ref="IJ78" si="611">IF(SUM(IJ65, IJ77) &gt; 0, SUM(IJ65, IJ77), "")</f>
        <v/>
      </c>
      <c r="IK78" s="62" t="str">
        <f t="shared" ref="IK78" si="612">IF(SUM(IK65, IK77) &gt; 0, SUM(IK65, IK77), "")</f>
        <v/>
      </c>
      <c r="IL78" s="62" t="str">
        <f t="shared" ref="IL78" si="613">IF(SUM(IL65, IL77) &gt; 0, SUM(IL65, IL77), "")</f>
        <v/>
      </c>
      <c r="IM78" s="63" t="str">
        <f t="shared" ref="IM78" si="614">IF(SUM(IM65, IM77) &gt; 0, SUM(IM65, IM77), "")</f>
        <v/>
      </c>
      <c r="IN78" s="65" t="str">
        <f t="shared" ref="IN78" si="615">IF(SUM(IN65, IN77) &gt; 0, SUM(IN65, IN77), "")</f>
        <v/>
      </c>
      <c r="IO78" s="62" t="str">
        <f t="shared" ref="IO78" si="616">IF(SUM(IO65, IO77) &gt; 0, SUM(IO65, IO77), "")</f>
        <v/>
      </c>
      <c r="IP78" s="62" t="str">
        <f t="shared" ref="IP78" si="617">IF(SUM(IP65, IP77) &gt; 0, SUM(IP65, IP77), "")</f>
        <v/>
      </c>
      <c r="IQ78" s="62" t="str">
        <f t="shared" ref="IQ78" si="618">IF(SUM(IQ65, IQ77) &gt; 0, SUM(IQ65, IQ77), "")</f>
        <v/>
      </c>
      <c r="IR78" s="62" t="str">
        <f t="shared" ref="IR78" si="619">IF(SUM(IR65, IR77) &gt; 0, SUM(IR65, IR77), "")</f>
        <v/>
      </c>
      <c r="IS78" s="62" t="str">
        <f t="shared" ref="IS78" si="620">IF(SUM(IS65, IS77) &gt; 0, SUM(IS65, IS77), "")</f>
        <v/>
      </c>
      <c r="IT78" s="63" t="str">
        <f t="shared" ref="IT78" si="621">IF(SUM(IT65, IT77) &gt; 0, SUM(IT65, IT77), "")</f>
        <v/>
      </c>
      <c r="IU78" s="65" t="str">
        <f t="shared" ref="IU78" si="622">IF(SUM(IU65, IU77) &gt; 0, SUM(IU65, IU77), "")</f>
        <v/>
      </c>
      <c r="IV78" s="62" t="str">
        <f t="shared" ref="IV78" si="623">IF(SUM(IV65, IV77) &gt; 0, SUM(IV65, IV77), "")</f>
        <v/>
      </c>
      <c r="IW78" s="62" t="str">
        <f t="shared" ref="IW78" si="624">IF(SUM(IW65, IW77) &gt; 0, SUM(IW65, IW77), "")</f>
        <v/>
      </c>
      <c r="IX78" s="62" t="str">
        <f t="shared" ref="IX78" si="625">IF(SUM(IX65, IX77) &gt; 0, SUM(IX65, IX77), "")</f>
        <v/>
      </c>
      <c r="IY78" s="62" t="str">
        <f t="shared" ref="IY78" si="626">IF(SUM(IY65, IY77) &gt; 0, SUM(IY65, IY77), "")</f>
        <v/>
      </c>
      <c r="IZ78" s="62" t="str">
        <f t="shared" ref="IZ78" si="627">IF(SUM(IZ65, IZ77) &gt; 0, SUM(IZ65, IZ77), "")</f>
        <v/>
      </c>
      <c r="JA78" s="63" t="str">
        <f t="shared" ref="JA78" si="628">IF(SUM(JA65, JA77) &gt; 0, SUM(JA65, JA77), "")</f>
        <v/>
      </c>
      <c r="JB78" s="65" t="str">
        <f t="shared" ref="JB78" si="629">IF(SUM(JB65, JB77) &gt; 0, SUM(JB65, JB77), "")</f>
        <v/>
      </c>
      <c r="JC78" s="62" t="str">
        <f t="shared" ref="JC78" si="630">IF(SUM(JC65, JC77) &gt; 0, SUM(JC65, JC77), "")</f>
        <v/>
      </c>
      <c r="JD78" s="62" t="str">
        <f t="shared" ref="JD78" si="631">IF(SUM(JD65, JD77) &gt; 0, SUM(JD65, JD77), "")</f>
        <v/>
      </c>
      <c r="JE78" s="62" t="str">
        <f t="shared" ref="JE78" si="632">IF(SUM(JE65, JE77) &gt; 0, SUM(JE65, JE77), "")</f>
        <v/>
      </c>
      <c r="JF78" s="62" t="str">
        <f t="shared" ref="JF78" si="633">IF(SUM(JF65, JF77) &gt; 0, SUM(JF65, JF77), "")</f>
        <v/>
      </c>
      <c r="JG78" s="62" t="str">
        <f t="shared" ref="JG78" si="634">IF(SUM(JG65, JG77) &gt; 0, SUM(JG65, JG77), "")</f>
        <v/>
      </c>
      <c r="JH78" s="63" t="str">
        <f t="shared" ref="JH78" si="635">IF(SUM(JH65, JH77) &gt; 0, SUM(JH65, JH77), "")</f>
        <v/>
      </c>
      <c r="JI78" s="65" t="str">
        <f t="shared" ref="JI78" si="636">IF(SUM(JI65, JI77) &gt; 0, SUM(JI65, JI77), "")</f>
        <v/>
      </c>
      <c r="JJ78" s="62" t="str">
        <f t="shared" ref="JJ78" si="637">IF(SUM(JJ65, JJ77) &gt; 0, SUM(JJ65, JJ77), "")</f>
        <v/>
      </c>
      <c r="JK78" s="62" t="str">
        <f t="shared" ref="JK78" si="638">IF(SUM(JK65, JK77) &gt; 0, SUM(JK65, JK77), "")</f>
        <v/>
      </c>
      <c r="JL78" s="62" t="str">
        <f t="shared" ref="JL78" si="639">IF(SUM(JL65, JL77) &gt; 0, SUM(JL65, JL77), "")</f>
        <v/>
      </c>
      <c r="JM78" s="62" t="str">
        <f t="shared" ref="JM78" si="640">IF(SUM(JM65, JM77) &gt; 0, SUM(JM65, JM77), "")</f>
        <v/>
      </c>
      <c r="JN78" s="62" t="str">
        <f t="shared" ref="JN78" si="641">IF(SUM(JN65, JN77) &gt; 0, SUM(JN65, JN77), "")</f>
        <v/>
      </c>
      <c r="JO78" s="63" t="str">
        <f t="shared" ref="JO78" si="642">IF(SUM(JO65, JO77) &gt; 0, SUM(JO65, JO77), "")</f>
        <v/>
      </c>
      <c r="JP78" s="65" t="str">
        <f t="shared" ref="JP78" si="643">IF(SUM(JP65, JP77) &gt; 0, SUM(JP65, JP77), "")</f>
        <v/>
      </c>
      <c r="JQ78" s="62" t="str">
        <f t="shared" ref="JQ78" si="644">IF(SUM(JQ65, JQ77) &gt; 0, SUM(JQ65, JQ77), "")</f>
        <v/>
      </c>
      <c r="JR78" s="62" t="str">
        <f t="shared" ref="JR78" si="645">IF(SUM(JR65, JR77) &gt; 0, SUM(JR65, JR77), "")</f>
        <v/>
      </c>
      <c r="JS78" s="62" t="str">
        <f t="shared" ref="JS78" si="646">IF(SUM(JS65, JS77) &gt; 0, SUM(JS65, JS77), "")</f>
        <v/>
      </c>
      <c r="JT78" s="62" t="str">
        <f t="shared" ref="JT78" si="647">IF(SUM(JT65, JT77) &gt; 0, SUM(JT65, JT77), "")</f>
        <v/>
      </c>
      <c r="JU78" s="62" t="str">
        <f t="shared" ref="JU78" si="648">IF(SUM(JU65, JU77) &gt; 0, SUM(JU65, JU77), "")</f>
        <v/>
      </c>
      <c r="JV78" s="63" t="str">
        <f t="shared" ref="JV78" si="649">IF(SUM(JV65, JV77) &gt; 0, SUM(JV65, JV77), "")</f>
        <v/>
      </c>
      <c r="JW78" s="65" t="str">
        <f t="shared" ref="JW78" si="650">IF(SUM(JW65, JW77) &gt; 0, SUM(JW65, JW77), "")</f>
        <v/>
      </c>
      <c r="JX78" s="62" t="str">
        <f t="shared" ref="JX78" si="651">IF(SUM(JX65, JX77) &gt; 0, SUM(JX65, JX77), "")</f>
        <v/>
      </c>
      <c r="JY78" s="62" t="str">
        <f t="shared" ref="JY78" si="652">IF(SUM(JY65, JY77) &gt; 0, SUM(JY65, JY77), "")</f>
        <v/>
      </c>
      <c r="JZ78" s="62" t="str">
        <f t="shared" ref="JZ78" si="653">IF(SUM(JZ65, JZ77) &gt; 0, SUM(JZ65, JZ77), "")</f>
        <v/>
      </c>
      <c r="KA78" s="62" t="str">
        <f t="shared" ref="KA78" si="654">IF(SUM(KA65, KA77) &gt; 0, SUM(KA65, KA77), "")</f>
        <v/>
      </c>
      <c r="KB78" s="62" t="str">
        <f t="shared" ref="KB78" si="655">IF(SUM(KB65, KB77) &gt; 0, SUM(KB65, KB77), "")</f>
        <v/>
      </c>
      <c r="KC78" s="63" t="str">
        <f t="shared" ref="KC78" si="656">IF(SUM(KC65, KC77) &gt; 0, SUM(KC65, KC77), "")</f>
        <v/>
      </c>
      <c r="KD78" s="65" t="str">
        <f t="shared" ref="KD78" si="657">IF(SUM(KD65, KD77) &gt; 0, SUM(KD65, KD77), "")</f>
        <v/>
      </c>
      <c r="KE78" s="62" t="str">
        <f t="shared" ref="KE78" si="658">IF(SUM(KE65, KE77) &gt; 0, SUM(KE65, KE77), "")</f>
        <v/>
      </c>
      <c r="KF78" s="62" t="str">
        <f t="shared" ref="KF78" si="659">IF(SUM(KF65, KF77) &gt; 0, SUM(KF65, KF77), "")</f>
        <v/>
      </c>
      <c r="KG78" s="62" t="str">
        <f t="shared" ref="KG78" si="660">IF(SUM(KG65, KG77) &gt; 0, SUM(KG65, KG77), "")</f>
        <v/>
      </c>
      <c r="KH78" s="62" t="str">
        <f t="shared" ref="KH78" si="661">IF(SUM(KH65, KH77) &gt; 0, SUM(KH65, KH77), "")</f>
        <v/>
      </c>
      <c r="KI78" s="62" t="str">
        <f t="shared" ref="KI78" si="662">IF(SUM(KI65, KI77) &gt; 0, SUM(KI65, KI77), "")</f>
        <v/>
      </c>
      <c r="KJ78" s="63" t="str">
        <f t="shared" ref="KJ78" si="663">IF(SUM(KJ65, KJ77) &gt; 0, SUM(KJ65, KJ77), "")</f>
        <v/>
      </c>
      <c r="KK78" s="65" t="str">
        <f t="shared" ref="KK78" si="664">IF(SUM(KK65, KK77) &gt; 0, SUM(KK65, KK77), "")</f>
        <v/>
      </c>
      <c r="KL78" s="62" t="str">
        <f t="shared" ref="KL78" si="665">IF(SUM(KL65, KL77) &gt; 0, SUM(KL65, KL77), "")</f>
        <v/>
      </c>
      <c r="KM78" s="62" t="str">
        <f t="shared" ref="KM78" si="666">IF(SUM(KM65, KM77) &gt; 0, SUM(KM65, KM77), "")</f>
        <v/>
      </c>
      <c r="KN78" s="62" t="str">
        <f t="shared" ref="KN78" si="667">IF(SUM(KN65, KN77) &gt; 0, SUM(KN65, KN77), "")</f>
        <v/>
      </c>
      <c r="KO78" s="62" t="str">
        <f t="shared" ref="KO78" si="668">IF(SUM(KO65, KO77) &gt; 0, SUM(KO65, KO77), "")</f>
        <v/>
      </c>
      <c r="KP78" s="62" t="str">
        <f t="shared" ref="KP78" si="669">IF(SUM(KP65, KP77) &gt; 0, SUM(KP65, KP77), "")</f>
        <v/>
      </c>
      <c r="KQ78" s="63" t="str">
        <f t="shared" ref="KQ78" si="670">IF(SUM(KQ65, KQ77) &gt; 0, SUM(KQ65, KQ77), "")</f>
        <v/>
      </c>
      <c r="KR78" s="65" t="str">
        <f t="shared" ref="KR78" si="671">IF(SUM(KR65, KR77) &gt; 0, SUM(KR65, KR77), "")</f>
        <v/>
      </c>
      <c r="KS78" s="62" t="str">
        <f t="shared" ref="KS78" si="672">IF(SUM(KS65, KS77) &gt; 0, SUM(KS65, KS77), "")</f>
        <v/>
      </c>
      <c r="KT78" s="62" t="str">
        <f t="shared" ref="KT78" si="673">IF(SUM(KT65, KT77) &gt; 0, SUM(KT65, KT77), "")</f>
        <v/>
      </c>
      <c r="KU78" s="62" t="str">
        <f t="shared" ref="KU78" si="674">IF(SUM(KU65, KU77) &gt; 0, SUM(KU65, KU77), "")</f>
        <v/>
      </c>
      <c r="KV78" s="62" t="str">
        <f t="shared" ref="KV78" si="675">IF(SUM(KV65, KV77) &gt; 0, SUM(KV65, KV77), "")</f>
        <v/>
      </c>
      <c r="KW78" s="62" t="str">
        <f t="shared" ref="KW78" si="676">IF(SUM(KW65, KW77) &gt; 0, SUM(KW65, KW77), "")</f>
        <v/>
      </c>
      <c r="KX78" s="63" t="str">
        <f t="shared" ref="KX78" si="677">IF(SUM(KX65, KX77) &gt; 0, SUM(KX65, KX77), "")</f>
        <v/>
      </c>
      <c r="KY78" s="65" t="str">
        <f t="shared" ref="KY78" si="678">IF(SUM(KY65, KY77) &gt; 0, SUM(KY65, KY77), "")</f>
        <v/>
      </c>
      <c r="KZ78" s="62" t="str">
        <f t="shared" ref="KZ78" si="679">IF(SUM(KZ65, KZ77) &gt; 0, SUM(KZ65, KZ77), "")</f>
        <v/>
      </c>
      <c r="LA78" s="62" t="str">
        <f t="shared" ref="LA78" si="680">IF(SUM(LA65, LA77) &gt; 0, SUM(LA65, LA77), "")</f>
        <v/>
      </c>
      <c r="LB78" s="62" t="str">
        <f t="shared" ref="LB78" si="681">IF(SUM(LB65, LB77) &gt; 0, SUM(LB65, LB77), "")</f>
        <v/>
      </c>
      <c r="LC78" s="62" t="str">
        <f t="shared" ref="LC78" si="682">IF(SUM(LC65, LC77) &gt; 0, SUM(LC65, LC77), "")</f>
        <v/>
      </c>
      <c r="LD78" s="62" t="str">
        <f t="shared" ref="LD78" si="683">IF(SUM(LD65, LD77) &gt; 0, SUM(LD65, LD77), "")</f>
        <v/>
      </c>
      <c r="LE78" s="63" t="str">
        <f t="shared" ref="LE78" si="684">IF(SUM(LE65, LE77) &gt; 0, SUM(LE65, LE77), "")</f>
        <v/>
      </c>
      <c r="LF78" s="65" t="str">
        <f t="shared" ref="LF78" si="685">IF(SUM(LF65, LF77) &gt; 0, SUM(LF65, LF77), "")</f>
        <v/>
      </c>
      <c r="LG78" s="62" t="str">
        <f t="shared" ref="LG78" si="686">IF(SUM(LG65, LG77) &gt; 0, SUM(LG65, LG77), "")</f>
        <v/>
      </c>
      <c r="LH78" s="62" t="str">
        <f t="shared" ref="LH78" si="687">IF(SUM(LH65, LH77) &gt; 0, SUM(LH65, LH77), "")</f>
        <v/>
      </c>
      <c r="LI78" s="62" t="str">
        <f t="shared" ref="LI78" si="688">IF(SUM(LI65, LI77) &gt; 0, SUM(LI65, LI77), "")</f>
        <v/>
      </c>
      <c r="LJ78" s="62" t="str">
        <f t="shared" ref="LJ78" si="689">IF(SUM(LJ65, LJ77) &gt; 0, SUM(LJ65, LJ77), "")</f>
        <v/>
      </c>
      <c r="LK78" s="62" t="str">
        <f t="shared" ref="LK78" si="690">IF(SUM(LK65, LK77) &gt; 0, SUM(LK65, LK77), "")</f>
        <v/>
      </c>
      <c r="LL78" s="63" t="str">
        <f t="shared" ref="LL78" si="691">IF(SUM(LL65, LL77) &gt; 0, SUM(LL65, LL77), "")</f>
        <v/>
      </c>
      <c r="LM78" s="65" t="str">
        <f t="shared" ref="LM78" si="692">IF(SUM(LM65, LM77) &gt; 0, SUM(LM65, LM77), "")</f>
        <v/>
      </c>
      <c r="LN78" s="62" t="str">
        <f t="shared" ref="LN78" si="693">IF(SUM(LN65, LN77) &gt; 0, SUM(LN65, LN77), "")</f>
        <v/>
      </c>
      <c r="LO78" s="62" t="str">
        <f t="shared" ref="LO78" si="694">IF(SUM(LO65, LO77) &gt; 0, SUM(LO65, LO77), "")</f>
        <v/>
      </c>
      <c r="LP78" s="62" t="str">
        <f t="shared" ref="LP78" si="695">IF(SUM(LP65, LP77) &gt; 0, SUM(LP65, LP77), "")</f>
        <v/>
      </c>
      <c r="LQ78" s="62" t="str">
        <f t="shared" ref="LQ78" si="696">IF(SUM(LQ65, LQ77) &gt; 0, SUM(LQ65, LQ77), "")</f>
        <v/>
      </c>
      <c r="LR78" s="62" t="str">
        <f t="shared" ref="LR78" si="697">IF(SUM(LR65, LR77) &gt; 0, SUM(LR65, LR77), "")</f>
        <v/>
      </c>
      <c r="LS78" s="63" t="str">
        <f t="shared" ref="LS78" si="698">IF(SUM(LS65, LS77) &gt; 0, SUM(LS65, LS77), "")</f>
        <v/>
      </c>
      <c r="LT78" s="65" t="str">
        <f t="shared" ref="LT78" si="699">IF(SUM(LT65, LT77) &gt; 0, SUM(LT65, LT77), "")</f>
        <v/>
      </c>
      <c r="LU78" s="62" t="str">
        <f t="shared" ref="LU78" si="700">IF(SUM(LU65, LU77) &gt; 0, SUM(LU65, LU77), "")</f>
        <v/>
      </c>
      <c r="LV78" s="62" t="str">
        <f t="shared" ref="LV78" si="701">IF(SUM(LV65, LV77) &gt; 0, SUM(LV65, LV77), "")</f>
        <v/>
      </c>
      <c r="LW78" s="62" t="str">
        <f t="shared" ref="LW78" si="702">IF(SUM(LW65, LW77) &gt; 0, SUM(LW65, LW77), "")</f>
        <v/>
      </c>
      <c r="LX78" s="62" t="str">
        <f t="shared" ref="LX78" si="703">IF(SUM(LX65, LX77) &gt; 0, SUM(LX65, LX77), "")</f>
        <v/>
      </c>
      <c r="LY78" s="62" t="str">
        <f t="shared" ref="LY78" si="704">IF(SUM(LY65, LY77) &gt; 0, SUM(LY65, LY77), "")</f>
        <v/>
      </c>
      <c r="LZ78" s="63" t="str">
        <f t="shared" ref="LZ78" si="705">IF(SUM(LZ65, LZ77) &gt; 0, SUM(LZ65, LZ77), "")</f>
        <v/>
      </c>
      <c r="MA78" s="65" t="str">
        <f t="shared" ref="MA78" si="706">IF(SUM(MA65, MA77) &gt; 0, SUM(MA65, MA77), "")</f>
        <v/>
      </c>
      <c r="MB78" s="62" t="str">
        <f t="shared" ref="MB78" si="707">IF(SUM(MB65, MB77) &gt; 0, SUM(MB65, MB77), "")</f>
        <v/>
      </c>
      <c r="MC78" s="62" t="str">
        <f t="shared" ref="MC78" si="708">IF(SUM(MC65, MC77) &gt; 0, SUM(MC65, MC77), "")</f>
        <v/>
      </c>
      <c r="MD78" s="62" t="str">
        <f t="shared" ref="MD78" si="709">IF(SUM(MD65, MD77) &gt; 0, SUM(MD65, MD77), "")</f>
        <v/>
      </c>
      <c r="ME78" s="62" t="str">
        <f t="shared" ref="ME78" si="710">IF(SUM(ME65, ME77) &gt; 0, SUM(ME65, ME77), "")</f>
        <v/>
      </c>
      <c r="MF78" s="62" t="str">
        <f t="shared" ref="MF78" si="711">IF(SUM(MF65, MF77) &gt; 0, SUM(MF65, MF77), "")</f>
        <v/>
      </c>
      <c r="MG78" s="63" t="str">
        <f t="shared" ref="MG78" si="712">IF(SUM(MG65, MG77) &gt; 0, SUM(MG65, MG77), "")</f>
        <v/>
      </c>
      <c r="MH78" s="65" t="str">
        <f t="shared" ref="MH78" si="713">IF(SUM(MH65, MH77) &gt; 0, SUM(MH65, MH77), "")</f>
        <v/>
      </c>
      <c r="MI78" s="62" t="str">
        <f t="shared" ref="MI78" si="714">IF(SUM(MI65, MI77) &gt; 0, SUM(MI65, MI77), "")</f>
        <v/>
      </c>
      <c r="MJ78" s="62" t="str">
        <f t="shared" ref="MJ78" si="715">IF(SUM(MJ65, MJ77) &gt; 0, SUM(MJ65, MJ77), "")</f>
        <v/>
      </c>
      <c r="MK78" s="62" t="str">
        <f t="shared" ref="MK78" si="716">IF(SUM(MK65, MK77) &gt; 0, SUM(MK65, MK77), "")</f>
        <v/>
      </c>
      <c r="ML78" s="62" t="str">
        <f t="shared" ref="ML78" si="717">IF(SUM(ML65, ML77) &gt; 0, SUM(ML65, ML77), "")</f>
        <v/>
      </c>
      <c r="MM78" s="62" t="str">
        <f t="shared" ref="MM78" si="718">IF(SUM(MM65, MM77) &gt; 0, SUM(MM65, MM77), "")</f>
        <v/>
      </c>
      <c r="MN78" s="63" t="str">
        <f t="shared" ref="MN78" si="719">IF(SUM(MN65, MN77) &gt; 0, SUM(MN65, MN77), "")</f>
        <v/>
      </c>
    </row>
    <row r="79" spans="1:352"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J79" s="7"/>
      <c r="ES79" s="7"/>
      <c r="EZ79" s="7"/>
      <c r="FG79" s="7"/>
      <c r="FN79" s="7"/>
      <c r="FU79" s="7"/>
      <c r="GB79" s="7"/>
      <c r="GI79" s="7"/>
      <c r="GP79" s="7"/>
      <c r="GW79" s="7"/>
      <c r="HD79" s="7"/>
      <c r="HK79" s="7"/>
      <c r="HR79" s="7"/>
      <c r="HY79" s="7"/>
      <c r="IF79" s="7"/>
      <c r="IM79" s="7"/>
      <c r="IT79" s="7"/>
      <c r="JA79" s="7"/>
      <c r="JH79" s="7"/>
      <c r="JO79" s="7"/>
      <c r="JV79" s="7"/>
      <c r="KC79" s="7"/>
      <c r="KJ79" s="7"/>
      <c r="KQ79" s="7"/>
      <c r="KX79" s="7"/>
      <c r="LE79" s="7"/>
      <c r="LL79" s="7"/>
      <c r="LS79" s="7"/>
      <c r="LZ79" s="7"/>
      <c r="MG79" s="7"/>
      <c r="MN79" s="7"/>
    </row>
    <row r="80" spans="1:352"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1"/>
      <c r="EI80" s="11"/>
      <c r="EJ80" s="12"/>
      <c r="EK80" s="11"/>
      <c r="EL80" s="11"/>
      <c r="EM80" s="11"/>
      <c r="EN80" s="11"/>
      <c r="EO80" s="11"/>
      <c r="EP80" s="11"/>
      <c r="EQ80" s="11"/>
      <c r="ER80" s="11"/>
      <c r="ES80" s="12"/>
      <c r="ET80" s="11"/>
      <c r="EU80" s="11"/>
      <c r="EV80" s="11"/>
      <c r="EW80" s="11"/>
      <c r="EX80" s="11"/>
      <c r="EY80" s="11"/>
      <c r="EZ80" s="12"/>
      <c r="FA80" s="11"/>
      <c r="FB80" s="11"/>
      <c r="FC80" s="11"/>
      <c r="FD80" s="11"/>
      <c r="FE80" s="11"/>
      <c r="FF80" s="11"/>
      <c r="FG80" s="12"/>
      <c r="FH80" s="11"/>
      <c r="FI80" s="11"/>
      <c r="FJ80" s="11"/>
      <c r="FK80" s="11"/>
      <c r="FL80" s="11"/>
      <c r="FM80" s="11"/>
      <c r="FN80" s="12"/>
      <c r="FO80" s="11"/>
      <c r="FP80" s="11"/>
      <c r="FQ80" s="11"/>
      <c r="FR80" s="11"/>
      <c r="FS80" s="11"/>
      <c r="FT80" s="11"/>
      <c r="FU80" s="12"/>
      <c r="FV80" s="11"/>
      <c r="FW80" s="11"/>
      <c r="FX80" s="11"/>
      <c r="FY80" s="11"/>
      <c r="FZ80" s="11"/>
      <c r="GA80" s="11"/>
      <c r="GB80" s="12"/>
      <c r="GC80" s="11"/>
      <c r="GD80" s="11"/>
      <c r="GE80" s="11"/>
      <c r="GF80" s="11"/>
      <c r="GG80" s="11"/>
      <c r="GH80" s="11"/>
      <c r="GI80" s="12"/>
      <c r="GJ80" s="11"/>
      <c r="GK80" s="11"/>
      <c r="GL80" s="11"/>
      <c r="GM80" s="11"/>
      <c r="GN80" s="11"/>
      <c r="GO80" s="11"/>
      <c r="GP80" s="12"/>
      <c r="GQ80" s="11"/>
      <c r="GR80" s="11"/>
      <c r="GS80" s="11"/>
      <c r="GT80" s="11"/>
      <c r="GU80" s="11"/>
      <c r="GV80" s="11"/>
      <c r="GW80" s="12"/>
      <c r="GX80" s="11"/>
      <c r="GY80" s="11"/>
      <c r="GZ80" s="11"/>
      <c r="HA80" s="11"/>
      <c r="HB80" s="11"/>
      <c r="HC80" s="11"/>
      <c r="HD80" s="12"/>
      <c r="HE80" s="11"/>
      <c r="HF80" s="11"/>
      <c r="HG80" s="11"/>
      <c r="HH80" s="11"/>
      <c r="HI80" s="11"/>
      <c r="HJ80" s="11"/>
      <c r="HK80" s="12"/>
      <c r="HL80" s="11"/>
      <c r="HM80" s="11"/>
      <c r="HN80" s="11"/>
      <c r="HO80" s="11"/>
      <c r="HP80" s="11"/>
      <c r="HQ80" s="11"/>
      <c r="HR80" s="12"/>
      <c r="HS80" s="11"/>
      <c r="HT80" s="11"/>
      <c r="HU80" s="11"/>
      <c r="HV80" s="11"/>
      <c r="HW80" s="11"/>
      <c r="HX80" s="11"/>
      <c r="HY80" s="12"/>
      <c r="HZ80" s="11"/>
      <c r="IA80" s="11"/>
      <c r="IB80" s="11"/>
      <c r="IC80" s="11"/>
      <c r="ID80" s="11"/>
      <c r="IE80" s="11"/>
      <c r="IF80" s="12"/>
      <c r="IG80" s="11"/>
      <c r="IH80" s="11"/>
      <c r="II80" s="11"/>
      <c r="IJ80" s="11"/>
      <c r="IK80" s="11"/>
      <c r="IL80" s="11"/>
      <c r="IM80" s="12"/>
      <c r="IN80" s="11"/>
      <c r="IO80" s="11"/>
      <c r="IP80" s="11"/>
      <c r="IQ80" s="11"/>
      <c r="IR80" s="11"/>
      <c r="IS80" s="11"/>
      <c r="IT80" s="12"/>
      <c r="IU80" s="11"/>
      <c r="IV80" s="11"/>
      <c r="IW80" s="11"/>
      <c r="IX80" s="11"/>
      <c r="IY80" s="11"/>
      <c r="IZ80" s="11"/>
      <c r="JA80" s="12"/>
      <c r="JB80" s="11"/>
      <c r="JC80" s="11"/>
      <c r="JD80" s="11"/>
      <c r="JE80" s="11"/>
      <c r="JF80" s="11"/>
      <c r="JG80" s="11"/>
      <c r="JH80" s="12"/>
      <c r="JI80" s="11"/>
      <c r="JJ80" s="11"/>
      <c r="JK80" s="11"/>
      <c r="JL80" s="11"/>
      <c r="JM80" s="11"/>
      <c r="JN80" s="11"/>
      <c r="JO80" s="12"/>
      <c r="JP80" s="11"/>
      <c r="JQ80" s="11"/>
      <c r="JR80" s="11"/>
      <c r="JS80" s="11"/>
      <c r="JT80" s="11"/>
      <c r="JU80" s="11"/>
      <c r="JV80" s="12"/>
      <c r="JW80" s="11"/>
      <c r="JX80" s="11"/>
      <c r="JY80" s="11"/>
      <c r="JZ80" s="11"/>
      <c r="KA80" s="11"/>
      <c r="KB80" s="11"/>
      <c r="KC80" s="12"/>
      <c r="KD80" s="11"/>
      <c r="KE80" s="11"/>
      <c r="KF80" s="11"/>
      <c r="KG80" s="11"/>
      <c r="KH80" s="11"/>
      <c r="KI80" s="11"/>
      <c r="KJ80" s="12"/>
      <c r="KK80" s="11"/>
      <c r="KL80" s="11"/>
      <c r="KM80" s="11"/>
      <c r="KN80" s="11"/>
      <c r="KO80" s="11"/>
      <c r="KP80" s="11"/>
      <c r="KQ80" s="12"/>
      <c r="KR80" s="11"/>
      <c r="KS80" s="11"/>
      <c r="KT80" s="11"/>
      <c r="KU80" s="11"/>
      <c r="KV80" s="11"/>
      <c r="KW80" s="11"/>
      <c r="KX80" s="12"/>
      <c r="KY80" s="11"/>
      <c r="KZ80" s="11"/>
      <c r="LA80" s="11"/>
      <c r="LB80" s="11"/>
      <c r="LC80" s="11"/>
      <c r="LD80" s="11"/>
      <c r="LE80" s="12"/>
      <c r="LF80" s="11"/>
      <c r="LG80" s="11"/>
      <c r="LH80" s="11"/>
      <c r="LI80" s="11"/>
      <c r="LJ80" s="11"/>
      <c r="LK80" s="11"/>
      <c r="LL80" s="12"/>
      <c r="LM80" s="11"/>
      <c r="LN80" s="11"/>
      <c r="LO80" s="11"/>
      <c r="LP80" s="11"/>
      <c r="LQ80" s="11"/>
      <c r="LR80" s="11"/>
      <c r="LS80" s="12"/>
      <c r="LT80" s="11"/>
      <c r="LU80" s="11"/>
      <c r="LV80" s="11"/>
      <c r="LW80" s="11"/>
      <c r="LX80" s="11"/>
      <c r="LY80" s="11"/>
      <c r="LZ80" s="12"/>
      <c r="MA80" s="11"/>
      <c r="MB80" s="11"/>
      <c r="MC80" s="11"/>
      <c r="MD80" s="11"/>
      <c r="ME80" s="11"/>
      <c r="MF80" s="11"/>
      <c r="MG80" s="12"/>
      <c r="MH80" s="11"/>
      <c r="MI80" s="11"/>
      <c r="MJ80" s="11"/>
      <c r="MK80" s="11"/>
      <c r="ML80" s="11"/>
      <c r="MM80" s="11"/>
      <c r="MN80" s="12"/>
    </row>
    <row r="81" spans="1:352" x14ac:dyDescent="0.25">
      <c r="A81" s="8" t="s">
        <v>23</v>
      </c>
      <c r="B81" s="8"/>
      <c r="C81" s="8"/>
      <c r="D81" s="8"/>
      <c r="E81" s="8"/>
      <c r="F81" s="10"/>
      <c r="G81" s="19"/>
      <c r="H81" s="19"/>
      <c r="I81" s="8"/>
      <c r="J81" s="8"/>
      <c r="K81" s="8"/>
      <c r="L81" s="8"/>
      <c r="M81" s="8"/>
      <c r="N81" s="8"/>
      <c r="O81" s="9"/>
      <c r="P81" s="8">
        <f>IF(SUM(S81:MN81) &gt; 0, SUM(S81:MN81), "")</f>
        <v>53</v>
      </c>
      <c r="Q81" s="109">
        <f t="shared" ref="Q81:Q86" si="720">IF(SUM(S81:XFD81) &gt; 0, SUM(S81:XFD81) / $P$87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B81">
        <v>1</v>
      </c>
      <c r="EC81">
        <v>1</v>
      </c>
      <c r="EE81">
        <v>1</v>
      </c>
      <c r="EF81">
        <v>1</v>
      </c>
      <c r="EJ81" s="7"/>
      <c r="EK81">
        <v>1</v>
      </c>
      <c r="EL81">
        <v>1</v>
      </c>
      <c r="EN81">
        <v>1</v>
      </c>
      <c r="EO81">
        <v>1</v>
      </c>
      <c r="EQ81">
        <v>1</v>
      </c>
      <c r="ES81" s="7"/>
      <c r="EZ81" s="7"/>
      <c r="FG81" s="7"/>
      <c r="FN81" s="7"/>
      <c r="FU81" s="7"/>
      <c r="GB81" s="7"/>
      <c r="GI81" s="7"/>
      <c r="GP81" s="7"/>
      <c r="GW81" s="7"/>
      <c r="HD81" s="7"/>
      <c r="HK81" s="7"/>
      <c r="HR81" s="7"/>
      <c r="HY81" s="7"/>
      <c r="IF81" s="7"/>
      <c r="IM81" s="7"/>
      <c r="IT81" s="7"/>
      <c r="JA81" s="7"/>
      <c r="JH81" s="7"/>
      <c r="JO81" s="7"/>
      <c r="JV81" s="7"/>
      <c r="KC81" s="7"/>
      <c r="KJ81" s="7"/>
      <c r="KQ81" s="7"/>
      <c r="KX81" s="7"/>
      <c r="LE81" s="7"/>
      <c r="LL81" s="7"/>
      <c r="LS81" s="7"/>
      <c r="LZ81" s="7"/>
      <c r="MG81" s="7"/>
      <c r="MN81" s="7"/>
    </row>
    <row r="82" spans="1:352" x14ac:dyDescent="0.25">
      <c r="A82" s="8" t="s">
        <v>22</v>
      </c>
      <c r="B82" s="8"/>
      <c r="C82" s="8"/>
      <c r="D82" s="8"/>
      <c r="E82" s="8"/>
      <c r="F82" s="10"/>
      <c r="G82" s="19"/>
      <c r="H82" s="19"/>
      <c r="I82" s="8"/>
      <c r="J82" s="8"/>
      <c r="K82" s="8"/>
      <c r="L82" s="8"/>
      <c r="M82" s="8"/>
      <c r="N82" s="8"/>
      <c r="O82" s="9"/>
      <c r="P82" s="8" t="str">
        <f>IF(SUM(S82:MN82) &gt; 0, SUM(S82:MN82), "")</f>
        <v/>
      </c>
      <c r="Q82" s="109" t="str">
        <f t="shared" si="720"/>
        <v/>
      </c>
      <c r="R82" s="84"/>
      <c r="S82" s="7"/>
      <c r="Z82" s="7"/>
      <c r="AG82" s="7"/>
      <c r="AN82" s="7"/>
      <c r="AU82" s="7"/>
      <c r="BB82" s="7"/>
      <c r="BI82" s="7"/>
      <c r="BP82" s="7"/>
      <c r="BY82" s="7"/>
      <c r="CH82" s="7"/>
      <c r="CQ82" s="7"/>
      <c r="CZ82" s="7"/>
      <c r="DI82" s="7"/>
      <c r="DR82" s="7"/>
      <c r="EA82" s="7"/>
      <c r="EJ82" s="7"/>
      <c r="ES82" s="7"/>
      <c r="EZ82" s="7"/>
      <c r="FG82" s="7"/>
      <c r="FN82" s="7"/>
      <c r="FU82" s="7"/>
      <c r="GB82" s="7"/>
      <c r="GI82" s="7"/>
      <c r="GP82" s="7"/>
      <c r="GW82" s="7"/>
      <c r="HD82" s="7"/>
      <c r="HK82" s="7"/>
      <c r="HR82" s="7"/>
      <c r="HY82" s="7"/>
      <c r="IF82" s="7"/>
      <c r="IM82" s="7"/>
      <c r="IT82" s="7"/>
      <c r="JA82" s="7"/>
      <c r="JH82" s="7"/>
      <c r="JO82" s="7"/>
      <c r="JV82" s="7"/>
      <c r="KC82" s="7"/>
      <c r="KJ82" s="7"/>
      <c r="KQ82" s="7"/>
      <c r="KX82" s="7"/>
      <c r="LE82" s="7"/>
      <c r="LL82" s="7"/>
      <c r="LS82" s="7"/>
      <c r="LZ82" s="7"/>
      <c r="MG82" s="7"/>
      <c r="MN82" s="7"/>
    </row>
    <row r="83" spans="1:352" x14ac:dyDescent="0.25">
      <c r="A83" s="8" t="s">
        <v>21</v>
      </c>
      <c r="B83" s="8"/>
      <c r="C83" s="8"/>
      <c r="D83" s="8"/>
      <c r="E83" s="8"/>
      <c r="F83" s="10"/>
      <c r="G83" s="19"/>
      <c r="H83" s="19"/>
      <c r="I83" s="8"/>
      <c r="J83" s="8"/>
      <c r="K83" s="8"/>
      <c r="L83" s="8"/>
      <c r="M83" s="8"/>
      <c r="N83" s="8"/>
      <c r="O83" s="9"/>
      <c r="P83" s="8" t="str">
        <f>IF(SUM(S83:MN83) &gt; 0, SUM(S83:MN83), "")</f>
        <v/>
      </c>
      <c r="Q83" s="109" t="str">
        <f t="shared" si="720"/>
        <v/>
      </c>
      <c r="R83" s="84"/>
      <c r="S83" s="7"/>
      <c r="Z83" s="7"/>
      <c r="AG83" s="7"/>
      <c r="AN83" s="7"/>
      <c r="AU83" s="7"/>
      <c r="BB83" s="7"/>
      <c r="BI83" s="7"/>
      <c r="BP83" s="7"/>
      <c r="BY83" s="7"/>
      <c r="CH83" s="7"/>
      <c r="CQ83" s="7"/>
      <c r="CZ83" s="7"/>
      <c r="DI83" s="7"/>
      <c r="DR83" s="7"/>
      <c r="EA83" s="7"/>
      <c r="EJ83" s="7"/>
      <c r="ES83" s="7"/>
      <c r="EZ83" s="7"/>
      <c r="FG83" s="7"/>
      <c r="FN83" s="7"/>
      <c r="FU83" s="7"/>
      <c r="GB83" s="7"/>
      <c r="GI83" s="7"/>
      <c r="GP83" s="7"/>
      <c r="GW83" s="7"/>
      <c r="HD83" s="7"/>
      <c r="HK83" s="7"/>
      <c r="HR83" s="7"/>
      <c r="HY83" s="7"/>
      <c r="IF83" s="7"/>
      <c r="IM83" s="7"/>
      <c r="IT83" s="7"/>
      <c r="JA83" s="7"/>
      <c r="JH83" s="7"/>
      <c r="JO83" s="7"/>
      <c r="JV83" s="7"/>
      <c r="KC83" s="7"/>
      <c r="KJ83" s="7"/>
      <c r="KQ83" s="7"/>
      <c r="KX83" s="7"/>
      <c r="LE83" s="7"/>
      <c r="LL83" s="7"/>
      <c r="LS83" s="7"/>
      <c r="LZ83" s="7"/>
      <c r="MG83" s="7"/>
      <c r="MN83" s="7"/>
    </row>
    <row r="84" spans="1:352" x14ac:dyDescent="0.25">
      <c r="A84" s="8" t="s">
        <v>20</v>
      </c>
      <c r="B84" s="8"/>
      <c r="C84" s="8"/>
      <c r="D84" s="8"/>
      <c r="E84" s="8"/>
      <c r="F84" s="10"/>
      <c r="G84" s="19"/>
      <c r="H84" s="19"/>
      <c r="I84" s="8"/>
      <c r="J84" s="8"/>
      <c r="K84" s="8"/>
      <c r="L84" s="8"/>
      <c r="M84" s="8"/>
      <c r="N84" s="8"/>
      <c r="O84" s="9"/>
      <c r="P84" s="8" t="str">
        <f>IF(SUM(S84:MN84) &gt; 0, SUM(S84:MN84), "")</f>
        <v/>
      </c>
      <c r="Q84" s="109" t="str">
        <f t="shared" si="720"/>
        <v/>
      </c>
      <c r="R84" s="84"/>
      <c r="S84" s="7"/>
      <c r="Z84" s="7"/>
      <c r="AG84" s="7"/>
      <c r="AN84" s="7"/>
      <c r="AU84" s="7"/>
      <c r="BB84" s="7"/>
      <c r="BI84" s="7"/>
      <c r="BP84" s="7"/>
      <c r="BY84" s="7"/>
      <c r="CH84" s="7"/>
      <c r="CQ84" s="7"/>
      <c r="CZ84" s="7"/>
      <c r="DI84" s="7"/>
      <c r="DR84" s="7"/>
      <c r="EA84" s="7"/>
      <c r="EJ84" s="7"/>
      <c r="ES84" s="7"/>
      <c r="EZ84" s="7"/>
      <c r="FG84" s="7"/>
      <c r="FN84" s="7"/>
      <c r="FU84" s="7"/>
      <c r="GB84" s="7"/>
      <c r="GI84" s="7"/>
      <c r="GP84" s="7"/>
      <c r="GW84" s="7"/>
      <c r="HD84" s="7"/>
      <c r="HK84" s="7"/>
      <c r="HR84" s="7"/>
      <c r="HY84" s="7"/>
      <c r="IF84" s="7"/>
      <c r="IM84" s="7"/>
      <c r="IT84" s="7"/>
      <c r="JA84" s="7"/>
      <c r="JH84" s="7"/>
      <c r="JO84" s="7"/>
      <c r="JV84" s="7"/>
      <c r="KC84" s="7"/>
      <c r="KJ84" s="7"/>
      <c r="KQ84" s="7"/>
      <c r="KX84" s="7"/>
      <c r="LE84" s="7"/>
      <c r="LL84" s="7"/>
      <c r="LS84" s="7"/>
      <c r="LZ84" s="7"/>
      <c r="MG84" s="7"/>
      <c r="MN84" s="7"/>
    </row>
    <row r="85" spans="1:352" x14ac:dyDescent="0.25">
      <c r="A85" s="8" t="s">
        <v>19</v>
      </c>
      <c r="B85" s="8"/>
      <c r="C85" s="8"/>
      <c r="D85" s="8"/>
      <c r="E85" s="8"/>
      <c r="F85" s="10"/>
      <c r="G85" s="19"/>
      <c r="H85" s="19"/>
      <c r="I85" s="8"/>
      <c r="J85" s="8"/>
      <c r="K85" s="8"/>
      <c r="L85" s="8"/>
      <c r="M85" s="8"/>
      <c r="N85" s="8"/>
      <c r="O85" s="9"/>
      <c r="P85" s="8">
        <f>IF(SUM(S85:MN85) &gt; 0, SUM(S85:MN85), "")</f>
        <v>11</v>
      </c>
      <c r="Q85" s="109">
        <f t="shared" si="720"/>
        <v>20.754716981132077</v>
      </c>
      <c r="R85" s="84"/>
      <c r="S85" s="7"/>
      <c r="Z85" s="7"/>
      <c r="AG85" s="7"/>
      <c r="AK85">
        <v>1</v>
      </c>
      <c r="AN85" s="7"/>
      <c r="AU85" s="7"/>
      <c r="AW85">
        <v>1</v>
      </c>
      <c r="AY85">
        <v>1</v>
      </c>
      <c r="BB85" s="7"/>
      <c r="BF85">
        <v>1</v>
      </c>
      <c r="BI85" s="7"/>
      <c r="BN85">
        <v>1</v>
      </c>
      <c r="BP85" s="7"/>
      <c r="BY85" s="7"/>
      <c r="CH85" s="7"/>
      <c r="CQ85" s="7"/>
      <c r="CZ85" s="7"/>
      <c r="DI85" s="7"/>
      <c r="DR85" s="7"/>
      <c r="DT85">
        <v>1</v>
      </c>
      <c r="EA85" s="7"/>
      <c r="EC85">
        <v>1</v>
      </c>
      <c r="EE85">
        <v>1</v>
      </c>
      <c r="EJ85" s="7"/>
      <c r="EL85">
        <v>1</v>
      </c>
      <c r="EN85">
        <v>1</v>
      </c>
      <c r="EO85">
        <v>1</v>
      </c>
      <c r="ES85" s="7"/>
      <c r="EZ85" s="7"/>
      <c r="FG85" s="7"/>
      <c r="FN85" s="7"/>
      <c r="FU85" s="7"/>
      <c r="GB85" s="7"/>
      <c r="GI85" s="7"/>
      <c r="GP85" s="7"/>
      <c r="GW85" s="7"/>
      <c r="HD85" s="7"/>
      <c r="HK85" s="7"/>
      <c r="HR85" s="7"/>
      <c r="HY85" s="7"/>
      <c r="IF85" s="7"/>
      <c r="IM85" s="7"/>
      <c r="IT85" s="7"/>
      <c r="JA85" s="7"/>
      <c r="JH85" s="7"/>
      <c r="JO85" s="7"/>
      <c r="JV85" s="7"/>
      <c r="KC85" s="7"/>
      <c r="KJ85" s="7"/>
      <c r="KQ85" s="7"/>
      <c r="KX85" s="7"/>
      <c r="LE85" s="7"/>
      <c r="LL85" s="7"/>
      <c r="LS85" s="7"/>
      <c r="LZ85" s="7"/>
      <c r="MG85" s="7"/>
      <c r="MN85" s="7"/>
    </row>
    <row r="86" spans="1:352" ht="5.25" customHeight="1" x14ac:dyDescent="0.25">
      <c r="A86" s="8"/>
      <c r="B86" s="8"/>
      <c r="C86" s="8"/>
      <c r="D86" s="8"/>
      <c r="E86" s="8"/>
      <c r="F86" s="10"/>
      <c r="G86" s="19"/>
      <c r="H86" s="19"/>
      <c r="I86" s="8"/>
      <c r="J86" s="8"/>
      <c r="K86" s="8"/>
      <c r="L86" s="8"/>
      <c r="M86" s="8"/>
      <c r="N86" s="8"/>
      <c r="O86" s="9"/>
      <c r="P86" s="8" t="str">
        <f>IF(SUM(R86:MN86) &gt; 0, SUM(R86:MN86), "")</f>
        <v/>
      </c>
      <c r="Q86" s="109" t="str">
        <f t="shared" si="720"/>
        <v/>
      </c>
      <c r="R86" s="9"/>
      <c r="S86" s="7"/>
      <c r="Z86" s="7"/>
      <c r="AG86" s="7"/>
      <c r="AN86" s="7"/>
      <c r="AU86" s="7"/>
      <c r="BB86" s="7"/>
      <c r="BI86" s="7"/>
      <c r="BP86" s="7"/>
      <c r="BY86" s="7"/>
      <c r="CH86" s="7"/>
      <c r="CQ86" s="7"/>
      <c r="CZ86" s="7"/>
      <c r="DI86" s="7"/>
      <c r="DR86" s="7"/>
      <c r="EA86" s="7"/>
      <c r="EJ86" s="7"/>
      <c r="ES86" s="7"/>
      <c r="EZ86" s="7"/>
      <c r="FG86" s="7"/>
      <c r="FN86" s="7"/>
      <c r="FU86" s="7"/>
      <c r="GB86" s="7"/>
      <c r="GI86" s="7"/>
      <c r="GP86" s="7"/>
      <c r="GW86" s="7"/>
      <c r="HD86" s="7"/>
      <c r="HK86" s="7"/>
      <c r="HR86" s="7"/>
      <c r="HY86" s="7"/>
      <c r="IF86" s="7"/>
      <c r="IM86" s="7"/>
      <c r="IT86" s="7"/>
      <c r="JA86" s="7"/>
      <c r="JH86" s="7"/>
      <c r="JO86" s="7"/>
      <c r="JV86" s="7"/>
      <c r="KC86" s="7"/>
      <c r="KJ86" s="7"/>
      <c r="KQ86" s="7"/>
      <c r="KX86" s="7"/>
      <c r="LE86" s="7"/>
      <c r="LL86" s="7"/>
      <c r="LS86" s="7"/>
      <c r="LZ86" s="7"/>
      <c r="MG86" s="7"/>
      <c r="MN86" s="7"/>
    </row>
    <row r="87" spans="1:352" x14ac:dyDescent="0.25">
      <c r="A87" s="6" t="s">
        <v>18</v>
      </c>
      <c r="B87" s="3"/>
      <c r="C87" s="3"/>
      <c r="D87" s="3"/>
      <c r="E87" s="3"/>
      <c r="F87" s="5"/>
      <c r="G87" s="3"/>
      <c r="H87" s="3"/>
      <c r="I87" s="3"/>
      <c r="J87" s="3"/>
      <c r="K87" s="3"/>
      <c r="L87" s="3"/>
      <c r="M87" s="3"/>
      <c r="N87" s="3"/>
      <c r="O87" s="4"/>
      <c r="P87" s="3">
        <f>SUM(S87:MN87)</f>
        <v>53</v>
      </c>
      <c r="Q87" s="3"/>
      <c r="R87" s="4"/>
      <c r="S87" s="4">
        <v>1</v>
      </c>
      <c r="T87" s="3"/>
      <c r="U87" s="3">
        <v>1</v>
      </c>
      <c r="V87" s="3">
        <v>1</v>
      </c>
      <c r="W87" s="3"/>
      <c r="X87" s="3">
        <v>1</v>
      </c>
      <c r="Y87" s="3"/>
      <c r="Z87" s="4"/>
      <c r="AA87" s="3"/>
      <c r="AB87" s="3">
        <v>1</v>
      </c>
      <c r="AC87" s="3"/>
      <c r="AD87" s="3">
        <v>1</v>
      </c>
      <c r="AE87" s="3">
        <v>1</v>
      </c>
      <c r="AF87" s="3"/>
      <c r="AG87" s="4"/>
      <c r="AH87" s="3"/>
      <c r="AI87" s="3">
        <v>1</v>
      </c>
      <c r="AJ87" s="3"/>
      <c r="AK87" s="3">
        <v>1</v>
      </c>
      <c r="AL87" s="3">
        <v>1</v>
      </c>
      <c r="AM87" s="3"/>
      <c r="AN87" s="4"/>
      <c r="AO87" s="3"/>
      <c r="AP87" s="3">
        <v>1</v>
      </c>
      <c r="AQ87" s="3"/>
      <c r="AR87" s="3">
        <v>1</v>
      </c>
      <c r="AS87" s="3">
        <v>1</v>
      </c>
      <c r="AT87" s="3"/>
      <c r="AU87" s="4"/>
      <c r="AV87" s="3"/>
      <c r="AW87" s="3">
        <v>1</v>
      </c>
      <c r="AX87" s="3">
        <v>1</v>
      </c>
      <c r="AY87" s="3">
        <v>1</v>
      </c>
      <c r="AZ87" s="3">
        <v>1</v>
      </c>
      <c r="BA87" s="3"/>
      <c r="BB87" s="4"/>
      <c r="BC87" s="3"/>
      <c r="BD87" s="3">
        <v>1</v>
      </c>
      <c r="BE87" s="3"/>
      <c r="BF87" s="3">
        <v>1</v>
      </c>
      <c r="BG87" s="3">
        <v>1</v>
      </c>
      <c r="BH87" s="3"/>
      <c r="BI87" s="4"/>
      <c r="BJ87" s="3"/>
      <c r="BK87" s="3">
        <v>1</v>
      </c>
      <c r="BL87" s="3"/>
      <c r="BM87" s="3">
        <v>1</v>
      </c>
      <c r="BN87" s="3">
        <v>1</v>
      </c>
      <c r="BO87" s="3"/>
      <c r="BP87" s="4">
        <v>1</v>
      </c>
      <c r="BQ87" s="3"/>
      <c r="BR87" s="3">
        <v>1</v>
      </c>
      <c r="BS87" s="3"/>
      <c r="BT87" s="3">
        <v>1</v>
      </c>
      <c r="BU87" s="3"/>
      <c r="BV87" s="3"/>
      <c r="BW87" s="3">
        <v>1</v>
      </c>
      <c r="BX87" s="3"/>
      <c r="BY87" s="4"/>
      <c r="BZ87" s="3"/>
      <c r="CA87" s="3"/>
      <c r="CB87" s="3"/>
      <c r="CC87" s="3">
        <v>1</v>
      </c>
      <c r="CD87" s="3"/>
      <c r="CE87" s="3"/>
      <c r="CF87" s="3">
        <v>1</v>
      </c>
      <c r="CG87" s="3"/>
      <c r="CH87" s="4"/>
      <c r="CI87" s="3"/>
      <c r="CJ87" s="3"/>
      <c r="CK87" s="3"/>
      <c r="CL87" s="3">
        <v>1</v>
      </c>
      <c r="CM87" s="3"/>
      <c r="CN87" s="3"/>
      <c r="CO87" s="3">
        <v>1</v>
      </c>
      <c r="CP87" s="3"/>
      <c r="CQ87" s="4"/>
      <c r="CR87" s="3"/>
      <c r="CS87" s="3">
        <v>1</v>
      </c>
      <c r="CT87" s="3"/>
      <c r="CU87" s="3">
        <v>1</v>
      </c>
      <c r="CV87" s="3">
        <v>1</v>
      </c>
      <c r="CW87" s="3"/>
      <c r="CX87" s="3">
        <v>1</v>
      </c>
      <c r="CY87" s="3"/>
      <c r="CZ87" s="4"/>
      <c r="DA87" s="3"/>
      <c r="DB87" s="3">
        <v>1</v>
      </c>
      <c r="DC87" s="3"/>
      <c r="DD87" s="3"/>
      <c r="DE87" s="3">
        <v>1</v>
      </c>
      <c r="DF87" s="3"/>
      <c r="DG87" s="3">
        <v>1</v>
      </c>
      <c r="DH87" s="3"/>
      <c r="DI87" s="4"/>
      <c r="DJ87" s="3"/>
      <c r="DK87" s="3">
        <v>1</v>
      </c>
      <c r="DL87" s="3"/>
      <c r="DM87" s="3">
        <v>1</v>
      </c>
      <c r="DN87" s="3">
        <v>1</v>
      </c>
      <c r="DO87" s="3"/>
      <c r="DP87" s="3"/>
      <c r="DQ87" s="3"/>
      <c r="DR87" s="4"/>
      <c r="DS87" s="3"/>
      <c r="DT87" s="3">
        <v>1</v>
      </c>
      <c r="DU87" s="3"/>
      <c r="DV87" s="3">
        <v>1</v>
      </c>
      <c r="DW87" s="3">
        <v>1</v>
      </c>
      <c r="DX87" s="3"/>
      <c r="DY87" s="3"/>
      <c r="DZ87" s="3"/>
      <c r="EA87" s="4"/>
      <c r="EB87" s="3">
        <v>1</v>
      </c>
      <c r="EC87" s="3">
        <v>1</v>
      </c>
      <c r="ED87" s="3"/>
      <c r="EE87" s="3">
        <v>1</v>
      </c>
      <c r="EF87" s="3">
        <v>1</v>
      </c>
      <c r="EG87" s="3"/>
      <c r="EH87" s="3"/>
      <c r="EI87" s="3"/>
      <c r="EJ87" s="4"/>
      <c r="EK87" s="3">
        <v>1</v>
      </c>
      <c r="EL87" s="3">
        <v>1</v>
      </c>
      <c r="EM87" s="3"/>
      <c r="EN87" s="3">
        <v>1</v>
      </c>
      <c r="EO87" s="3">
        <v>1</v>
      </c>
      <c r="EP87" s="3"/>
      <c r="EQ87" s="3">
        <v>1</v>
      </c>
      <c r="ER87" s="3"/>
      <c r="ES87" s="4"/>
      <c r="ET87" s="3"/>
      <c r="EU87" s="3"/>
      <c r="EV87" s="3"/>
      <c r="EW87" s="3"/>
      <c r="EX87" s="3"/>
      <c r="EY87" s="3"/>
      <c r="EZ87" s="4"/>
      <c r="FA87" s="3"/>
      <c r="FB87" s="3"/>
      <c r="FC87" s="3"/>
      <c r="FD87" s="3"/>
      <c r="FE87" s="3"/>
      <c r="FF87" s="3"/>
      <c r="FG87" s="4"/>
      <c r="FH87" s="3"/>
      <c r="FI87" s="3"/>
      <c r="FJ87" s="3"/>
      <c r="FK87" s="3"/>
      <c r="FL87" s="3"/>
      <c r="FM87" s="3"/>
      <c r="FN87" s="4"/>
      <c r="FO87" s="3"/>
      <c r="FP87" s="3"/>
      <c r="FQ87" s="3"/>
      <c r="FR87" s="3"/>
      <c r="FS87" s="3"/>
      <c r="FT87" s="3"/>
      <c r="FU87" s="4"/>
      <c r="FV87" s="3"/>
      <c r="FW87" s="3"/>
      <c r="FX87" s="3"/>
      <c r="FY87" s="3"/>
      <c r="FZ87" s="3"/>
      <c r="GA87" s="3"/>
      <c r="GB87" s="4"/>
      <c r="GC87" s="3"/>
      <c r="GD87" s="3"/>
      <c r="GE87" s="3"/>
      <c r="GF87" s="3"/>
      <c r="GG87" s="3"/>
      <c r="GH87" s="3"/>
      <c r="GI87" s="4"/>
      <c r="GJ87" s="3"/>
      <c r="GK87" s="3"/>
      <c r="GL87" s="3"/>
      <c r="GM87" s="3"/>
      <c r="GN87" s="3"/>
      <c r="GO87" s="3"/>
      <c r="GP87" s="4"/>
      <c r="GQ87" s="3"/>
      <c r="GR87" s="3"/>
      <c r="GS87" s="3"/>
      <c r="GT87" s="3"/>
      <c r="GU87" s="3"/>
      <c r="GV87" s="3"/>
      <c r="GW87" s="4"/>
      <c r="GX87" s="3"/>
      <c r="GY87" s="3"/>
      <c r="GZ87" s="3"/>
      <c r="HA87" s="3"/>
      <c r="HB87" s="3"/>
      <c r="HC87" s="3"/>
      <c r="HD87" s="4"/>
      <c r="HE87" s="3"/>
      <c r="HF87" s="3"/>
      <c r="HG87" s="3"/>
      <c r="HH87" s="3"/>
      <c r="HI87" s="3"/>
      <c r="HJ87" s="3"/>
      <c r="HK87" s="4"/>
      <c r="HL87" s="3"/>
      <c r="HM87" s="3"/>
      <c r="HN87" s="3"/>
      <c r="HO87" s="3"/>
      <c r="HP87" s="3"/>
      <c r="HQ87" s="3"/>
      <c r="HR87" s="4"/>
      <c r="HS87" s="3"/>
      <c r="HT87" s="3"/>
      <c r="HU87" s="3"/>
      <c r="HV87" s="3"/>
      <c r="HW87" s="3"/>
      <c r="HX87" s="3"/>
      <c r="HY87" s="4"/>
      <c r="HZ87" s="3"/>
      <c r="IA87" s="3"/>
      <c r="IB87" s="3"/>
      <c r="IC87" s="3"/>
      <c r="ID87" s="3"/>
      <c r="IE87" s="3"/>
      <c r="IF87" s="4"/>
      <c r="IG87" s="3"/>
      <c r="IH87" s="3"/>
      <c r="II87" s="3"/>
      <c r="IJ87" s="3"/>
      <c r="IK87" s="3"/>
      <c r="IL87" s="3"/>
      <c r="IM87" s="4"/>
      <c r="IN87" s="3"/>
      <c r="IO87" s="3"/>
      <c r="IP87" s="3"/>
      <c r="IQ87" s="3"/>
      <c r="IR87" s="3"/>
      <c r="IS87" s="3"/>
      <c r="IT87" s="4"/>
      <c r="IU87" s="3"/>
      <c r="IV87" s="3"/>
      <c r="IW87" s="3"/>
      <c r="IX87" s="3"/>
      <c r="IY87" s="3"/>
      <c r="IZ87" s="3"/>
      <c r="JA87" s="4"/>
      <c r="JB87" s="3"/>
      <c r="JC87" s="3"/>
      <c r="JD87" s="3"/>
      <c r="JE87" s="3"/>
      <c r="JF87" s="3"/>
      <c r="JG87" s="3"/>
      <c r="JH87" s="4"/>
      <c r="JI87" s="3"/>
      <c r="JJ87" s="3"/>
      <c r="JK87" s="3"/>
      <c r="JL87" s="3"/>
      <c r="JM87" s="3"/>
      <c r="JN87" s="3"/>
      <c r="JO87" s="4"/>
      <c r="JP87" s="3"/>
      <c r="JQ87" s="3"/>
      <c r="JR87" s="3"/>
      <c r="JS87" s="3"/>
      <c r="JT87" s="3"/>
      <c r="JU87" s="3"/>
      <c r="JV87" s="4"/>
      <c r="JW87" s="3"/>
      <c r="JX87" s="3"/>
      <c r="JY87" s="3"/>
      <c r="JZ87" s="3"/>
      <c r="KA87" s="3"/>
      <c r="KB87" s="3"/>
      <c r="KC87" s="4"/>
      <c r="KD87" s="3"/>
      <c r="KE87" s="3"/>
      <c r="KF87" s="3"/>
      <c r="KG87" s="3"/>
      <c r="KH87" s="3"/>
      <c r="KI87" s="3"/>
      <c r="KJ87" s="4"/>
      <c r="KK87" s="3"/>
      <c r="KL87" s="3"/>
      <c r="KM87" s="3"/>
      <c r="KN87" s="3"/>
      <c r="KO87" s="3"/>
      <c r="KP87" s="3"/>
      <c r="KQ87" s="4"/>
      <c r="KR87" s="3"/>
      <c r="KS87" s="3"/>
      <c r="KT87" s="3"/>
      <c r="KU87" s="3"/>
      <c r="KV87" s="3"/>
      <c r="KW87" s="3"/>
      <c r="KX87" s="4"/>
      <c r="KY87" s="3"/>
      <c r="KZ87" s="3"/>
      <c r="LA87" s="3"/>
      <c r="LB87" s="3"/>
      <c r="LC87" s="3"/>
      <c r="LD87" s="3"/>
      <c r="LE87" s="4"/>
      <c r="LF87" s="3"/>
      <c r="LG87" s="3"/>
      <c r="LH87" s="3"/>
      <c r="LI87" s="3"/>
      <c r="LJ87" s="3"/>
      <c r="LK87" s="3"/>
      <c r="LL87" s="4"/>
      <c r="LM87" s="3"/>
      <c r="LN87" s="3"/>
      <c r="LO87" s="3"/>
      <c r="LP87" s="3"/>
      <c r="LQ87" s="3"/>
      <c r="LR87" s="3"/>
      <c r="LS87" s="4"/>
      <c r="LT87" s="3"/>
      <c r="LU87" s="3"/>
      <c r="LV87" s="3"/>
      <c r="LW87" s="3"/>
      <c r="LX87" s="3"/>
      <c r="LY87" s="3"/>
      <c r="LZ87" s="4"/>
      <c r="MA87" s="3"/>
      <c r="MB87" s="3"/>
      <c r="MC87" s="3"/>
      <c r="MD87" s="3"/>
      <c r="ME87" s="3"/>
      <c r="MF87" s="3"/>
      <c r="MG87" s="4"/>
      <c r="MH87" s="3"/>
      <c r="MI87" s="3"/>
      <c r="MJ87" s="3"/>
      <c r="MK87" s="3"/>
      <c r="ML87" s="3"/>
      <c r="MM87" s="3"/>
      <c r="MN87" s="4"/>
    </row>
    <row r="89" spans="1:352" x14ac:dyDescent="0.25">
      <c r="B89" t="s">
        <v>200</v>
      </c>
      <c r="C89" t="s">
        <v>201</v>
      </c>
      <c r="D89" t="s">
        <v>202</v>
      </c>
      <c r="E89" t="s">
        <v>203</v>
      </c>
      <c r="F89" t="s">
        <v>208</v>
      </c>
      <c r="G89" t="s">
        <v>204</v>
      </c>
      <c r="H89" t="s">
        <v>205</v>
      </c>
      <c r="I89" t="s">
        <v>48</v>
      </c>
      <c r="J89" t="s">
        <v>407</v>
      </c>
      <c r="K89" t="s">
        <v>206</v>
      </c>
      <c r="L89" t="s">
        <v>207</v>
      </c>
    </row>
    <row r="90" spans="1:352" ht="15" customHeight="1" x14ac:dyDescent="0.25">
      <c r="A90" t="s">
        <v>17</v>
      </c>
      <c r="B90" t="s">
        <v>145</v>
      </c>
      <c r="C90">
        <v>7</v>
      </c>
      <c r="D90">
        <v>28</v>
      </c>
      <c r="E90">
        <v>35</v>
      </c>
      <c r="F90">
        <v>1</v>
      </c>
      <c r="G90" t="s">
        <v>15</v>
      </c>
      <c r="H90" t="s">
        <v>13</v>
      </c>
      <c r="I90" t="s">
        <v>188</v>
      </c>
      <c r="J90" t="s">
        <v>189</v>
      </c>
      <c r="K90" t="s">
        <v>408</v>
      </c>
      <c r="L90" s="51" t="str">
        <f>FindEnd(S36:MN36)</f>
        <v>ES</v>
      </c>
      <c r="N90" s="101"/>
      <c r="O90" s="102"/>
      <c r="P90" s="102"/>
      <c r="Q90" s="102"/>
      <c r="R90" s="103"/>
      <c r="S90" s="102"/>
      <c r="V90" s="34"/>
    </row>
    <row r="91" spans="1:352" x14ac:dyDescent="0.25">
      <c r="B91" t="s">
        <v>148</v>
      </c>
      <c r="C91">
        <v>44</v>
      </c>
      <c r="D91">
        <v>61</v>
      </c>
      <c r="E91">
        <v>65</v>
      </c>
      <c r="F91">
        <v>38</v>
      </c>
      <c r="G91" t="s">
        <v>15</v>
      </c>
      <c r="H91" t="s">
        <v>13</v>
      </c>
      <c r="I91" t="s">
        <v>188</v>
      </c>
      <c r="K91" t="s">
        <v>105</v>
      </c>
      <c r="L91" s="51" t="str">
        <f>FindEnd(S64:MN64)</f>
        <v>ES</v>
      </c>
    </row>
    <row r="92" spans="1:352" x14ac:dyDescent="0.25">
      <c r="B92" t="s">
        <v>16</v>
      </c>
      <c r="C92">
        <v>71</v>
      </c>
      <c r="D92">
        <v>74</v>
      </c>
      <c r="E92">
        <v>77</v>
      </c>
      <c r="F92">
        <v>66</v>
      </c>
      <c r="G92" t="s">
        <v>15</v>
      </c>
      <c r="H92" t="s">
        <v>13</v>
      </c>
      <c r="I92" t="s">
        <v>188</v>
      </c>
      <c r="K92" t="s">
        <v>105</v>
      </c>
      <c r="L92" s="51" t="str">
        <f>FindEnd(S76:MN76)</f>
        <v>ES</v>
      </c>
    </row>
    <row r="93" spans="1:352" x14ac:dyDescent="0.25">
      <c r="F93" s="106" t="s">
        <v>403</v>
      </c>
      <c r="K93" s="51"/>
    </row>
    <row r="94" spans="1:352" x14ac:dyDescent="0.25">
      <c r="K94" s="51"/>
    </row>
    <row r="95" spans="1:352" x14ac:dyDescent="0.25">
      <c r="K95" s="51"/>
    </row>
    <row r="96" spans="1:352" x14ac:dyDescent="0.25">
      <c r="K96" s="51"/>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row r="112" spans="1:5" x14ac:dyDescent="0.25">
      <c r="A112" s="8" t="s">
        <v>62</v>
      </c>
      <c r="B112" s="8"/>
      <c r="C112" s="31" t="s">
        <v>293</v>
      </c>
      <c r="D112"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numberStoredAsText="1"/>
    <ignoredError sqref="P31 Q7 CZ35 Q35 EA35 EJ35" formula="1"/>
    <ignoredError sqref="AI65:CV65 CY68 AI77:CV80 AI76:BL76 BN76:CV76 AI82:CV86 AI81:CR81 CT81 AI87:CR87 CT87 CY69:DF80 DA68:DF68 CY65:DF65 CY82:DF86 CY81:DA81 DC81:DD81 CY87:DA87 DC87:DD87 DI68:DO80 DI65:DO65 DS66:DW67 DR65:DW65 DI82:DO86 DI81:DJ81 DL81 DF81 DF87 DI87:DJ87 DL87 DO81 DO87 AI68:CV75 AI66:BY67 DR75:DU75 DR73:DS73 DU73 DR70:DW70 DR68:DS69 DU68:DU69 DR72:DW72 DR71:DS71 DU71 DR74:DT74 DR77:DW80 DR76:DS76 DU76 DR82:DW84 DR81:DS81 DU81 DR86:DW86 DR85:DS85 DU85:DW85 DR87:DS87 DU87 DZ68:EB68 ED68 DW75 DZ73:EB73 DZ76:EB76 ED76 DZ81:EA81 ED81 DZ85:EB85 ED85 DZ87:EA87 ED87 DZ72:ED72 ES65:MN65 EF85 EF72 DZ86:EF86 DZ82:EF84 DZ78:EF80 ED73:EF73 DZ74:EF75 EB66:EF67 DZ69:EF70 DZ65:EF65 EI65:EP65 EI69:EP70 EK66:EP66 EK67:EP67 ES69:MN87 ET66:MN66 ET67:MN67 DZ77:EE77 ES68:EW68 EY68:FD68 FF68:FH68 FJ68 FL68:MN68 EI75:EP75 EI73:EK73 EM73 EI77:EP80 EI76:EK76 EM76 EI82:EP84 EI81:EJ81 EM81 EI86:EP86 EI85:EK85 EM85 EI87:EJ87 EM87 EI68:EK68 EM68 EP68 EP73 EI74:EN74 EP74 EP76 EP81 EP85 EP87 EI72:EP72 EI71:EK71 DZ71:ED7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89</xdr:row>
                    <xdr:rowOff>28575</xdr:rowOff>
                  </from>
                  <to>
                    <xdr:col>0</xdr:col>
                    <xdr:colOff>676275</xdr:colOff>
                    <xdr:row>91</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93</xdr:row>
                    <xdr:rowOff>28575</xdr:rowOff>
                  </from>
                  <to>
                    <xdr:col>9</xdr:col>
                    <xdr:colOff>47625</xdr:colOff>
                    <xdr:row>94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30"/>
  <sheetViews>
    <sheetView workbookViewId="0">
      <selection activeCell="B6" sqref="B6"/>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5">
        <v>44087</v>
      </c>
      <c r="B5" s="74" t="s">
        <v>511</v>
      </c>
      <c r="C5" s="74"/>
    </row>
    <row r="6" spans="1:4" ht="120" x14ac:dyDescent="0.25">
      <c r="A6" s="72"/>
      <c r="B6" s="76" t="s">
        <v>510</v>
      </c>
      <c r="C6" s="74"/>
      <c r="D6" s="73"/>
    </row>
    <row r="7" spans="1:4" x14ac:dyDescent="0.25">
      <c r="A7" s="75">
        <v>44085</v>
      </c>
      <c r="B7" s="74" t="s">
        <v>496</v>
      </c>
      <c r="C7" s="74"/>
      <c r="D7" s="74" t="s">
        <v>452</v>
      </c>
    </row>
    <row r="8" spans="1:4" ht="210" x14ac:dyDescent="0.25">
      <c r="A8" s="72"/>
      <c r="B8" s="76" t="s">
        <v>498</v>
      </c>
      <c r="C8" s="74"/>
      <c r="D8" s="76" t="s">
        <v>497</v>
      </c>
    </row>
    <row r="9" spans="1:4" x14ac:dyDescent="0.25">
      <c r="A9" s="75">
        <v>44084</v>
      </c>
      <c r="B9" s="74" t="s">
        <v>493</v>
      </c>
      <c r="C9" s="74"/>
      <c r="D9" s="74" t="s">
        <v>451</v>
      </c>
    </row>
    <row r="10" spans="1:4" ht="45" x14ac:dyDescent="0.25">
      <c r="A10" s="72"/>
      <c r="B10" s="76" t="s">
        <v>494</v>
      </c>
      <c r="C10" s="74"/>
      <c r="D10" s="76" t="s">
        <v>495</v>
      </c>
    </row>
    <row r="11" spans="1:4" x14ac:dyDescent="0.25">
      <c r="A11" s="75">
        <v>44082</v>
      </c>
      <c r="B11" s="74" t="s">
        <v>468</v>
      </c>
      <c r="C11" s="74"/>
      <c r="D11" s="74" t="s">
        <v>452</v>
      </c>
    </row>
    <row r="12" spans="1:4" ht="90" x14ac:dyDescent="0.25">
      <c r="A12" s="72"/>
      <c r="B12" s="76" t="s">
        <v>489</v>
      </c>
      <c r="C12" s="74"/>
      <c r="D12" s="76" t="s">
        <v>487</v>
      </c>
    </row>
    <row r="13" spans="1:4" x14ac:dyDescent="0.25">
      <c r="A13" s="75">
        <v>44081</v>
      </c>
      <c r="B13" s="74" t="s">
        <v>485</v>
      </c>
      <c r="C13" s="74"/>
      <c r="D13" s="73"/>
    </row>
    <row r="14" spans="1:4" ht="120" x14ac:dyDescent="0.25">
      <c r="A14" s="72"/>
      <c r="B14" s="76" t="s">
        <v>488</v>
      </c>
      <c r="C14" s="74"/>
      <c r="D14" s="73"/>
    </row>
    <row r="15" spans="1:4" x14ac:dyDescent="0.25">
      <c r="A15" s="72"/>
      <c r="B15" s="73"/>
      <c r="C15" s="74"/>
      <c r="D15" s="73"/>
    </row>
    <row r="16" spans="1:4" x14ac:dyDescent="0.25">
      <c r="A16" s="75">
        <v>44078</v>
      </c>
      <c r="B16" s="74" t="s">
        <v>477</v>
      </c>
      <c r="C16" s="74"/>
      <c r="D16" s="74" t="s">
        <v>478</v>
      </c>
    </row>
    <row r="17" spans="1:4" ht="75" x14ac:dyDescent="0.25">
      <c r="A17" s="72"/>
      <c r="B17" s="76" t="s">
        <v>480</v>
      </c>
      <c r="C17" s="74"/>
      <c r="D17" s="76" t="s">
        <v>479</v>
      </c>
    </row>
    <row r="18" spans="1:4" x14ac:dyDescent="0.25">
      <c r="A18" s="75">
        <v>44077</v>
      </c>
      <c r="B18" s="74" t="s">
        <v>468</v>
      </c>
      <c r="C18" s="74"/>
      <c r="D18" s="74" t="s">
        <v>456</v>
      </c>
    </row>
    <row r="19" spans="1:4" ht="75" x14ac:dyDescent="0.25">
      <c r="A19" s="72"/>
      <c r="B19" s="76" t="s">
        <v>484</v>
      </c>
      <c r="C19" s="74"/>
      <c r="D19" s="76" t="s">
        <v>469</v>
      </c>
    </row>
    <row r="20" spans="1:4" x14ac:dyDescent="0.25">
      <c r="A20" s="75">
        <v>44075</v>
      </c>
      <c r="B20" s="74" t="s">
        <v>465</v>
      </c>
      <c r="C20" s="74"/>
      <c r="D20" s="74" t="s">
        <v>452</v>
      </c>
    </row>
    <row r="21" spans="1:4" ht="60" x14ac:dyDescent="0.25">
      <c r="A21" s="72"/>
      <c r="B21" s="76" t="s">
        <v>467</v>
      </c>
      <c r="C21" s="74"/>
      <c r="D21" s="76" t="s">
        <v>466</v>
      </c>
    </row>
    <row r="22" spans="1:4" x14ac:dyDescent="0.25">
      <c r="A22" s="75">
        <v>44074</v>
      </c>
      <c r="B22" s="74" t="s">
        <v>455</v>
      </c>
      <c r="C22" s="74"/>
      <c r="D22" s="73"/>
    </row>
    <row r="23" spans="1:4" ht="74.25" customHeight="1" x14ac:dyDescent="0.25">
      <c r="A23" s="72"/>
      <c r="B23" s="76" t="s">
        <v>460</v>
      </c>
      <c r="C23" s="74"/>
      <c r="D23" s="73"/>
    </row>
    <row r="24" spans="1:4" x14ac:dyDescent="0.25">
      <c r="A24" s="72"/>
      <c r="B24" s="73"/>
      <c r="C24" s="74"/>
      <c r="D24" s="73"/>
    </row>
    <row r="25" spans="1:4" x14ac:dyDescent="0.25">
      <c r="A25" s="75">
        <v>44071</v>
      </c>
      <c r="B25" s="74" t="s">
        <v>455</v>
      </c>
      <c r="C25" s="74"/>
      <c r="D25" s="74" t="s">
        <v>456</v>
      </c>
    </row>
    <row r="26" spans="1:4" ht="105" x14ac:dyDescent="0.25">
      <c r="A26" s="72"/>
      <c r="B26" s="76" t="s">
        <v>458</v>
      </c>
      <c r="C26" s="74"/>
      <c r="D26" s="76" t="s">
        <v>457</v>
      </c>
    </row>
    <row r="27" spans="1:4" x14ac:dyDescent="0.25">
      <c r="A27" s="75">
        <v>44070</v>
      </c>
      <c r="B27" s="74" t="s">
        <v>451</v>
      </c>
      <c r="C27" s="74"/>
      <c r="D27" s="74" t="s">
        <v>452</v>
      </c>
    </row>
    <row r="28" spans="1:4" ht="90" x14ac:dyDescent="0.25">
      <c r="A28" s="72"/>
      <c r="B28" s="76" t="s">
        <v>453</v>
      </c>
      <c r="C28" s="74"/>
      <c r="D28" s="76" t="s">
        <v>454</v>
      </c>
    </row>
    <row r="29" spans="1:4" x14ac:dyDescent="0.25">
      <c r="A29" s="75">
        <v>44068</v>
      </c>
      <c r="B29" s="74" t="s">
        <v>447</v>
      </c>
      <c r="C29" s="74"/>
      <c r="D29" s="74" t="s">
        <v>448</v>
      </c>
    </row>
    <row r="30" spans="1:4" ht="75" x14ac:dyDescent="0.25">
      <c r="A30" s="72"/>
      <c r="B30" s="76" t="s">
        <v>449</v>
      </c>
      <c r="C30" s="74"/>
      <c r="D30" s="76" t="s">
        <v>450</v>
      </c>
    </row>
    <row r="31" spans="1:4" x14ac:dyDescent="0.25">
      <c r="A31" s="72"/>
      <c r="B31" s="73"/>
      <c r="C31" s="74"/>
      <c r="D31" s="73"/>
    </row>
    <row r="32" spans="1:4" x14ac:dyDescent="0.25">
      <c r="A32" s="75">
        <v>44066</v>
      </c>
      <c r="B32" s="74" t="s">
        <v>443</v>
      </c>
      <c r="C32" s="74"/>
      <c r="D32" s="73"/>
    </row>
    <row r="33" spans="1:4" ht="60" x14ac:dyDescent="0.25">
      <c r="A33" s="72"/>
      <c r="B33" s="76" t="s">
        <v>444</v>
      </c>
      <c r="C33" s="74"/>
      <c r="D33" s="73"/>
    </row>
    <row r="34" spans="1:4" x14ac:dyDescent="0.25">
      <c r="A34" s="75">
        <v>44064</v>
      </c>
      <c r="B34" s="74" t="s">
        <v>440</v>
      </c>
      <c r="C34" s="74"/>
      <c r="D34" s="73"/>
    </row>
    <row r="35" spans="1:4" ht="90" x14ac:dyDescent="0.25">
      <c r="A35" s="72"/>
      <c r="B35" s="76" t="s">
        <v>441</v>
      </c>
      <c r="C35" s="74"/>
      <c r="D35" s="73"/>
    </row>
    <row r="36" spans="1:4" x14ac:dyDescent="0.25">
      <c r="A36" s="75">
        <v>44063</v>
      </c>
      <c r="B36" s="74" t="s">
        <v>438</v>
      </c>
      <c r="C36" s="74"/>
      <c r="D36" s="73"/>
    </row>
    <row r="37" spans="1:4" ht="75" x14ac:dyDescent="0.25">
      <c r="A37" s="72"/>
      <c r="B37" s="76" t="s">
        <v>439</v>
      </c>
      <c r="C37" s="74"/>
      <c r="D37" s="73"/>
    </row>
    <row r="38" spans="1:4" x14ac:dyDescent="0.25">
      <c r="A38" s="75">
        <v>44061</v>
      </c>
      <c r="B38" s="74" t="s">
        <v>434</v>
      </c>
      <c r="C38" s="74"/>
      <c r="D38" s="73"/>
    </row>
    <row r="39" spans="1:4" ht="120" x14ac:dyDescent="0.25">
      <c r="A39" s="72"/>
      <c r="B39" s="76" t="s">
        <v>435</v>
      </c>
      <c r="C39" s="74"/>
      <c r="D39" s="73"/>
    </row>
    <row r="40" spans="1:4" x14ac:dyDescent="0.25">
      <c r="A40" s="72"/>
      <c r="B40" s="76"/>
      <c r="C40" s="74"/>
      <c r="D40" s="73"/>
    </row>
    <row r="41" spans="1:4" x14ac:dyDescent="0.25">
      <c r="A41" s="75">
        <v>44059</v>
      </c>
      <c r="B41" s="74" t="s">
        <v>373</v>
      </c>
      <c r="C41" s="74"/>
      <c r="D41" s="73"/>
    </row>
    <row r="42" spans="1:4" ht="45" x14ac:dyDescent="0.25">
      <c r="A42" s="72"/>
      <c r="B42" s="76" t="s">
        <v>421</v>
      </c>
      <c r="C42" s="74"/>
      <c r="D42" s="73"/>
    </row>
    <row r="43" spans="1:4" x14ac:dyDescent="0.25">
      <c r="A43" s="75">
        <v>44057</v>
      </c>
      <c r="B43" s="74" t="s">
        <v>424</v>
      </c>
      <c r="C43" s="74"/>
      <c r="D43" s="73"/>
    </row>
    <row r="44" spans="1:4" ht="60" x14ac:dyDescent="0.25">
      <c r="A44" s="72"/>
      <c r="B44" s="76" t="s">
        <v>419</v>
      </c>
      <c r="C44" s="74"/>
      <c r="D44" s="73"/>
    </row>
    <row r="45" spans="1:4" x14ac:dyDescent="0.25">
      <c r="A45" s="75">
        <v>44056</v>
      </c>
      <c r="B45" s="74" t="s">
        <v>417</v>
      </c>
      <c r="C45" s="74"/>
      <c r="D45" s="73"/>
    </row>
    <row r="46" spans="1:4" x14ac:dyDescent="0.25">
      <c r="A46" s="72"/>
      <c r="B46" s="73" t="s">
        <v>418</v>
      </c>
      <c r="C46" s="74"/>
      <c r="D46" s="73"/>
    </row>
    <row r="47" spans="1:4" x14ac:dyDescent="0.25">
      <c r="A47" s="75">
        <v>44054</v>
      </c>
      <c r="B47" s="74" t="s">
        <v>415</v>
      </c>
      <c r="C47" s="74"/>
      <c r="D47" s="73"/>
    </row>
    <row r="48" spans="1:4" ht="75" x14ac:dyDescent="0.25">
      <c r="A48" s="72"/>
      <c r="B48" s="76" t="s">
        <v>416</v>
      </c>
      <c r="C48" s="74"/>
      <c r="D48" s="73"/>
    </row>
    <row r="49" spans="1:4" x14ac:dyDescent="0.25">
      <c r="A49" s="72"/>
      <c r="B49" s="73"/>
      <c r="C49" s="74"/>
      <c r="D49" s="73"/>
    </row>
    <row r="50" spans="1:4" x14ac:dyDescent="0.25">
      <c r="A50" s="75">
        <v>44052</v>
      </c>
      <c r="B50" s="74" t="s">
        <v>347</v>
      </c>
      <c r="C50" s="74"/>
      <c r="D50" s="73"/>
    </row>
    <row r="51" spans="1:4" ht="90" x14ac:dyDescent="0.25">
      <c r="A51" s="72"/>
      <c r="B51" s="76" t="s">
        <v>410</v>
      </c>
      <c r="C51" s="74"/>
      <c r="D51" s="73"/>
    </row>
    <row r="52" spans="1:4" x14ac:dyDescent="0.25">
      <c r="A52" s="75">
        <v>44050</v>
      </c>
      <c r="B52" s="74" t="s">
        <v>397</v>
      </c>
      <c r="C52" s="74"/>
      <c r="D52" s="73"/>
    </row>
    <row r="53" spans="1:4" ht="90" x14ac:dyDescent="0.25">
      <c r="A53" s="72"/>
      <c r="B53" s="76" t="s">
        <v>400</v>
      </c>
      <c r="C53" s="74"/>
      <c r="D53" s="73"/>
    </row>
    <row r="54" spans="1:4" x14ac:dyDescent="0.25">
      <c r="A54" s="75">
        <v>44049</v>
      </c>
      <c r="B54" s="74" t="s">
        <v>402</v>
      </c>
      <c r="C54" s="74"/>
      <c r="D54" s="73"/>
    </row>
    <row r="55" spans="1:4" ht="75" x14ac:dyDescent="0.25">
      <c r="A55" s="72"/>
      <c r="B55" s="76" t="s">
        <v>401</v>
      </c>
      <c r="C55" s="74"/>
      <c r="D55" s="73"/>
    </row>
    <row r="56" spans="1:4" x14ac:dyDescent="0.25">
      <c r="A56" s="75">
        <v>44047</v>
      </c>
      <c r="B56" s="74" t="s">
        <v>397</v>
      </c>
      <c r="C56" s="74"/>
      <c r="D56" s="73"/>
    </row>
    <row r="57" spans="1:4" ht="90" x14ac:dyDescent="0.25">
      <c r="A57" s="72"/>
      <c r="B57" s="76" t="s">
        <v>398</v>
      </c>
      <c r="C57" s="74"/>
      <c r="D57" s="73"/>
    </row>
    <row r="58" spans="1:4" x14ac:dyDescent="0.25">
      <c r="A58" s="72"/>
      <c r="B58" s="73"/>
      <c r="C58" s="74"/>
      <c r="D58" s="73"/>
    </row>
    <row r="59" spans="1:4" x14ac:dyDescent="0.25">
      <c r="A59" s="75">
        <v>44045</v>
      </c>
      <c r="B59" s="74" t="s">
        <v>395</v>
      </c>
      <c r="C59" s="74"/>
      <c r="D59" s="73"/>
    </row>
    <row r="60" spans="1:4" ht="60" x14ac:dyDescent="0.25">
      <c r="A60" s="72"/>
      <c r="B60" s="76" t="s">
        <v>396</v>
      </c>
      <c r="C60" s="74"/>
      <c r="D60" s="73"/>
    </row>
    <row r="61" spans="1:4" x14ac:dyDescent="0.25">
      <c r="A61" s="75">
        <v>44042</v>
      </c>
      <c r="B61" s="74" t="s">
        <v>391</v>
      </c>
      <c r="C61" s="74"/>
      <c r="D61" s="73"/>
    </row>
    <row r="62" spans="1:4" ht="45" x14ac:dyDescent="0.25">
      <c r="A62" s="72"/>
      <c r="B62" s="76" t="s">
        <v>390</v>
      </c>
      <c r="C62" s="74"/>
      <c r="D62" s="73"/>
    </row>
    <row r="63" spans="1:4" x14ac:dyDescent="0.25">
      <c r="A63" s="72"/>
      <c r="B63" s="73"/>
      <c r="C63" s="74"/>
      <c r="D63" s="73"/>
    </row>
    <row r="64" spans="1:4" x14ac:dyDescent="0.25">
      <c r="A64" s="75">
        <v>44038</v>
      </c>
      <c r="B64" s="74" t="s">
        <v>386</v>
      </c>
      <c r="C64" s="74"/>
      <c r="D64" s="73"/>
    </row>
    <row r="65" spans="1:4" ht="60" x14ac:dyDescent="0.25">
      <c r="A65" s="72"/>
      <c r="B65" s="76" t="s">
        <v>387</v>
      </c>
      <c r="C65" s="74"/>
      <c r="D65" s="73"/>
    </row>
    <row r="66" spans="1:4" x14ac:dyDescent="0.25">
      <c r="A66" s="75">
        <v>44035</v>
      </c>
      <c r="B66" s="74" t="s">
        <v>375</v>
      </c>
      <c r="C66" s="74"/>
      <c r="D66" s="73"/>
    </row>
    <row r="67" spans="1:4" ht="45" x14ac:dyDescent="0.25">
      <c r="A67" s="72"/>
      <c r="B67" s="76" t="s">
        <v>374</v>
      </c>
      <c r="C67" s="74"/>
      <c r="D67" s="73"/>
    </row>
    <row r="68" spans="1:4" x14ac:dyDescent="0.25">
      <c r="A68" s="72"/>
      <c r="B68" s="73"/>
      <c r="C68" s="74"/>
      <c r="D68" s="73"/>
    </row>
    <row r="69" spans="1:4" x14ac:dyDescent="0.25">
      <c r="A69" s="75">
        <v>44031</v>
      </c>
      <c r="B69" s="74" t="s">
        <v>371</v>
      </c>
      <c r="C69" s="74"/>
      <c r="D69" s="74" t="s">
        <v>373</v>
      </c>
    </row>
    <row r="70" spans="1:4" ht="30" x14ac:dyDescent="0.25">
      <c r="A70" s="72"/>
      <c r="B70" s="76" t="s">
        <v>372</v>
      </c>
      <c r="C70" s="74"/>
      <c r="D70" s="73" t="s">
        <v>348</v>
      </c>
    </row>
    <row r="71" spans="1:4" x14ac:dyDescent="0.25">
      <c r="A71" s="75">
        <v>44028</v>
      </c>
      <c r="B71" s="74" t="s">
        <v>353</v>
      </c>
      <c r="C71" s="74"/>
      <c r="D71" s="73"/>
    </row>
    <row r="72" spans="1:4" x14ac:dyDescent="0.25">
      <c r="A72" s="72"/>
      <c r="B72" s="73" t="s">
        <v>354</v>
      </c>
      <c r="C72" s="74"/>
      <c r="D72" s="73"/>
    </row>
    <row r="73" spans="1:4" x14ac:dyDescent="0.25">
      <c r="A73" s="75">
        <v>44026</v>
      </c>
      <c r="B73" s="74" t="s">
        <v>351</v>
      </c>
      <c r="C73" s="74"/>
      <c r="D73" s="73"/>
    </row>
    <row r="74" spans="1:4" x14ac:dyDescent="0.25">
      <c r="A74" s="72"/>
      <c r="B74" s="73" t="s">
        <v>7</v>
      </c>
      <c r="C74" s="74"/>
      <c r="D74" s="73"/>
    </row>
    <row r="75" spans="1:4" x14ac:dyDescent="0.25">
      <c r="A75" s="72"/>
      <c r="B75" s="73"/>
      <c r="C75" s="74"/>
      <c r="D75" s="73"/>
    </row>
    <row r="76" spans="1:4" x14ac:dyDescent="0.25">
      <c r="A76" s="75">
        <v>44024</v>
      </c>
      <c r="B76" s="74" t="s">
        <v>347</v>
      </c>
      <c r="C76" s="74"/>
      <c r="D76" s="74" t="s">
        <v>350</v>
      </c>
    </row>
    <row r="77" spans="1:4" ht="30" x14ac:dyDescent="0.25">
      <c r="A77" s="72"/>
      <c r="B77" s="76" t="s">
        <v>355</v>
      </c>
      <c r="C77" s="74"/>
      <c r="D77" s="73" t="s">
        <v>348</v>
      </c>
    </row>
    <row r="78" spans="1:4" x14ac:dyDescent="0.25">
      <c r="A78" s="75">
        <v>44022</v>
      </c>
      <c r="B78" s="76"/>
      <c r="C78" s="74"/>
      <c r="D78" s="74" t="s">
        <v>351</v>
      </c>
    </row>
    <row r="79" spans="1:4" x14ac:dyDescent="0.25">
      <c r="A79" s="72"/>
      <c r="B79" s="76"/>
      <c r="C79" s="74"/>
      <c r="D79" s="73" t="s">
        <v>352</v>
      </c>
    </row>
    <row r="80" spans="1:4" x14ac:dyDescent="0.25">
      <c r="A80" s="75">
        <v>44021</v>
      </c>
      <c r="B80" s="74" t="s">
        <v>242</v>
      </c>
      <c r="C80" s="74"/>
      <c r="D80" s="74" t="s">
        <v>296</v>
      </c>
    </row>
    <row r="81" spans="1:4" x14ac:dyDescent="0.25">
      <c r="A81" s="72"/>
      <c r="B81" s="73" t="s">
        <v>346</v>
      </c>
      <c r="C81" s="74"/>
      <c r="D81" s="73" t="s">
        <v>345</v>
      </c>
    </row>
    <row r="82" spans="1:4" x14ac:dyDescent="0.25">
      <c r="A82" s="75">
        <v>44019</v>
      </c>
      <c r="B82" s="74" t="s">
        <v>242</v>
      </c>
      <c r="C82" s="74"/>
      <c r="D82" s="74" t="s">
        <v>296</v>
      </c>
    </row>
    <row r="83" spans="1:4" x14ac:dyDescent="0.25">
      <c r="A83" s="72"/>
      <c r="B83" s="73" t="s">
        <v>300</v>
      </c>
      <c r="C83" s="74"/>
      <c r="D83" s="73" t="s">
        <v>315</v>
      </c>
    </row>
    <row r="84" spans="1:4" x14ac:dyDescent="0.25">
      <c r="A84" s="72"/>
      <c r="B84" s="73"/>
      <c r="C84" s="74"/>
      <c r="D84" s="73"/>
    </row>
    <row r="85" spans="1:4" x14ac:dyDescent="0.25">
      <c r="A85" s="75">
        <v>44015</v>
      </c>
      <c r="B85" s="74" t="s">
        <v>246</v>
      </c>
      <c r="C85" s="74"/>
      <c r="D85" s="73"/>
    </row>
    <row r="86" spans="1:4" ht="75.75" customHeight="1" x14ac:dyDescent="0.25">
      <c r="A86" s="72"/>
      <c r="B86" s="76" t="s">
        <v>314</v>
      </c>
      <c r="C86" s="74"/>
      <c r="D86" s="73"/>
    </row>
    <row r="87" spans="1:4" x14ac:dyDescent="0.25">
      <c r="A87" s="75">
        <v>44014</v>
      </c>
      <c r="B87" s="74" t="s">
        <v>264</v>
      </c>
      <c r="C87" s="74"/>
      <c r="D87" s="74" t="s">
        <v>307</v>
      </c>
    </row>
    <row r="88" spans="1:4" ht="75" x14ac:dyDescent="0.25">
      <c r="A88" s="72"/>
      <c r="B88" s="76" t="s">
        <v>309</v>
      </c>
      <c r="C88" s="74"/>
      <c r="D88" s="76" t="s">
        <v>308</v>
      </c>
    </row>
    <row r="89" spans="1:4" x14ac:dyDescent="0.25">
      <c r="A89" s="75">
        <v>44012</v>
      </c>
      <c r="B89" s="74" t="s">
        <v>264</v>
      </c>
      <c r="C89" s="74"/>
      <c r="D89" s="74" t="s">
        <v>246</v>
      </c>
    </row>
    <row r="90" spans="1:4" ht="45" x14ac:dyDescent="0.25">
      <c r="A90" s="72"/>
      <c r="B90" s="76" t="s">
        <v>301</v>
      </c>
      <c r="C90" s="74"/>
      <c r="D90" s="73" t="s">
        <v>300</v>
      </c>
    </row>
    <row r="91" spans="1:4" x14ac:dyDescent="0.25">
      <c r="A91" s="72"/>
      <c r="B91" s="73"/>
      <c r="C91" s="74"/>
      <c r="D91" s="73"/>
    </row>
    <row r="92" spans="1:4" x14ac:dyDescent="0.25">
      <c r="A92" s="75">
        <v>44008</v>
      </c>
      <c r="B92" s="74" t="s">
        <v>216</v>
      </c>
      <c r="C92" s="74"/>
      <c r="D92" s="73"/>
    </row>
    <row r="93" spans="1:4" ht="105" x14ac:dyDescent="0.25">
      <c r="A93" s="72"/>
      <c r="B93" s="76" t="s">
        <v>297</v>
      </c>
      <c r="C93" s="74"/>
      <c r="D93" s="73"/>
    </row>
    <row r="94" spans="1:4" x14ac:dyDescent="0.25">
      <c r="A94" s="75">
        <v>44007</v>
      </c>
      <c r="B94" s="74" t="s">
        <v>295</v>
      </c>
      <c r="C94" s="74"/>
      <c r="D94" s="74" t="s">
        <v>296</v>
      </c>
    </row>
    <row r="95" spans="1:4" ht="60" x14ac:dyDescent="0.25">
      <c r="A95" s="72"/>
      <c r="B95" s="76" t="s">
        <v>292</v>
      </c>
      <c r="C95" s="74"/>
      <c r="D95" s="76" t="s">
        <v>266</v>
      </c>
    </row>
    <row r="96" spans="1:4" x14ac:dyDescent="0.25">
      <c r="A96" s="75">
        <v>44006</v>
      </c>
      <c r="B96" s="74" t="s">
        <v>290</v>
      </c>
      <c r="C96" s="74"/>
      <c r="D96" s="74" t="s">
        <v>291</v>
      </c>
    </row>
    <row r="97" spans="1:4" x14ac:dyDescent="0.25">
      <c r="A97" s="72"/>
      <c r="B97" s="73" t="s">
        <v>289</v>
      </c>
      <c r="C97" s="74"/>
      <c r="D97" s="73" t="s">
        <v>289</v>
      </c>
    </row>
    <row r="98" spans="1:4" x14ac:dyDescent="0.25">
      <c r="A98" s="75">
        <v>44005</v>
      </c>
      <c r="B98" s="74" t="s">
        <v>264</v>
      </c>
      <c r="C98" s="74"/>
      <c r="D98" s="74" t="s">
        <v>246</v>
      </c>
    </row>
    <row r="99" spans="1:4" ht="45" x14ac:dyDescent="0.25">
      <c r="A99" s="72"/>
      <c r="B99" s="73" t="s">
        <v>265</v>
      </c>
      <c r="C99" s="74"/>
      <c r="D99" s="76" t="s">
        <v>266</v>
      </c>
    </row>
    <row r="100" spans="1:4" x14ac:dyDescent="0.25">
      <c r="A100" s="72"/>
      <c r="B100" s="73"/>
      <c r="C100" s="74"/>
      <c r="D100" s="73"/>
    </row>
    <row r="101" spans="1:4" x14ac:dyDescent="0.25">
      <c r="A101" s="75">
        <v>44001</v>
      </c>
      <c r="B101" s="74" t="s">
        <v>246</v>
      </c>
      <c r="C101" s="74"/>
      <c r="D101" s="73"/>
    </row>
    <row r="102" spans="1:4" ht="135" x14ac:dyDescent="0.25">
      <c r="A102" s="72"/>
      <c r="B102" s="76" t="s">
        <v>262</v>
      </c>
      <c r="C102" s="74"/>
      <c r="D102" s="73"/>
    </row>
    <row r="103" spans="1:4" x14ac:dyDescent="0.25">
      <c r="A103" s="75">
        <v>44000</v>
      </c>
      <c r="B103" s="74" t="s">
        <v>242</v>
      </c>
      <c r="C103" s="74"/>
      <c r="D103" s="74" t="s">
        <v>259</v>
      </c>
    </row>
    <row r="104" spans="1:4" ht="105" x14ac:dyDescent="0.25">
      <c r="A104" s="72"/>
      <c r="B104" s="76" t="s">
        <v>261</v>
      </c>
      <c r="C104" s="74"/>
      <c r="D104" s="76" t="s">
        <v>260</v>
      </c>
    </row>
    <row r="105" spans="1:4" x14ac:dyDescent="0.25">
      <c r="A105" s="75">
        <v>43998</v>
      </c>
      <c r="B105" s="74" t="s">
        <v>213</v>
      </c>
      <c r="C105" s="74"/>
      <c r="D105" s="74" t="s">
        <v>256</v>
      </c>
    </row>
    <row r="106" spans="1:4" ht="120" x14ac:dyDescent="0.25">
      <c r="A106" s="72"/>
      <c r="B106" s="76" t="s">
        <v>257</v>
      </c>
      <c r="C106" s="74"/>
      <c r="D106" s="1" t="s">
        <v>258</v>
      </c>
    </row>
    <row r="107" spans="1:4" x14ac:dyDescent="0.25">
      <c r="A107" s="72"/>
      <c r="B107" s="73"/>
      <c r="C107" s="74"/>
      <c r="D107" s="73"/>
    </row>
    <row r="108" spans="1:4" x14ac:dyDescent="0.25">
      <c r="A108" s="75">
        <v>43994</v>
      </c>
      <c r="B108" s="74" t="s">
        <v>254</v>
      </c>
      <c r="C108" s="74"/>
      <c r="D108" s="73"/>
    </row>
    <row r="109" spans="1:4" ht="75" x14ac:dyDescent="0.25">
      <c r="A109" s="72"/>
      <c r="B109" s="76" t="s">
        <v>255</v>
      </c>
      <c r="C109" s="74"/>
      <c r="D109" s="73"/>
    </row>
    <row r="110" spans="1:4" x14ac:dyDescent="0.25">
      <c r="A110" s="75">
        <v>43993</v>
      </c>
      <c r="B110" s="74" t="s">
        <v>213</v>
      </c>
      <c r="C110" s="74"/>
      <c r="D110" s="74" t="s">
        <v>251</v>
      </c>
    </row>
    <row r="111" spans="1:4" ht="120" x14ac:dyDescent="0.25">
      <c r="A111" s="72"/>
      <c r="B111" s="69" t="s">
        <v>252</v>
      </c>
      <c r="C111" s="74"/>
      <c r="D111" s="76" t="s">
        <v>253</v>
      </c>
    </row>
    <row r="112" spans="1:4" x14ac:dyDescent="0.25">
      <c r="A112" s="75">
        <v>43991</v>
      </c>
      <c r="B112" s="74" t="s">
        <v>242</v>
      </c>
      <c r="C112" s="74"/>
      <c r="D112" s="74" t="s">
        <v>246</v>
      </c>
    </row>
    <row r="113" spans="1:4" ht="105" x14ac:dyDescent="0.25">
      <c r="A113" s="66"/>
      <c r="B113" s="67" t="s">
        <v>243</v>
      </c>
      <c r="C113" s="68"/>
      <c r="D113" s="69" t="s">
        <v>247</v>
      </c>
    </row>
    <row r="114" spans="1:4" x14ac:dyDescent="0.25">
      <c r="A114" s="66"/>
      <c r="B114" s="67"/>
      <c r="C114" s="68"/>
      <c r="D114" s="69"/>
    </row>
    <row r="115" spans="1:4" x14ac:dyDescent="0.25">
      <c r="A115" s="46">
        <v>43987</v>
      </c>
      <c r="B115" s="41" t="s">
        <v>213</v>
      </c>
    </row>
    <row r="116" spans="1:4" ht="195.75" customHeight="1" x14ac:dyDescent="0.25">
      <c r="B116" s="1" t="s">
        <v>215</v>
      </c>
    </row>
    <row r="117" spans="1:4" x14ac:dyDescent="0.25">
      <c r="A117" s="46">
        <v>43986</v>
      </c>
      <c r="B117" s="41" t="s">
        <v>216</v>
      </c>
    </row>
    <row r="118" spans="1:4" ht="165" customHeight="1" x14ac:dyDescent="0.25">
      <c r="B118" s="1" t="s">
        <v>214</v>
      </c>
    </row>
    <row r="119" spans="1:4" x14ac:dyDescent="0.25">
      <c r="A119" s="46">
        <v>43984</v>
      </c>
      <c r="B119" s="41" t="s">
        <v>223</v>
      </c>
    </row>
    <row r="120" spans="1:4" ht="120" x14ac:dyDescent="0.25">
      <c r="B120" s="1" t="s">
        <v>222</v>
      </c>
    </row>
    <row r="122" spans="1:4" x14ac:dyDescent="0.25">
      <c r="A122" s="46">
        <v>43980</v>
      </c>
      <c r="B122" s="41" t="s">
        <v>217</v>
      </c>
    </row>
    <row r="123" spans="1:4" ht="165" x14ac:dyDescent="0.25">
      <c r="B123" s="1" t="s">
        <v>221</v>
      </c>
    </row>
    <row r="124" spans="1:4" x14ac:dyDescent="0.25">
      <c r="A124" s="46">
        <v>43978</v>
      </c>
      <c r="B124" s="41" t="s">
        <v>220</v>
      </c>
    </row>
    <row r="125" spans="1:4" ht="120" x14ac:dyDescent="0.25">
      <c r="B125" s="1" t="s">
        <v>219</v>
      </c>
    </row>
    <row r="126" spans="1:4" x14ac:dyDescent="0.25">
      <c r="A126" s="46">
        <v>43977</v>
      </c>
      <c r="B126" s="41" t="s">
        <v>217</v>
      </c>
    </row>
    <row r="127" spans="1:4" ht="90" x14ac:dyDescent="0.25">
      <c r="B127" s="1" t="s">
        <v>218</v>
      </c>
    </row>
    <row r="129" spans="1:2" x14ac:dyDescent="0.25">
      <c r="A129" s="46">
        <v>43975</v>
      </c>
      <c r="B129" s="41" t="s">
        <v>198</v>
      </c>
    </row>
    <row r="130" spans="1:2" ht="60" x14ac:dyDescent="0.25">
      <c r="B130"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tabSelected="1"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5" t="s">
        <v>499</v>
      </c>
      <c r="B1" s="145" t="s">
        <v>500</v>
      </c>
      <c r="C1" s="145" t="s">
        <v>501</v>
      </c>
    </row>
    <row r="2" spans="1:3" hidden="1" x14ac:dyDescent="0.25">
      <c r="A2" t="s">
        <v>502</v>
      </c>
      <c r="B2" t="s">
        <v>503</v>
      </c>
      <c r="C2" t="s">
        <v>506</v>
      </c>
    </row>
    <row r="3" spans="1:3" ht="285" x14ac:dyDescent="0.25">
      <c r="A3" s="76" t="s">
        <v>512</v>
      </c>
      <c r="B3" s="76" t="s">
        <v>504</v>
      </c>
      <c r="C3" s="76" t="s">
        <v>505</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436</v>
      </c>
    </row>
    <row r="2" spans="1:5" hidden="1" x14ac:dyDescent="0.25">
      <c r="A2" s="52" t="s">
        <v>151</v>
      </c>
      <c r="B2" s="52" t="s">
        <v>153</v>
      </c>
      <c r="C2" s="1" t="s">
        <v>310</v>
      </c>
      <c r="E2" t="s">
        <v>311</v>
      </c>
    </row>
    <row r="3" spans="1:5" ht="60" x14ac:dyDescent="0.25">
      <c r="A3" s="52" t="s">
        <v>20</v>
      </c>
      <c r="B3" s="52" t="s">
        <v>149</v>
      </c>
      <c r="C3" s="1" t="s">
        <v>507</v>
      </c>
    </row>
    <row r="4" spans="1:5" ht="30" x14ac:dyDescent="0.25">
      <c r="A4" s="52" t="s">
        <v>178</v>
      </c>
      <c r="B4" s="52" t="s">
        <v>179</v>
      </c>
      <c r="C4" s="1" t="s">
        <v>316</v>
      </c>
    </row>
    <row r="5" spans="1:5" ht="30" x14ac:dyDescent="0.25">
      <c r="A5" s="52" t="s">
        <v>161</v>
      </c>
      <c r="B5" s="52" t="s">
        <v>176</v>
      </c>
      <c r="C5" s="1" t="s">
        <v>228</v>
      </c>
    </row>
    <row r="6" spans="1:5" x14ac:dyDescent="0.25">
      <c r="A6" s="52" t="s">
        <v>388</v>
      </c>
      <c r="B6" s="52" t="s">
        <v>239</v>
      </c>
      <c r="C6" s="1" t="s">
        <v>490</v>
      </c>
    </row>
    <row r="7" spans="1:5" ht="45" x14ac:dyDescent="0.25">
      <c r="A7" s="52" t="s">
        <v>423</v>
      </c>
      <c r="B7" s="52" t="s">
        <v>163</v>
      </c>
      <c r="C7" s="1" t="s">
        <v>304</v>
      </c>
    </row>
    <row r="8" spans="1:5" hidden="1" x14ac:dyDescent="0.25">
      <c r="A8" s="52" t="s">
        <v>178</v>
      </c>
      <c r="B8" s="52" t="s">
        <v>180</v>
      </c>
    </row>
    <row r="9" spans="1:5" hidden="1" x14ac:dyDescent="0.25">
      <c r="A9" s="52" t="s">
        <v>172</v>
      </c>
      <c r="B9" s="52" t="s">
        <v>174</v>
      </c>
      <c r="C9" s="1" t="s">
        <v>229</v>
      </c>
      <c r="E9" t="s">
        <v>312</v>
      </c>
    </row>
    <row r="10" spans="1:5" ht="30" x14ac:dyDescent="0.25">
      <c r="A10" s="52" t="s">
        <v>231</v>
      </c>
      <c r="B10" s="52" t="s">
        <v>233</v>
      </c>
      <c r="C10" s="1" t="s">
        <v>461</v>
      </c>
    </row>
    <row r="11" spans="1:5" ht="45" x14ac:dyDescent="0.25">
      <c r="A11" s="52" t="s">
        <v>509</v>
      </c>
      <c r="B11" s="52" t="s">
        <v>158</v>
      </c>
      <c r="C11" s="1" t="s">
        <v>437</v>
      </c>
    </row>
    <row r="12" spans="1:5" ht="45" x14ac:dyDescent="0.25">
      <c r="A12" s="52" t="s">
        <v>226</v>
      </c>
      <c r="B12" s="52" t="s">
        <v>160</v>
      </c>
      <c r="C12" s="1" t="s">
        <v>305</v>
      </c>
    </row>
    <row r="13" spans="1:5" ht="30" x14ac:dyDescent="0.25">
      <c r="A13" s="52" t="s">
        <v>155</v>
      </c>
      <c r="B13" s="52" t="s">
        <v>156</v>
      </c>
      <c r="C13" s="1" t="s">
        <v>303</v>
      </c>
    </row>
    <row r="14" spans="1:5" ht="30" x14ac:dyDescent="0.25">
      <c r="A14" s="52" t="s">
        <v>227</v>
      </c>
      <c r="B14" s="52" t="s">
        <v>143</v>
      </c>
      <c r="C14" s="1" t="s">
        <v>357</v>
      </c>
    </row>
    <row r="15" spans="1:5" ht="30" x14ac:dyDescent="0.25">
      <c r="A15" s="52" t="s">
        <v>141</v>
      </c>
      <c r="B15" s="52" t="s">
        <v>140</v>
      </c>
      <c r="C15" s="1" t="s">
        <v>306</v>
      </c>
    </row>
    <row r="16" spans="1:5" hidden="1" x14ac:dyDescent="0.25">
      <c r="A16" s="52" t="s">
        <v>162</v>
      </c>
      <c r="B16" s="52" t="s">
        <v>187</v>
      </c>
    </row>
    <row r="17" spans="1:5" ht="30" x14ac:dyDescent="0.25">
      <c r="A17" s="52" t="s">
        <v>137</v>
      </c>
      <c r="B17" s="52" t="s">
        <v>136</v>
      </c>
      <c r="C17" s="1" t="s">
        <v>224</v>
      </c>
    </row>
    <row r="18" spans="1:5" ht="45" x14ac:dyDescent="0.25">
      <c r="A18" s="52" t="s">
        <v>133</v>
      </c>
      <c r="B18" s="52" t="s">
        <v>170</v>
      </c>
      <c r="C18" s="1" t="s">
        <v>422</v>
      </c>
      <c r="E18" t="s">
        <v>313</v>
      </c>
    </row>
    <row r="19" spans="1:5" ht="30" x14ac:dyDescent="0.25">
      <c r="A19" s="52" t="s">
        <v>508</v>
      </c>
      <c r="B19" s="52" t="s">
        <v>168</v>
      </c>
      <c r="C19" s="1" t="s">
        <v>302</v>
      </c>
      <c r="E19" t="s">
        <v>356</v>
      </c>
    </row>
    <row r="20" spans="1:5" ht="30" x14ac:dyDescent="0.25">
      <c r="A20" s="52" t="s">
        <v>22</v>
      </c>
      <c r="B20" s="52" t="s">
        <v>184</v>
      </c>
      <c r="C20" s="1" t="s">
        <v>358</v>
      </c>
    </row>
    <row r="21" spans="1:5" hidden="1" x14ac:dyDescent="0.25">
      <c r="A21" s="52" t="s">
        <v>129</v>
      </c>
      <c r="B21" s="52" t="s">
        <v>165</v>
      </c>
    </row>
    <row r="22" spans="1:5" x14ac:dyDescent="0.25">
      <c r="A22" s="52" t="s">
        <v>132</v>
      </c>
      <c r="B22" s="52" t="s">
        <v>131</v>
      </c>
      <c r="C22"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3" t="s">
        <v>341</v>
      </c>
      <c r="B1" s="163"/>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63" t="s">
        <v>342</v>
      </c>
      <c r="B7" s="163"/>
    </row>
    <row r="8" spans="1:2" ht="15.75" x14ac:dyDescent="0.25">
      <c r="A8" s="161" t="s">
        <v>333</v>
      </c>
      <c r="B8" s="161"/>
    </row>
    <row r="9" spans="1:2" x14ac:dyDescent="0.25">
      <c r="A9" t="s">
        <v>334</v>
      </c>
    </row>
    <row r="11" spans="1:2" ht="15.75" x14ac:dyDescent="0.25">
      <c r="A11" s="162" t="s">
        <v>330</v>
      </c>
      <c r="B11" s="162"/>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60" t="s">
        <v>343</v>
      </c>
      <c r="B23" s="160"/>
    </row>
    <row r="25" spans="1:2" ht="15.75" x14ac:dyDescent="0.25">
      <c r="A25" s="161" t="s">
        <v>335</v>
      </c>
      <c r="B25" s="161"/>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64" t="s">
        <v>298</v>
      </c>
      <c r="C5" s="165"/>
      <c r="D5" s="165"/>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c r="AS5" s="16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row>
    <row r="6" spans="1:70" x14ac:dyDescent="0.25">
      <c r="C6" s="2" t="s">
        <v>3</v>
      </c>
    </row>
    <row r="7" spans="1:70" ht="45" customHeight="1" x14ac:dyDescent="0.25">
      <c r="C7" s="164" t="s">
        <v>282</v>
      </c>
      <c r="D7" s="165"/>
      <c r="E7" s="165"/>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row>
    <row r="8" spans="1:70" x14ac:dyDescent="0.25">
      <c r="C8" s="2" t="s">
        <v>4</v>
      </c>
    </row>
    <row r="9" spans="1:70" ht="75" customHeight="1" x14ac:dyDescent="0.25">
      <c r="C9" s="164" t="s">
        <v>275</v>
      </c>
      <c r="D9" s="165"/>
      <c r="E9" s="165"/>
      <c r="F9" s="165"/>
      <c r="G9" s="165"/>
      <c r="H9" s="165"/>
      <c r="I9" s="165"/>
      <c r="J9" s="165"/>
      <c r="K9" s="165"/>
      <c r="L9" s="165"/>
      <c r="M9" s="165"/>
      <c r="N9" s="165"/>
      <c r="O9" s="165"/>
      <c r="P9" s="165"/>
      <c r="Q9" s="165"/>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c r="BF9" s="165"/>
      <c r="BG9" s="165"/>
      <c r="BH9" s="165"/>
      <c r="BI9" s="165"/>
      <c r="BJ9" s="165"/>
      <c r="BK9" s="165"/>
      <c r="BL9" s="165"/>
      <c r="BM9" s="165"/>
      <c r="BN9" s="165"/>
      <c r="BO9" s="165"/>
      <c r="BP9" s="165"/>
      <c r="BQ9" s="165"/>
      <c r="BR9" s="165"/>
    </row>
    <row r="10" spans="1:70" x14ac:dyDescent="0.25">
      <c r="C10" s="2" t="s">
        <v>5</v>
      </c>
    </row>
    <row r="11" spans="1:70" ht="75" customHeight="1" x14ac:dyDescent="0.25">
      <c r="C11" s="164" t="s">
        <v>299</v>
      </c>
      <c r="D11" s="165"/>
      <c r="E11" s="165"/>
      <c r="F11" s="165"/>
      <c r="G11" s="165"/>
      <c r="H11" s="165"/>
      <c r="I11" s="165"/>
      <c r="J11" s="165"/>
      <c r="K11" s="165"/>
      <c r="L11" s="165"/>
      <c r="M11" s="165"/>
      <c r="N11" s="165"/>
      <c r="O11" s="165"/>
      <c r="P11" s="165"/>
      <c r="Q11" s="165"/>
      <c r="R11" s="165"/>
      <c r="S11" s="165"/>
      <c r="T11" s="165"/>
      <c r="U11" s="165"/>
      <c r="V11" s="165"/>
      <c r="W11" s="165"/>
      <c r="X11" s="165"/>
      <c r="Y11" s="165"/>
      <c r="Z11" s="165"/>
      <c r="AA11" s="165"/>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c r="BF11" s="165"/>
      <c r="BG11" s="165"/>
      <c r="BH11" s="165"/>
      <c r="BI11" s="165"/>
      <c r="BJ11" s="165"/>
      <c r="BK11" s="165"/>
      <c r="BL11" s="165"/>
      <c r="BM11" s="165"/>
      <c r="BN11" s="165"/>
      <c r="BO11" s="165"/>
      <c r="BP11" s="165"/>
      <c r="BQ11" s="165"/>
      <c r="BR11" s="165"/>
    </row>
    <row r="12" spans="1:70" x14ac:dyDescent="0.25">
      <c r="C12" s="2" t="s">
        <v>6</v>
      </c>
    </row>
    <row r="13" spans="1:70" ht="90.75" customHeight="1" x14ac:dyDescent="0.25">
      <c r="C13" s="164" t="s">
        <v>286</v>
      </c>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row>
    <row r="14" spans="1:70" x14ac:dyDescent="0.25">
      <c r="D14" s="2" t="s">
        <v>285</v>
      </c>
    </row>
    <row r="15" spans="1:70" ht="62.25" customHeight="1" x14ac:dyDescent="0.25">
      <c r="D15" s="164" t="s">
        <v>288</v>
      </c>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c r="BJ15" s="164"/>
      <c r="BK15" s="164"/>
      <c r="BL15" s="164"/>
      <c r="BM15" s="164"/>
      <c r="BN15" s="164"/>
      <c r="BO15" s="164"/>
      <c r="BP15" s="164"/>
      <c r="BQ15" s="164"/>
      <c r="BR15" s="164"/>
    </row>
    <row r="16" spans="1:70" x14ac:dyDescent="0.25">
      <c r="D16" s="2" t="s">
        <v>196</v>
      </c>
    </row>
    <row r="17" spans="1:70" ht="47.25" customHeight="1" x14ac:dyDescent="0.25">
      <c r="D17" s="164" t="s">
        <v>268</v>
      </c>
      <c r="E17" s="164"/>
      <c r="F17" s="164"/>
      <c r="G17" s="164"/>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c r="BJ17" s="164"/>
      <c r="BK17" s="164"/>
      <c r="BL17" s="164"/>
      <c r="BM17" s="164"/>
      <c r="BN17" s="164"/>
      <c r="BO17" s="164"/>
      <c r="BP17" s="164"/>
      <c r="BQ17" s="164"/>
      <c r="BR17" s="164"/>
    </row>
    <row r="18" spans="1:70" ht="15.75" customHeight="1" x14ac:dyDescent="0.25">
      <c r="D18" s="166" t="s">
        <v>267</v>
      </c>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row>
    <row r="19" spans="1:70" ht="45.75" customHeight="1" x14ac:dyDescent="0.25">
      <c r="D19" s="164" t="s">
        <v>276</v>
      </c>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c r="AR19" s="164"/>
      <c r="AS19" s="164"/>
      <c r="AT19" s="164"/>
      <c r="AU19" s="164"/>
      <c r="AV19" s="164"/>
      <c r="AW19" s="164"/>
      <c r="AX19" s="164"/>
      <c r="AY19" s="164"/>
      <c r="AZ19" s="164"/>
      <c r="BA19" s="164"/>
      <c r="BB19" s="164"/>
      <c r="BC19" s="164"/>
      <c r="BD19" s="164"/>
      <c r="BE19" s="164"/>
      <c r="BF19" s="164"/>
      <c r="BG19" s="164"/>
      <c r="BH19" s="164"/>
      <c r="BI19" s="164"/>
      <c r="BJ19" s="164"/>
      <c r="BK19" s="164"/>
      <c r="BL19" s="164"/>
      <c r="BM19" s="164"/>
      <c r="BN19" s="164"/>
      <c r="BO19" s="164"/>
      <c r="BP19" s="164"/>
      <c r="BQ19" s="164"/>
      <c r="BR19" s="164"/>
    </row>
    <row r="20" spans="1:70" ht="15.75" customHeight="1" x14ac:dyDescent="0.25">
      <c r="D20" s="166" t="s">
        <v>284</v>
      </c>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row>
    <row r="21" spans="1:70" ht="44.25" customHeight="1" x14ac:dyDescent="0.25">
      <c r="D21" s="164" t="s">
        <v>277</v>
      </c>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c r="BJ21" s="164"/>
      <c r="BK21" s="164"/>
      <c r="BL21" s="164"/>
      <c r="BM21" s="164"/>
      <c r="BN21" s="164"/>
      <c r="BO21" s="164"/>
      <c r="BP21" s="164"/>
      <c r="BQ21" s="164"/>
      <c r="BR21" s="164"/>
    </row>
    <row r="22" spans="1:70" x14ac:dyDescent="0.25">
      <c r="B22" s="2" t="s">
        <v>192</v>
      </c>
      <c r="C22" s="2"/>
    </row>
    <row r="23" spans="1:70" ht="69.75" customHeight="1" x14ac:dyDescent="0.25">
      <c r="B23" s="164" t="s">
        <v>269</v>
      </c>
      <c r="C23" s="164"/>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4"/>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c r="BJ23" s="164"/>
      <c r="BK23" s="164"/>
      <c r="BL23" s="164"/>
      <c r="BM23" s="164"/>
      <c r="BN23" s="164"/>
      <c r="BO23" s="164"/>
      <c r="BP23" s="164"/>
      <c r="BQ23" s="164"/>
      <c r="BR23" s="164"/>
    </row>
    <row r="24" spans="1:70" x14ac:dyDescent="0.25">
      <c r="C24" s="2" t="s">
        <v>193</v>
      </c>
    </row>
    <row r="25" spans="1:70" ht="204.75" customHeight="1" x14ac:dyDescent="0.25">
      <c r="C25" s="167" t="s">
        <v>211</v>
      </c>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7"/>
      <c r="AP25" s="167"/>
      <c r="AQ25" s="167"/>
      <c r="AR25" s="167"/>
      <c r="AS25" s="167"/>
      <c r="AT25" s="167"/>
      <c r="AU25" s="167"/>
      <c r="AV25" s="167"/>
      <c r="AW25" s="167"/>
      <c r="AX25" s="167"/>
      <c r="AY25" s="167"/>
      <c r="AZ25" s="167"/>
      <c r="BA25" s="167"/>
      <c r="BB25" s="167"/>
      <c r="BC25" s="167"/>
      <c r="BD25" s="167"/>
      <c r="BE25" s="167"/>
      <c r="BF25" s="167"/>
      <c r="BG25" s="167"/>
      <c r="BH25" s="167"/>
      <c r="BI25" s="167"/>
      <c r="BJ25" s="167"/>
      <c r="BK25" s="167"/>
      <c r="BL25" s="167"/>
      <c r="BM25" s="167"/>
      <c r="BN25" s="167"/>
      <c r="BO25" s="167"/>
      <c r="BP25" s="167"/>
      <c r="BQ25" s="167"/>
      <c r="BR25" s="167"/>
    </row>
    <row r="26" spans="1:70" x14ac:dyDescent="0.25">
      <c r="C26" s="2" t="s">
        <v>194</v>
      </c>
    </row>
    <row r="27" spans="1:70" ht="244.5" customHeight="1" x14ac:dyDescent="0.25">
      <c r="A27" s="1"/>
      <c r="C27" s="167" t="s">
        <v>195</v>
      </c>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7"/>
      <c r="AB27" s="167"/>
      <c r="AC27" s="167"/>
      <c r="AD27" s="167"/>
      <c r="AE27" s="167"/>
      <c r="AF27" s="167"/>
      <c r="AG27" s="167"/>
      <c r="AH27" s="167"/>
      <c r="AI27" s="167"/>
      <c r="AJ27" s="167"/>
      <c r="AK27" s="167"/>
      <c r="AL27" s="167"/>
      <c r="AM27" s="167"/>
      <c r="AN27" s="167"/>
      <c r="AO27" s="167"/>
      <c r="AP27" s="167"/>
      <c r="AQ27" s="167"/>
      <c r="AR27" s="167"/>
      <c r="AS27" s="167"/>
      <c r="AT27" s="167"/>
      <c r="AU27" s="167"/>
      <c r="AV27" s="167"/>
      <c r="AW27" s="167"/>
      <c r="AX27" s="167"/>
      <c r="AY27" s="167"/>
      <c r="AZ27" s="167"/>
      <c r="BA27" s="167"/>
      <c r="BB27" s="167"/>
      <c r="BC27" s="167"/>
      <c r="BD27" s="167"/>
      <c r="BE27" s="167"/>
      <c r="BF27" s="167"/>
      <c r="BG27" s="167"/>
      <c r="BH27" s="167"/>
      <c r="BI27" s="167"/>
      <c r="BJ27" s="167"/>
      <c r="BK27" s="167"/>
      <c r="BL27" s="167"/>
      <c r="BM27" s="167"/>
      <c r="BN27" s="167"/>
      <c r="BO27" s="167"/>
      <c r="BP27" s="167"/>
      <c r="BQ27" s="167"/>
      <c r="BR27" s="167"/>
    </row>
    <row r="28" spans="1:70" x14ac:dyDescent="0.25">
      <c r="B28" s="2" t="s">
        <v>270</v>
      </c>
      <c r="C28" s="43"/>
    </row>
    <row r="29" spans="1:70" ht="75" customHeight="1" x14ac:dyDescent="0.25">
      <c r="A29" s="1"/>
      <c r="B29" s="164" t="s">
        <v>281</v>
      </c>
      <c r="C29" s="16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4"/>
      <c r="AB29" s="164"/>
      <c r="AC29" s="164"/>
      <c r="AD29" s="164"/>
      <c r="AE29" s="164"/>
      <c r="AF29" s="164"/>
      <c r="AG29" s="164"/>
      <c r="AH29" s="164"/>
      <c r="AI29" s="164"/>
      <c r="AJ29" s="164"/>
      <c r="AK29" s="164"/>
      <c r="AL29" s="164"/>
      <c r="AM29" s="164"/>
      <c r="AN29" s="164"/>
      <c r="AO29" s="164"/>
      <c r="AP29" s="164"/>
      <c r="AQ29" s="164"/>
      <c r="AR29" s="164"/>
      <c r="AS29" s="164"/>
      <c r="AT29" s="164"/>
      <c r="AU29" s="164"/>
      <c r="AV29" s="164"/>
      <c r="AW29" s="164"/>
      <c r="AX29" s="164"/>
      <c r="AY29" s="164"/>
      <c r="AZ29" s="164"/>
      <c r="BA29" s="164"/>
      <c r="BB29" s="164"/>
      <c r="BC29" s="164"/>
      <c r="BD29" s="164"/>
      <c r="BE29" s="164"/>
      <c r="BF29" s="164"/>
      <c r="BG29" s="164"/>
      <c r="BH29" s="164"/>
      <c r="BI29" s="164"/>
      <c r="BJ29" s="164"/>
      <c r="BK29" s="164"/>
      <c r="BL29" s="164"/>
      <c r="BM29" s="164"/>
      <c r="BN29" s="164"/>
      <c r="BO29" s="164"/>
      <c r="BP29" s="164"/>
      <c r="BQ29" s="164"/>
      <c r="BR29" s="164"/>
    </row>
    <row r="30" spans="1:70" x14ac:dyDescent="0.25">
      <c r="C30" s="2" t="s">
        <v>274</v>
      </c>
    </row>
    <row r="31" spans="1:70" ht="46.5" customHeight="1" x14ac:dyDescent="0.25">
      <c r="A31" s="1"/>
      <c r="C31" s="167" t="s">
        <v>280</v>
      </c>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7"/>
      <c r="AB31" s="167"/>
      <c r="AC31" s="167"/>
      <c r="AD31" s="167"/>
      <c r="AE31" s="167"/>
      <c r="AF31" s="167"/>
      <c r="AG31" s="167"/>
      <c r="AH31" s="167"/>
      <c r="AI31" s="167"/>
      <c r="AJ31" s="167"/>
      <c r="AK31" s="167"/>
      <c r="AL31" s="167"/>
      <c r="AM31" s="167"/>
      <c r="AN31" s="167"/>
      <c r="AO31" s="167"/>
      <c r="AP31" s="167"/>
      <c r="AQ31" s="167"/>
      <c r="AR31" s="167"/>
      <c r="AS31" s="167"/>
      <c r="AT31" s="167"/>
      <c r="AU31" s="167"/>
      <c r="AV31" s="167"/>
      <c r="AW31" s="167"/>
      <c r="AX31" s="167"/>
      <c r="AY31" s="167"/>
      <c r="AZ31" s="167"/>
      <c r="BA31" s="167"/>
      <c r="BB31" s="167"/>
      <c r="BC31" s="167"/>
      <c r="BD31" s="167"/>
      <c r="BE31" s="167"/>
      <c r="BF31" s="167"/>
      <c r="BG31" s="167"/>
      <c r="BH31" s="167"/>
      <c r="BI31" s="167"/>
      <c r="BJ31" s="167"/>
      <c r="BK31" s="167"/>
      <c r="BL31" s="167"/>
      <c r="BM31" s="167"/>
      <c r="BN31" s="167"/>
      <c r="BO31" s="167"/>
      <c r="BP31" s="167"/>
      <c r="BQ31" s="167"/>
      <c r="BR31" s="167"/>
    </row>
    <row r="32" spans="1:70" ht="15.75" customHeight="1" x14ac:dyDescent="0.25">
      <c r="C32" s="166" t="s">
        <v>271</v>
      </c>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row>
    <row r="33" spans="1:70" ht="120" customHeight="1" x14ac:dyDescent="0.25">
      <c r="A33" s="43"/>
      <c r="C33" s="164" t="s">
        <v>273</v>
      </c>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c r="BJ33" s="164"/>
      <c r="BK33" s="164"/>
      <c r="BL33" s="164"/>
      <c r="BM33" s="164"/>
      <c r="BN33" s="164"/>
      <c r="BO33" s="164"/>
      <c r="BP33" s="164"/>
      <c r="BQ33" s="164"/>
      <c r="BR33" s="164"/>
    </row>
    <row r="34" spans="1:70" ht="15.75" customHeight="1" x14ac:dyDescent="0.25">
      <c r="C34" s="166" t="s">
        <v>272</v>
      </c>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row>
    <row r="35" spans="1:70" ht="47.25" customHeight="1" x14ac:dyDescent="0.25">
      <c r="C35" s="167" t="s">
        <v>279</v>
      </c>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67"/>
      <c r="AT35" s="167"/>
      <c r="AU35" s="167"/>
      <c r="AV35" s="167"/>
      <c r="AW35" s="167"/>
      <c r="AX35" s="167"/>
      <c r="AY35" s="167"/>
      <c r="AZ35" s="167"/>
      <c r="BA35" s="167"/>
      <c r="BB35" s="167"/>
      <c r="BC35" s="167"/>
      <c r="BD35" s="167"/>
      <c r="BE35" s="167"/>
      <c r="BF35" s="167"/>
      <c r="BG35" s="167"/>
      <c r="BH35" s="167"/>
      <c r="BI35" s="167"/>
      <c r="BJ35" s="167"/>
      <c r="BK35" s="167"/>
      <c r="BL35" s="167"/>
      <c r="BM35" s="167"/>
      <c r="BN35" s="167"/>
      <c r="BO35" s="167"/>
      <c r="BP35" s="167"/>
      <c r="BQ35" s="167"/>
      <c r="BR35" s="167"/>
    </row>
    <row r="36" spans="1:70" x14ac:dyDescent="0.25">
      <c r="B36" s="2" t="s">
        <v>2</v>
      </c>
    </row>
    <row r="37" spans="1:70" x14ac:dyDescent="0.25">
      <c r="B37" s="165" t="s">
        <v>12</v>
      </c>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row>
    <row r="38" spans="1:70" x14ac:dyDescent="0.25">
      <c r="C38" s="2" t="s">
        <v>7</v>
      </c>
    </row>
    <row r="39" spans="1:70" ht="45.75" customHeight="1" x14ac:dyDescent="0.25">
      <c r="C39" s="164" t="s">
        <v>8</v>
      </c>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4"/>
      <c r="AD39" s="164"/>
      <c r="AE39" s="164"/>
      <c r="AF39" s="164"/>
      <c r="AG39" s="164"/>
      <c r="AH39" s="164"/>
      <c r="AI39" s="164"/>
      <c r="AJ39" s="164"/>
      <c r="AK39" s="164"/>
      <c r="AL39" s="164"/>
      <c r="AM39" s="164"/>
      <c r="AN39" s="164"/>
      <c r="AO39" s="164"/>
      <c r="AP39" s="164"/>
      <c r="AQ39" s="164"/>
      <c r="AR39" s="164"/>
      <c r="AS39" s="164"/>
      <c r="AT39" s="164"/>
      <c r="AU39" s="164"/>
      <c r="AV39" s="164"/>
      <c r="AW39" s="164"/>
      <c r="AX39" s="164"/>
      <c r="AY39" s="164"/>
      <c r="AZ39" s="164"/>
      <c r="BA39" s="164"/>
      <c r="BB39" s="164"/>
      <c r="BC39" s="164"/>
      <c r="BD39" s="164"/>
      <c r="BE39" s="164"/>
      <c r="BF39" s="164"/>
      <c r="BG39" s="164"/>
      <c r="BH39" s="164"/>
      <c r="BI39" s="164"/>
      <c r="BJ39" s="164"/>
      <c r="BK39" s="164"/>
      <c r="BL39" s="164"/>
      <c r="BM39" s="164"/>
      <c r="BN39" s="164"/>
      <c r="BO39" s="164"/>
      <c r="BP39" s="164"/>
      <c r="BQ39" s="164"/>
      <c r="BR39" s="164"/>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2020-09-14T10:09:33Z</dcterms:modified>
</cp:coreProperties>
</file>