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44596BDD-E6F2-43B4-9CCE-5B814BBE9525}" xr6:coauthVersionLast="45" xr6:coauthVersionMax="45" xr10:uidLastSave="{00000000-0000-0000-0000-000000000000}"/>
  <bookViews>
    <workbookView xWindow="1095" yWindow="1470" windowWidth="21600" windowHeight="11835"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IB19" i="13"/>
  <c r="IA19" i="13"/>
  <c r="HZ19" i="13"/>
  <c r="HY19" i="13"/>
  <c r="HX19" i="13"/>
  <c r="HW19" i="13"/>
  <c r="HV19" i="13"/>
  <c r="HU19" i="13"/>
  <c r="HT19" i="13"/>
  <c r="HS19" i="13"/>
  <c r="HR19" i="13"/>
  <c r="HQ19" i="13"/>
  <c r="HP19" i="13"/>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9" i="13" l="1"/>
  <c r="L14" i="13"/>
  <c r="L4" i="13"/>
  <c r="L15" i="13"/>
  <c r="L16" i="13"/>
  <c r="L11" i="13"/>
  <c r="L3" i="13"/>
  <c r="L6" i="13"/>
  <c r="L12" i="13"/>
  <c r="L8" i="13"/>
  <c r="L5" i="13"/>
  <c r="L7" i="13"/>
  <c r="L13" i="13"/>
  <c r="L10" i="13"/>
  <c r="K19" i="13"/>
  <c r="L19" i="13" s="1"/>
  <c r="K18" i="13"/>
  <c r="L18" i="13" s="1"/>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<sst xmlns="http://schemas.openxmlformats.org/spreadsheetml/2006/main" count="2961" uniqueCount="934">
  <si>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</si>
  <si>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</si>
  <si>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</si>
  <si>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</si>
  <si>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</si>
  <si>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</si>
  <si>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</si>
  <si>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</si>
  <si>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</si>
  <si>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</si>
  <si>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</si>
  <si>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</si>
  <si>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</si>
  <si>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</si>
  <si>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</si>
  <si>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</si>
  <si>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</si>
  <si>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</si>
  <si>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</si>
  <si>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</si>
  <si>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</si>
  <si>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</si>
  <si>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</si>
  <si>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</si>
  <si>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</si>
  <si>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</si>
  <si>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</si>
  <si>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</si>
  <si>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</si>
  <si>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</si>
  <si>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</si>
  <si>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</si>
  <si>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</si>
  <si>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</si>
  <si>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</si>
  <si>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</si>
  <si>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</si>
  <si>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</si>
  <si>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</si>
  <si>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</si>
  <si>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</si>
  <si>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</si>
  <si>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</si>
  <si>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</si>
  <si>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</si>
  <si>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</si>
  <si>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</si>
  <si>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</si>
  <si>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</si>
  <si>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</si>
  <si>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</si>
  <si>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</si>
  <si>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</si>
  <si>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</si>
  <si>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</si>
  <si>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</si>
  <si>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</si>
  <si>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</si>
  <si>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</si>
  <si>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</si>
  <si>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</si>
  <si>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</si>
  <si>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</si>
  <si>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</si>
  <si>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</si>
  <si>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</si>
  <si>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</si>
  <si>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</si>
  <si>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</si>
  <si>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</si>
  <si>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</si>
  <si>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</si>
  <si>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</si>
  <si>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</si>
  <si>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</si>
  <si>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</si>
  <si>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</si>
  <si>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</si>
  <si>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</si>
  <si>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</si>
  <si>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</si>
  <si>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</si>
  <si>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</si>
  <si>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</si>
  <si>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</si>
  <si>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</si>
  <si>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</si>
  <si>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</si>
  <si>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</si>
  <si>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</si>
  <si>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</si>
  <si>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</si>
  <si>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</si>
  <si>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</si>
  <si>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</si>
  <si>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</si>
  <si>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</si>
  <si>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</si>
  <si>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</si>
  <si>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</si>
  <si>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</si>
  <si>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</si>
  <si>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</si>
  <si>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</si>
  <si>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</si>
  <si>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</si>
  <si>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</si>
  <si>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</si>
  <si>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</si>
  <si>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</si>
  <si>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</si>
  <si>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</si>
  <si>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</si>
  <si>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</si>
  <si>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</si>
  <si>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</si>
  <si>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</si>
  <si>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</si>
  <si>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</si>
  <si>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</si>
  <si>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</si>
  <si>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</si>
  <si>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</si>
  <si>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</si>
  <si>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</si>
  <si>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</si>
  <si>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</si>
  <si>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</si>
  <si>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</si>
  <si>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</si>
  <si>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</si>
  <si>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</si>
  <si>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</si>
  <si>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</si>
  <si>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</si>
  <si>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</si>
  <si>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</si>
  <si>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</si>
  <si>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</si>
  <si>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</si>
  <si>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</si>
  <si>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</si>
  <si>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</si>
  <si>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</si>
  <si>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</si>
  <si>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</si>
  <si>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</si>
  <si>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</si>
  <si>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</si>
  <si>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</si>
  <si>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</si>
  <si>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</si>
  <si>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</si>
  <si>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</si>
  <si>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</si>
  <si>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</si>
  <si>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</si>
  <si>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</si>
  <si>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</si>
  <si>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</si>
  <si>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</si>
  <si>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</si>
  <si>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</si>
  <si>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</si>
  <si>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</si>
  <si>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</si>
  <si>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</si>
  <si>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</si>
  <si>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</si>
  <si>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</si>
  <si>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</si>
  <si>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</si>
  <si>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</si>
  <si>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</si>
  <si>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</si>
  <si>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</si>
  <si>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</si>
  <si>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</si>
  <si>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</si>
  <si>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</si>
  <si>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</si>
  <si>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</si>
  <si>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</si>
  <si>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</si>
  <si>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</si>
  <si>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</si>
  <si>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</si>
  <si>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</si>
  <si>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</si>
  <si>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</si>
  <si>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</si>
  <si>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</si>
  <si>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</si>
  <si>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</si>
  <si>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</si>
  <si>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</si>
  <si>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</si>
  <si>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</si>
  <si>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</si>
  <si>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</si>
  <si>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</si>
  <si>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</si>
  <si>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</si>
  <si>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</si>
  <si>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</si>
  <si>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</si>
  <si>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</si>
  <si>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</si>
  <si>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</si>
  <si>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</si>
  <si>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</si>
  <si>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</si>
  <si>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</si>
  <si>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</si>
  <si>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</si>
  <si>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</si>
  <si>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</si>
  <si>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</si>
  <si>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</si>
  <si>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</si>
  <si>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</si>
  <si>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</si>
  <si>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</si>
  <si>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</si>
  <si>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</si>
  <si>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</si>
  <si>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</si>
  <si>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</si>
  <si>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</si>
  <si>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</si>
  <si>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</si>
  <si>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</si>
  <si>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</si>
  <si>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</si>
  <si>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</si>
  <si>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</si>
  <si>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</si>
  <si>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</si>
  <si>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</si>
  <si>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</si>
  <si>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</si>
  <si>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</si>
  <si>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</si>
  <si>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</si>
  <si>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</si>
  <si>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</si>
  <si>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</si>
  <si>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</si>
  <si>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</si>
  <si>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</si>
  <si>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</si>
  <si>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</si>
  <si>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</si>
  <si>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</si>
  <si>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</si>
  <si>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</si>
  <si>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</si>
  <si>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</si>
  <si>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</si>
  <si>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</si>
  <si>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</si>
  <si>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</si>
  <si>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</si>
  <si>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</si>
  <si>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</si>
  <si>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</si>
  <si>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</si>
  <si>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</si>
  <si>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</si>
  <si>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</si>
  <si>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</si>
  <si>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</si>
  <si>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</si>
  <si>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</si>
  <si>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</si>
  <si>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</si>
  <si>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</si>
  <si>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</si>
  <si>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</si>
  <si>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</si>
  <si>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</si>
  <si>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</si>
  <si>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</si>
  <si>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</si>
  <si>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</si>
  <si>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</si>
  <si>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</si>
  <si>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</si>
  <si>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</si>
  <si>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</si>
  <si>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</si>
  <si>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</si>
  <si>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</si>
  <si>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</si>
  <si>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</si>
  <si>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</si>
  <si>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</si>
  <si>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</si>
  <si>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</si>
  <si>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</si>
  <si>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</si>
  <si>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</si>
  <si>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</si>
  <si>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</si>
  <si>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</si>
  <si>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</si>
  <si>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</si>
  <si>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</si>
  <si>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</si>
  <si>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</si>
  <si>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</si>
  <si>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</si>
  <si>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</si>
  <si>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</si>
  <si>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</si>
  <si>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</si>
  <si>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</si>
  <si>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</si>
  <si>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</si>
  <si>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</si>
  <si>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</si>
  <si>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</si>
  <si>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</si>
  <si>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</si>
  <si>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</si>
  <si>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</si>
  <si>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</si>
  <si>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</si>
  <si>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</si>
  <si>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</si>
  <si>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</si>
  <si>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</si>
  <si>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</si>
  <si>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</si>
  <si>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</si>
  <si>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</si>
  <si>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</si>
  <si>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</si>
  <si>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</si>
  <si>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</si>
  <si>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</si>
  <si>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</si>
  <si>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</si>
  <si>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</si>
  <si>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</si>
  <si>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</si>
  <si>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</si>
  <si>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</si>
  <si>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</si>
  <si>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</si>
  <si>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</si>
  <si>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</si>
  <si>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</si>
  <si>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</si>
  <si>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</si>
  <si>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</si>
  <si>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</si>
  <si>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</si>
  <si>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</si>
  <si>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</si>
  <si>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</si>
  <si>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</si>
  <si>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</si>
  <si>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</si>
  <si>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</si>
  <si>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</si>
  <si>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</si>
  <si>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</si>
  <si>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</si>
  <si>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</si>
  <si>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</si>
  <si>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</si>
  <si>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</si>
  <si>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</si>
  <si>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</si>
  <si>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</si>
  <si>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</si>
  <si>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</si>
  <si>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</si>
  <si>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</si>
  <si>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</si>
  <si>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</si>
  <si>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</si>
  <si>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</si>
  <si>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</si>
  <si>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</si>
  <si>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</si>
  <si>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</si>
  <si>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</si>
  <si>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</si>
  <si>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</si>
  <si>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</si>
  <si>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</si>
  <si>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</si>
  <si>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</si>
  <si>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</si>
  <si>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</si>
  <si>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</si>
  <si>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</si>
  <si>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</si>
  <si>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</si>
  <si>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</si>
  <si>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</si>
  <si>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</si>
  <si>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</si>
  <si>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</si>
  <si>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</si>
  <si>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</si>
  <si>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</si>
  <si>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</si>
  <si>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</si>
  <si>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</si>
  <si>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</si>
  <si>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</si>
  <si>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</si>
  <si>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</si>
  <si>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</si>
  <si>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</si>
  <si>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</si>
  <si>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</si>
  <si>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</si>
  <si>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</si>
  <si>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</si>
  <si>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</si>
  <si>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</si>
  <si>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</si>
  <si>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</si>
  <si>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</si>
  <si>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</si>
  <si>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</si>
  <si>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</si>
  <si>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</si>
  <si>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</si>
  <si>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</si>
  <si>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</si>
  <si>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</si>
  <si>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</si>
  <si>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</si>
  <si>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</si>
  <si>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</si>
  <si>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</si>
  <si>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</si>
  <si>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</si>
  <si>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</si>
  <si>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</si>
  <si>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</si>
  <si>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</si>
  <si>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</si>
  <si>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</si>
  <si>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</si>
  <si>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</si>
  <si>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</si>
  <si>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</si>
  <si>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</si>
  <si>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</si>
  <si>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</si>
  <si>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</si>
  <si>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</si>
  <si>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</si>
  <si>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</si>
  <si>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</si>
  <si>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</si>
  <si>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</si>
  <si>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</si>
  <si>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</si>
  <si>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</si>
  <si>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</si>
  <si>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</si>
  <si>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</si>
  <si>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</si>
  <si>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</si>
  <si>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</si>
  <si>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</si>
  <si>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</si>
  <si>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</si>
  <si>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</si>
  <si>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</si>
  <si>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</si>
  <si>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</si>
  <si>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</si>
  <si>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</si>
  <si>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</si>
  <si>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</si>
  <si>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</si>
  <si>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</si>
  <si>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</si>
  <si>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</si>
  <si>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</si>
  <si>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</si>
  <si>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</si>
  <si>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</si>
  <si>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</si>
  <si>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</si>
  <si>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</si>
  <si>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</si>
  <si>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</si>
  <si>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</si>
  <si>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</si>
  <si>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</si>
  <si>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</si>
  <si>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</si>
  <si>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</si>
  <si>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</si>
  <si>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</si>
  <si>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</si>
  <si>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</si>
  <si>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</si>
  <si>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</si>
  <si>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</si>
  <si>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</si>
  <si>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</si>
  <si>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</si>
  <si>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</si>
  <si>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</si>
  <si>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</si>
  <si>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</si>
  <si>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</si>
  <si>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</si>
  <si>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</si>
  <si>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</si>
  <si>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</si>
  <si>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</si>
  <si>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</si>
  <si>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</si>
  <si>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</si>
  <si>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</si>
  <si>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</si>
  <si>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</si>
  <si>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</si>
  <si>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</si>
  <si>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</si>
  <si>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</si>
  <si>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</si>
  <si>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</si>
  <si>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</si>
  <si>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</si>
  <si>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</si>
  <si>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</si>
  <si>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</si>
  <si>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</si>
  <si>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</si>
  <si>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</si>
  <si>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</si>
  <si>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</si>
  <si>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</si>
  <si>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</si>
  <si>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</si>
  <si>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</si>
  <si>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</si>
  <si>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</si>
  <si>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</si>
  <si>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</si>
  <si>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</si>
  <si>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</si>
  <si>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</si>
  <si>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</si>
  <si>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</si>
  <si>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</si>
  <si>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</si>
  <si>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</si>
  <si>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</si>
  <si>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</si>
  <si>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</si>
  <si>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</si>
  <si>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</si>
  <si>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</si>
  <si>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</si>
  <si>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</si>
  <si>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</si>
  <si>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</si>
  <si>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</si>
  <si>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</si>
  <si>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</si>
  <si>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</si>
  <si>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</si>
  <si>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</si>
  <si>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</si>
  <si>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</si>
  <si>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</si>
  <si>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</si>
  <si>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</si>
  <si>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</si>
  <si>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</si>
  <si>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</si>
  <si>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</si>
  <si>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</si>
  <si>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</si>
  <si>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</si>
  <si>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</si>
  <si>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</si>
  <si>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</si>
  <si>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</si>
  <si>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</si>
  <si>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</si>
  <si>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</si>
  <si>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</si>
  <si>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</si>
  <si>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</si>
  <si>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</si>
  <si>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</si>
  <si>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</si>
  <si>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</si>
  <si>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</si>
  <si>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</si>
  <si>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</si>
  <si>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</si>
  <si>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</si>
  <si>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</si>
  <si>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</si>
  <si>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</si>
  <si>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</si>
  <si>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</si>
  <si>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</si>
  <si>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</si>
  <si>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</si>
  <si>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</si>
  <si>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</si>
  <si>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</si>
  <si>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</si>
  <si>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</si>
  <si>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</si>
  <si>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</si>
  <si>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</si>
  <si>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</si>
  <si>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</si>
  <si>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</si>
  <si>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</si>
  <si>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</si>
  <si>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</si>
  <si>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</si>
  <si>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</si>
  <si>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</si>
  <si>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</si>
  <si>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</si>
  <si>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</si>
  <si>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</si>
  <si>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</si>
  <si>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</si>
  <si>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</si>
  <si>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</si>
  <si>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</si>
  <si>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</si>
  <si>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</si>
  <si>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</si>
  <si>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</si>
  <si>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</si>
  <si>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</si>
  <si>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</si>
  <si>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</si>
  <si>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</si>
  <si>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</si>
  <si>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</si>
  <si>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</si>
  <si>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</si>
  <si>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</si>
  <si>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</si>
  <si>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</si>
  <si>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</si>
  <si>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</si>
  <si>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</si>
  <si>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</si>
  <si>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</si>
  <si>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</si>
  <si>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</si>
  <si>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</si>
  <si>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</si>
  <si>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</si>
  <si>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</si>
  <si>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</si>
  <si>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</si>
  <si>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</si>
  <si>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</si>
  <si>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</si>
  <si>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</si>
  <si>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</si>
  <si>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</si>
  <si>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</si>
  <si>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</si>
  <si>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</si>
  <si>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</si>
  <si>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</si>
  <si>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</si>
  <si>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</si>
  <si>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</si>
  <si>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</si>
  <si>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</si>
  <si>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</si>
  <si>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</si>
  <si>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</si>
  <si>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</si>
  <si>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</si>
  <si>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</si>
  <si>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</si>
  <si>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</si>
  <si>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</si>
  <si>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</si>
  <si>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</si>
  <si>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</si>
  <si>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</si>
  <si>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</si>
  <si>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</si>
  <si>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</si>
  <si>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</si>
  <si>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</si>
  <si>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</si>
  <si>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</si>
  <si>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</si>
  <si>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</si>
  <si>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</si>
  <si>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</si>
  <si>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</si>
  <si>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</si>
  <si>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</si>
  <si>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</si>
  <si>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</si>
  <si>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</si>
  <si>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</si>
  <si>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</si>
  <si>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</si>
  <si>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</si>
  <si>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</si>
  <si>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</si>
  <si>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</si>
  <si>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</si>
  <si>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</si>
  <si>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</si>
  <si>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</si>
  <si>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</si>
  <si>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</si>
  <si>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</si>
  <si>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</si>
  <si>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</si>
  <si>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</si>
  <si>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</si>
  <si>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</si>
  <si>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</si>
  <si>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</si>
  <si>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</si>
  <si>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</si>
  <si>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</si>
  <si>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</si>
  <si>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</si>
  <si>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</si>
  <si>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</si>
  <si>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</si>
  <si>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</si>
  <si>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</si>
  <si>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</si>
  <si>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</si>
  <si>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</si>
  <si>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</si>
  <si>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</si>
  <si>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</si>
  <si>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</si>
  <si>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</si>
  <si>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</si>
  <si>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</si>
  <si>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</si>
  <si>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</si>
  <si>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</si>
  <si>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</si>
  <si>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</si>
  <si>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</si>
  <si>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</si>
  <si>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</si>
  <si>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</si>
  <si>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</si>
  <si>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</si>
  <si>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</si>
  <si>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</si>
  <si>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</si>
  <si>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</si>
  <si>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</si>
  <si>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</si>
  <si>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</si>
  <si>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</si>
  <si>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</si>
  <si>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</si>
  <si>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</si>
  <si>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</si>
  <si>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</si>
  <si>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</si>
  <si>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</si>
  <si>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</si>
  <si>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</si>
  <si>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</si>
  <si>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</si>
  <si>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</si>
  <si>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</si>
  <si>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</si>
  <si>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</si>
  <si>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</si>
  <si>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</si>
  <si>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</si>
  <si>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</si>
  <si>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</si>
  <si>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</si>
  <si>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</si>
  <si>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</si>
  <si>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</si>
  <si>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</si>
  <si>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</si>
  <si>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</si>
  <si>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</si>
  <si>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</si>
  <si>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</si>
  <si>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</si>
  <si>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</si>
  <si>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</si>
  <si>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</si>
  <si>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</si>
  <si>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</si>
  <si>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</si>
  <si>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</si>
  <si>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</si>
  <si>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</si>
  <si>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</si>
  <si>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</si>
  <si>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</si>
  <si>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</si>
  <si>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</si>
  <si>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</si>
  <si>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</si>
  <si>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</si>
  <si>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</si>
  <si>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</si>
  <si>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</si>
  <si>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</si>
  <si>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</si>
  <si>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</si>
  <si>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</si>
  <si>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</si>
  <si>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</si>
  <si>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</si>
  <si>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</si>
  <si>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</si>
  <si>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</si>
  <si>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</si>
  <si>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</si>
  <si>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</si>
  <si>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</si>
  <si>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</si>
  <si>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</si>
  <si>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</si>
  <si>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</si>
  <si>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</si>
  <si>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</si>
  <si>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</si>
  <si>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</si>
  <si>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(Fr)</t>
  </si>
  <si>
    <t>Di</t>
  </si>
  <si>
    <t>Mo</t>
  </si>
  <si>
    <t>(Sa)</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</si>
  <si>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</si>
  <si>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</si>
  <si>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</si>
  <si>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</si>
  <si>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</si>
  <si>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</si>
  <si>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</si>
  <si>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</si>
  <si>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</si>
  <si>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</si>
  <si>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</si>
  <si>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</si>
  <si>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</si>
  <si>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</si>
  <si>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</si>
  <si>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</si>
  <si>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</si>
  <si>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</si>
  <si>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</si>
  <si>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</si>
  <si>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</si>
  <si>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</si>
  <si>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</si>
  <si>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</si>
  <si>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</si>
  <si>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</si>
  <si>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</si>
  <si>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</si>
  <si>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</si>
  <si>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</si>
  <si>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</si>
  <si>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</si>
  <si>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</si>
  <si>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</si>
  <si>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</si>
  <si>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</si>
  <si>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</si>
  <si>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</si>
  <si>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</si>
  <si>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</si>
  <si>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</si>
  <si>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</si>
  <si>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</si>
  <si>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</si>
  <si>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</si>
  <si>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</si>
  <si>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Friesach (?)</t>
  </si>
  <si>
    <t>Abschlusstraining - Gewöhnung an die große Halle</t>
  </si>
  <si>
    <t>Friesach ()</t>
  </si>
  <si>
    <t>Spiel geg. ET</t>
  </si>
  <si>
    <t>ÖMS - Spiele geg. Purgstall + Weiz</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</si>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</sst>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53">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3" fontId="0" fillId="4" borderId="0" xfId="0" quotePrefix="1" applyNumberFormat="1" applyFill="1" applyBorder="1"/>
    <xf numFmtId="14" fontId="0" fillId="4" borderId="34" xfId="0" applyNumberFormat="1" applyFill="1" applyBorder="1"/>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C962852A-3538-497E-8EAB-65ED65DDA7B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M18" activePane="bottomRight" state="frozen"/>
      <selection pane="topRight" activeCell="M1" sqref="M1"/>
      <selection pane="bottomLeft" activeCell="A3" sqref="A3"/>
      <selection pane="bottomRight" activeCell="E54" sqref="E54"/>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18" t="s">
        <v>806</v>
      </c>
      <c r="B1" s="219"/>
      <c r="C1" s="219"/>
      <c r="D1" s="219"/>
      <c r="E1" s="219"/>
      <c r="F1" s="219"/>
      <c r="G1" s="219"/>
      <c r="H1" s="220"/>
      <c r="I1" s="224" t="str">
        <f>A1</f>
        <v>NW</v>
      </c>
      <c r="J1" s="226" t="s">
        <v>38</v>
      </c>
      <c r="K1" s="228" t="s">
        <v>49</v>
      </c>
      <c r="L1" s="210"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21"/>
      <c r="B2" s="222"/>
      <c r="C2" s="222"/>
      <c r="D2" s="222"/>
      <c r="E2" s="222"/>
      <c r="F2" s="222"/>
      <c r="G2" s="222"/>
      <c r="H2" s="223"/>
      <c r="I2" s="225"/>
      <c r="J2" s="227"/>
      <c r="K2" s="229"/>
      <c r="L2" s="211"/>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889</v>
      </c>
      <c r="BQ2" s="131"/>
      <c r="BR2" s="131" t="s">
        <v>38</v>
      </c>
      <c r="BS2" s="131"/>
      <c r="BT2" s="131" t="s">
        <v>38</v>
      </c>
      <c r="BU2" s="131" t="s">
        <v>38</v>
      </c>
      <c r="BV2" s="131"/>
      <c r="BW2" s="164"/>
      <c r="BX2" s="131"/>
      <c r="BY2" s="131" t="s">
        <v>38</v>
      </c>
      <c r="BZ2" s="131"/>
      <c r="CA2" s="131" t="s">
        <v>38</v>
      </c>
      <c r="CB2" s="131" t="s">
        <v>38</v>
      </c>
      <c r="CC2" s="131"/>
      <c r="CD2" s="164"/>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922</v>
      </c>
      <c r="H3" s="206">
        <v>40073</v>
      </c>
      <c r="I3" s="176" t="str">
        <f t="shared" ref="I3:I17" si="4">C3</f>
        <v>MD</v>
      </c>
      <c r="J3" s="198" t="s">
        <v>851</v>
      </c>
      <c r="K3" s="36">
        <f t="shared" ref="K3:K16" si="5">SUM(M3:HP3)</f>
        <v>21</v>
      </c>
      <c r="L3" s="191">
        <f>K3/(K$20 - COUNTIF(M3:HP3, "x")) * 100</f>
        <v>95.454545454545453</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904</v>
      </c>
      <c r="D4" s="19" t="s">
        <v>905</v>
      </c>
      <c r="E4" s="19" t="str">
        <f>A4 &amp; " " &amp; D4</f>
        <v>Elena  Grassl</v>
      </c>
      <c r="F4" s="19"/>
      <c r="G4" s="251" t="s">
        <v>906</v>
      </c>
      <c r="H4" s="56">
        <v>39508</v>
      </c>
      <c r="I4" s="176" t="s">
        <v>904</v>
      </c>
      <c r="J4" s="199" t="s">
        <v>788</v>
      </c>
      <c r="K4" s="19">
        <f t="shared" ref="K4" si="6">SUM(M4:HP4)</f>
        <v>1</v>
      </c>
      <c r="L4" s="192">
        <f>K4/(K$20 - COUNTIF(M4:HP4, "x")) * 100</f>
        <v>4.5454545454545459</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7">A5 &amp; " " &amp; D5</f>
        <v>Larissa Groinigg</v>
      </c>
      <c r="F5" s="19"/>
      <c r="G5" s="182" t="s">
        <v>919</v>
      </c>
      <c r="H5" s="56">
        <v>39474</v>
      </c>
      <c r="I5" s="176" t="str">
        <f t="shared" si="4"/>
        <v>LG</v>
      </c>
      <c r="J5" s="199" t="s">
        <v>788</v>
      </c>
      <c r="K5" s="19">
        <f t="shared" si="5"/>
        <v>19</v>
      </c>
      <c r="L5" s="192">
        <f>K5/(K$20 - COUNTIF(M5:HP5, "x")) * 100</f>
        <v>86.36363636363636</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c r="BQ5" s="34"/>
      <c r="BR5" s="34"/>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7"/>
        <v>Johanna Grundnig</v>
      </c>
      <c r="F6" s="19"/>
      <c r="G6" s="182" t="s">
        <v>908</v>
      </c>
      <c r="H6" s="56">
        <v>39425</v>
      </c>
      <c r="I6" s="176" t="str">
        <f t="shared" si="4"/>
        <v>JG</v>
      </c>
      <c r="J6" s="199" t="s">
        <v>851</v>
      </c>
      <c r="K6" s="19">
        <f t="shared" si="5"/>
        <v>13</v>
      </c>
      <c r="L6" s="192">
        <f>K6/(K$20 - COUNTIF(M6:HP6, "x")) * 100</f>
        <v>59.090909090909093</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7"/>
        <v>Yasmin Murnig</v>
      </c>
      <c r="F7" s="19"/>
      <c r="G7" s="182" t="s">
        <v>921</v>
      </c>
      <c r="H7" s="56">
        <v>38954</v>
      </c>
      <c r="I7" s="176" t="str">
        <f t="shared" si="4"/>
        <v>YM</v>
      </c>
      <c r="J7" s="199" t="s">
        <v>851</v>
      </c>
      <c r="K7" s="19">
        <f t="shared" ref="K7" si="8">SUM(M7:HP7)</f>
        <v>11</v>
      </c>
      <c r="L7" s="192">
        <f>K7/(K$20 - COUNTIF(M7:HP7, "x")) * 100</f>
        <v>84.615384615384613</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c r="BQ7" s="34"/>
      <c r="BR7" s="34"/>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909</v>
      </c>
      <c r="E8" s="19" t="str">
        <f t="shared" si="7"/>
        <v>Julia Nußbaumer</v>
      </c>
      <c r="F8" s="19"/>
      <c r="G8" s="182" t="s">
        <v>910</v>
      </c>
      <c r="H8" s="56">
        <v>39507</v>
      </c>
      <c r="I8" s="176" t="str">
        <f t="shared" si="4"/>
        <v>JN</v>
      </c>
      <c r="J8" s="199" t="s">
        <v>850</v>
      </c>
      <c r="K8" s="19">
        <f t="shared" si="5"/>
        <v>11</v>
      </c>
      <c r="L8" s="192">
        <f>K8/(K$20 - COUNTIF(M8:HP8, "x")) * 100</f>
        <v>50</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c r="BQ8" s="34"/>
      <c r="BR8" s="34"/>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911</v>
      </c>
      <c r="B9" s="19" t="s">
        <v>912</v>
      </c>
      <c r="C9" s="19" t="s">
        <v>913</v>
      </c>
      <c r="D9" s="8" t="s">
        <v>914</v>
      </c>
      <c r="E9" s="19" t="str">
        <f t="shared" si="7"/>
        <v>Franziska Pfandl</v>
      </c>
      <c r="F9" s="19"/>
      <c r="G9" s="182" t="s">
        <v>920</v>
      </c>
      <c r="H9" s="56">
        <v>39534</v>
      </c>
      <c r="I9" s="176" t="str">
        <f t="shared" si="4"/>
        <v>FP</v>
      </c>
      <c r="J9" s="199" t="s">
        <v>850</v>
      </c>
      <c r="K9" s="19">
        <f t="shared" ref="K9" si="9">SUM(M9:HP9)</f>
        <v>1</v>
      </c>
      <c r="L9" s="192">
        <f>K9/(K$20 - COUNTIF(M9:HP9, "x")) * 100</f>
        <v>4.5454545454545459</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7"/>
        <v>Selina Popaj</v>
      </c>
      <c r="F10" s="19"/>
      <c r="G10" s="182" t="s">
        <v>923</v>
      </c>
      <c r="H10" s="56">
        <v>39155</v>
      </c>
      <c r="I10" s="176" t="str">
        <f t="shared" si="4"/>
        <v>SP</v>
      </c>
      <c r="J10" s="199" t="s">
        <v>851</v>
      </c>
      <c r="K10" s="19">
        <f t="shared" ref="K10" si="10">SUM(M10:HP10)</f>
        <v>10</v>
      </c>
      <c r="L10" s="192">
        <f>K10/(K$20 - COUNTIF(M10:HP10, "x")) * 100</f>
        <v>71.428571428571431</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c r="BQ10" s="34"/>
      <c r="BR10" s="34"/>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7"/>
        <v>Valentina Reinsberger</v>
      </c>
      <c r="F11" s="19"/>
      <c r="G11" s="182" t="s">
        <v>924</v>
      </c>
      <c r="H11" s="56">
        <v>38979</v>
      </c>
      <c r="I11" s="176" t="str">
        <f t="shared" si="4"/>
        <v>VR</v>
      </c>
      <c r="J11" s="199" t="s">
        <v>851</v>
      </c>
      <c r="K11" s="19">
        <f t="shared" si="5"/>
        <v>21</v>
      </c>
      <c r="L11" s="192">
        <f>K11/(K$20 - COUNTIF(M11:HP11, "x")) * 100</f>
        <v>95.454545454545453</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c r="BQ11" s="34"/>
      <c r="BR11" s="34"/>
      <c r="BS11" s="34"/>
      <c r="BT11" s="34"/>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7"/>
        <v>Anna Scheitz</v>
      </c>
      <c r="F12" s="19"/>
      <c r="G12" s="182" t="s">
        <v>907</v>
      </c>
      <c r="H12" s="56">
        <v>39475</v>
      </c>
      <c r="I12" s="176" t="str">
        <f t="shared" si="4"/>
        <v>AS</v>
      </c>
      <c r="J12" s="199" t="s">
        <v>788</v>
      </c>
      <c r="K12" s="19">
        <f t="shared" si="5"/>
        <v>19</v>
      </c>
      <c r="L12" s="192">
        <f>K12/(K$20 - COUNTIF(M12:HP12, "x")) * 100</f>
        <v>86.36363636363636</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c r="BQ12" s="34"/>
      <c r="BR12" s="34"/>
      <c r="BS12" s="34"/>
      <c r="BT12" s="34"/>
      <c r="BU12" s="34"/>
      <c r="BV12" s="34"/>
      <c r="BW12" s="7"/>
      <c r="BX12" s="34"/>
      <c r="BY12" s="34"/>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7"/>
        <v>Elena  Schmid</v>
      </c>
      <c r="F13" s="19"/>
      <c r="G13" s="182" t="s">
        <v>925</v>
      </c>
      <c r="H13" s="56">
        <v>40003</v>
      </c>
      <c r="I13" s="176" t="str">
        <f t="shared" si="4"/>
        <v>ES</v>
      </c>
      <c r="J13" s="199" t="s">
        <v>807</v>
      </c>
      <c r="K13" s="19">
        <f t="shared" ref="K13" si="11">SUM(M13:HP13)</f>
        <v>19</v>
      </c>
      <c r="L13" s="192">
        <f>K13/(K$20 - COUNTIF(M13:HP13, "x")) * 100</f>
        <v>86.36363636363636</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c r="BQ13" s="34"/>
      <c r="BR13" s="34"/>
      <c r="BS13" s="34"/>
      <c r="BT13" s="34"/>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7"/>
        <v>Ylva Völker</v>
      </c>
      <c r="F14" s="19"/>
      <c r="G14" s="182" t="s">
        <v>926</v>
      </c>
      <c r="H14" s="56">
        <v>39280</v>
      </c>
      <c r="I14" s="176" t="str">
        <f t="shared" si="4"/>
        <v>YV</v>
      </c>
      <c r="J14" s="199" t="s">
        <v>851</v>
      </c>
      <c r="K14" s="19">
        <f t="shared" ref="K14" si="12">SUM(M14:HP14)</f>
        <v>10</v>
      </c>
      <c r="L14" s="192">
        <f>K14/(K$20 - COUNTIF(M14:HP14, "x")) * 100</f>
        <v>71.428571428571431</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c r="BQ14" s="34"/>
      <c r="BR14" s="34"/>
      <c r="BS14" s="34"/>
      <c r="BT14" s="34"/>
      <c r="BU14" s="34"/>
      <c r="BV14" s="34"/>
      <c r="BW14" s="7"/>
      <c r="BX14" s="34"/>
      <c r="BY14" s="34"/>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915</v>
      </c>
      <c r="B15" s="88"/>
      <c r="C15" s="88" t="s">
        <v>916</v>
      </c>
      <c r="D15" s="88" t="s">
        <v>917</v>
      </c>
      <c r="E15" s="88" t="str">
        <f t="shared" si="7"/>
        <v>Lara Weitensfelder</v>
      </c>
      <c r="F15" s="88"/>
      <c r="G15" s="183" t="s">
        <v>918</v>
      </c>
      <c r="H15" s="162">
        <v>39592</v>
      </c>
      <c r="I15" s="89" t="str">
        <f t="shared" si="4"/>
        <v>LW</v>
      </c>
      <c r="J15" s="200" t="s">
        <v>851</v>
      </c>
      <c r="K15" s="200">
        <f t="shared" si="5"/>
        <v>1</v>
      </c>
      <c r="L15" s="193">
        <f>K15/(K$20 - COUNTIF(M15:HP15, "x")) * 100</f>
        <v>4.5454545454545459</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c r="BQ15" s="93"/>
      <c r="BR15" s="93"/>
      <c r="BS15" s="93"/>
      <c r="BT15" s="93"/>
      <c r="BU15" s="93"/>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7"/>
        <v>Karl Gorton</v>
      </c>
      <c r="F16" s="19" t="s">
        <v>689</v>
      </c>
      <c r="G16" s="182" t="s">
        <v>716</v>
      </c>
      <c r="H16" s="56"/>
      <c r="I16" s="180" t="str">
        <f t="shared" si="4"/>
        <v>BG</v>
      </c>
      <c r="J16" s="198" t="s">
        <v>851</v>
      </c>
      <c r="K16" s="198">
        <f t="shared" si="5"/>
        <v>22</v>
      </c>
      <c r="L16" s="84">
        <f>K16/(K$20 - COUNTIF(M16:HP16, "x")) * 100</f>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c r="BQ16" s="34"/>
      <c r="BR16" s="34"/>
      <c r="BS16" s="34"/>
      <c r="BT16" s="34"/>
      <c r="BU16" s="34"/>
      <c r="BV16" s="34"/>
      <c r="BW16" s="7"/>
      <c r="BX16" s="34"/>
      <c r="BY16" s="34"/>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928</v>
      </c>
      <c r="B17" s="19" t="s">
        <v>927</v>
      </c>
      <c r="C17" s="19" t="s">
        <v>929</v>
      </c>
      <c r="D17" s="19" t="s">
        <v>931</v>
      </c>
      <c r="E17" s="19" t="str">
        <f t="shared" si="7"/>
        <v>Richard Supnig</v>
      </c>
      <c r="F17" s="19" t="s">
        <v>932</v>
      </c>
      <c r="G17" s="182" t="s">
        <v>930</v>
      </c>
      <c r="H17" s="56"/>
      <c r="I17" s="252" t="str">
        <f t="shared" si="4"/>
        <v>RS</v>
      </c>
      <c r="J17" s="10"/>
      <c r="K17" s="199"/>
      <c r="L17" s="84"/>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12" t="s">
        <v>647</v>
      </c>
      <c r="B18" s="213"/>
      <c r="C18" s="213"/>
      <c r="D18" s="213"/>
      <c r="E18" s="213"/>
      <c r="F18" s="213"/>
      <c r="G18" s="213"/>
      <c r="H18" s="214"/>
      <c r="I18" s="181" t="str">
        <f>"#1|" &amp; A18</f>
        <v>#1|Spielerinnen</v>
      </c>
      <c r="J18" s="177"/>
      <c r="K18" s="188">
        <f>SUM(K3:K15) / (7)</f>
        <v>22.428571428571427</v>
      </c>
      <c r="L18" s="187">
        <f t="shared" ref="L18:L19" si="13">K18/K$20 * 100</f>
        <v>101.94805194805194</v>
      </c>
      <c r="M18" s="186" t="str">
        <f t="shared" ref="M18:BX18" si="14">IF(SUM(M3:M15) &gt; 0, SUM(M3:M15), "")</f>
        <v/>
      </c>
      <c r="N18" s="150" t="str">
        <f t="shared" si="14"/>
        <v/>
      </c>
      <c r="O18" s="150" t="str">
        <f t="shared" si="14"/>
        <v/>
      </c>
      <c r="P18" s="150" t="str">
        <f t="shared" si="14"/>
        <v/>
      </c>
      <c r="Q18" s="150" t="str">
        <f t="shared" si="14"/>
        <v/>
      </c>
      <c r="R18" s="150" t="str">
        <f t="shared" si="14"/>
        <v/>
      </c>
      <c r="S18" s="166" t="str">
        <f t="shared" si="14"/>
        <v/>
      </c>
      <c r="T18" s="186" t="str">
        <f t="shared" si="14"/>
        <v/>
      </c>
      <c r="U18" s="150" t="str">
        <f t="shared" si="14"/>
        <v/>
      </c>
      <c r="V18" s="150" t="str">
        <f t="shared" si="14"/>
        <v/>
      </c>
      <c r="W18" s="150" t="str">
        <f t="shared" si="14"/>
        <v/>
      </c>
      <c r="X18" s="150" t="str">
        <f t="shared" si="14"/>
        <v/>
      </c>
      <c r="Y18" s="150" t="str">
        <f t="shared" si="14"/>
        <v/>
      </c>
      <c r="Z18" s="166" t="str">
        <f t="shared" si="14"/>
        <v/>
      </c>
      <c r="AA18" s="186" t="str">
        <f t="shared" si="14"/>
        <v/>
      </c>
      <c r="AB18" s="150" t="str">
        <f t="shared" si="14"/>
        <v/>
      </c>
      <c r="AC18" s="150" t="str">
        <f t="shared" si="14"/>
        <v/>
      </c>
      <c r="AD18" s="150">
        <f t="shared" si="14"/>
        <v>7</v>
      </c>
      <c r="AE18" s="150">
        <f t="shared" si="14"/>
        <v>6</v>
      </c>
      <c r="AF18" s="150">
        <f t="shared" si="14"/>
        <v>6</v>
      </c>
      <c r="AG18" s="166" t="str">
        <f t="shared" si="14"/>
        <v/>
      </c>
      <c r="AH18" s="186" t="str">
        <f t="shared" si="14"/>
        <v/>
      </c>
      <c r="AI18" s="150">
        <f t="shared" si="14"/>
        <v>5</v>
      </c>
      <c r="AJ18" s="150" t="str">
        <f t="shared" si="14"/>
        <v/>
      </c>
      <c r="AK18" s="150">
        <f t="shared" si="14"/>
        <v>6</v>
      </c>
      <c r="AL18" s="150">
        <f t="shared" si="14"/>
        <v>6</v>
      </c>
      <c r="AM18" s="150" t="str">
        <f t="shared" si="14"/>
        <v/>
      </c>
      <c r="AN18" s="166" t="str">
        <f t="shared" si="14"/>
        <v/>
      </c>
      <c r="AO18" s="186" t="str">
        <f t="shared" si="14"/>
        <v/>
      </c>
      <c r="AP18" s="150">
        <f t="shared" si="14"/>
        <v>5</v>
      </c>
      <c r="AQ18" s="150" t="str">
        <f t="shared" si="14"/>
        <v/>
      </c>
      <c r="AR18" s="150">
        <f t="shared" si="14"/>
        <v>4</v>
      </c>
      <c r="AS18" s="150">
        <f t="shared" si="14"/>
        <v>8</v>
      </c>
      <c r="AT18" s="150">
        <f t="shared" si="14"/>
        <v>8</v>
      </c>
      <c r="AU18" s="166" t="str">
        <f t="shared" si="14"/>
        <v/>
      </c>
      <c r="AV18" s="186" t="str">
        <f t="shared" si="14"/>
        <v/>
      </c>
      <c r="AW18" s="150">
        <f t="shared" si="14"/>
        <v>6</v>
      </c>
      <c r="AX18" s="150" t="str">
        <f t="shared" si="14"/>
        <v/>
      </c>
      <c r="AY18" s="150">
        <f t="shared" si="14"/>
        <v>8</v>
      </c>
      <c r="AZ18" s="150">
        <f t="shared" si="14"/>
        <v>7</v>
      </c>
      <c r="BA18" s="150" t="str">
        <f t="shared" si="14"/>
        <v/>
      </c>
      <c r="BB18" s="166" t="str">
        <f t="shared" si="14"/>
        <v/>
      </c>
      <c r="BC18" s="186">
        <f t="shared" si="14"/>
        <v>7</v>
      </c>
      <c r="BD18" s="150">
        <f t="shared" si="14"/>
        <v>4</v>
      </c>
      <c r="BE18" s="150" t="str">
        <f t="shared" si="14"/>
        <v/>
      </c>
      <c r="BF18" s="150">
        <f t="shared" si="14"/>
        <v>8</v>
      </c>
      <c r="BG18" s="150">
        <f t="shared" si="14"/>
        <v>7</v>
      </c>
      <c r="BH18" s="150" t="str">
        <f t="shared" si="14"/>
        <v/>
      </c>
      <c r="BI18" s="166" t="str">
        <f t="shared" si="14"/>
        <v/>
      </c>
      <c r="BJ18" s="186" t="str">
        <f t="shared" si="14"/>
        <v/>
      </c>
      <c r="BK18" s="150">
        <f t="shared" si="14"/>
        <v>13</v>
      </c>
      <c r="BL18" s="150">
        <f t="shared" si="14"/>
        <v>10</v>
      </c>
      <c r="BM18" s="150">
        <f t="shared" si="14"/>
        <v>8</v>
      </c>
      <c r="BN18" s="150">
        <f t="shared" si="14"/>
        <v>8</v>
      </c>
      <c r="BO18" s="150">
        <f t="shared" si="14"/>
        <v>10</v>
      </c>
      <c r="BP18" s="166" t="str">
        <f t="shared" si="14"/>
        <v/>
      </c>
      <c r="BQ18" s="186" t="str">
        <f t="shared" si="14"/>
        <v/>
      </c>
      <c r="BR18" s="150" t="str">
        <f t="shared" si="14"/>
        <v/>
      </c>
      <c r="BS18" s="150" t="str">
        <f t="shared" si="14"/>
        <v/>
      </c>
      <c r="BT18" s="150" t="str">
        <f t="shared" si="14"/>
        <v/>
      </c>
      <c r="BU18" s="150" t="str">
        <f t="shared" si="14"/>
        <v/>
      </c>
      <c r="BV18" s="150" t="str">
        <f t="shared" si="14"/>
        <v/>
      </c>
      <c r="BW18" s="166" t="str">
        <f t="shared" si="14"/>
        <v/>
      </c>
      <c r="BX18" s="186" t="str">
        <f t="shared" si="14"/>
        <v/>
      </c>
      <c r="BY18" s="150" t="str">
        <f t="shared" ref="BY18:EJ18" si="15">IF(SUM(BY3:BY15) &gt; 0, SUM(BY3:BY15), "")</f>
        <v/>
      </c>
      <c r="BZ18" s="150" t="str">
        <f t="shared" si="15"/>
        <v/>
      </c>
      <c r="CA18" s="150" t="str">
        <f t="shared" si="15"/>
        <v/>
      </c>
      <c r="CB18" s="150" t="str">
        <f t="shared" si="15"/>
        <v/>
      </c>
      <c r="CC18" s="150" t="str">
        <f t="shared" si="15"/>
        <v/>
      </c>
      <c r="CD18" s="166" t="str">
        <f t="shared" si="15"/>
        <v/>
      </c>
      <c r="CE18" s="186" t="str">
        <f t="shared" si="15"/>
        <v/>
      </c>
      <c r="CF18" s="150" t="str">
        <f t="shared" si="15"/>
        <v/>
      </c>
      <c r="CG18" s="150" t="str">
        <f t="shared" si="15"/>
        <v/>
      </c>
      <c r="CH18" s="150" t="str">
        <f t="shared" si="15"/>
        <v/>
      </c>
      <c r="CI18" s="150" t="str">
        <f t="shared" si="15"/>
        <v/>
      </c>
      <c r="CJ18" s="150" t="str">
        <f t="shared" si="15"/>
        <v/>
      </c>
      <c r="CK18" s="166" t="str">
        <f t="shared" si="15"/>
        <v/>
      </c>
      <c r="CL18" s="186" t="str">
        <f t="shared" si="15"/>
        <v/>
      </c>
      <c r="CM18" s="150" t="str">
        <f t="shared" si="15"/>
        <v/>
      </c>
      <c r="CN18" s="150" t="str">
        <f t="shared" si="15"/>
        <v/>
      </c>
      <c r="CO18" s="150" t="str">
        <f t="shared" si="15"/>
        <v/>
      </c>
      <c r="CP18" s="150" t="str">
        <f t="shared" si="15"/>
        <v/>
      </c>
      <c r="CQ18" s="150" t="str">
        <f t="shared" si="15"/>
        <v/>
      </c>
      <c r="CR18" s="166" t="str">
        <f t="shared" si="15"/>
        <v/>
      </c>
      <c r="CS18" s="186" t="str">
        <f t="shared" si="15"/>
        <v/>
      </c>
      <c r="CT18" s="150" t="str">
        <f t="shared" si="15"/>
        <v/>
      </c>
      <c r="CU18" s="150" t="str">
        <f t="shared" si="15"/>
        <v/>
      </c>
      <c r="CV18" s="150" t="str">
        <f t="shared" si="15"/>
        <v/>
      </c>
      <c r="CW18" s="150" t="str">
        <f t="shared" si="15"/>
        <v/>
      </c>
      <c r="CX18" s="150" t="str">
        <f t="shared" si="15"/>
        <v/>
      </c>
      <c r="CY18" s="166" t="str">
        <f t="shared" si="15"/>
        <v/>
      </c>
      <c r="CZ18" s="186" t="str">
        <f t="shared" si="15"/>
        <v/>
      </c>
      <c r="DA18" s="150" t="str">
        <f t="shared" si="15"/>
        <v/>
      </c>
      <c r="DB18" s="150" t="str">
        <f t="shared" si="15"/>
        <v/>
      </c>
      <c r="DC18" s="150" t="str">
        <f t="shared" si="15"/>
        <v/>
      </c>
      <c r="DD18" s="150" t="str">
        <f t="shared" si="15"/>
        <v/>
      </c>
      <c r="DE18" s="150" t="str">
        <f t="shared" si="15"/>
        <v/>
      </c>
      <c r="DF18" s="166" t="str">
        <f t="shared" si="15"/>
        <v/>
      </c>
      <c r="DG18" s="186" t="str">
        <f t="shared" si="15"/>
        <v/>
      </c>
      <c r="DH18" s="150" t="str">
        <f t="shared" si="15"/>
        <v/>
      </c>
      <c r="DI18" s="150" t="str">
        <f t="shared" si="15"/>
        <v/>
      </c>
      <c r="DJ18" s="150" t="str">
        <f t="shared" si="15"/>
        <v/>
      </c>
      <c r="DK18" s="150" t="str">
        <f t="shared" si="15"/>
        <v/>
      </c>
      <c r="DL18" s="150" t="str">
        <f t="shared" si="15"/>
        <v/>
      </c>
      <c r="DM18" s="166" t="str">
        <f t="shared" si="15"/>
        <v/>
      </c>
      <c r="DN18" s="186" t="str">
        <f t="shared" si="15"/>
        <v/>
      </c>
      <c r="DO18" s="150" t="str">
        <f t="shared" si="15"/>
        <v/>
      </c>
      <c r="DP18" s="150" t="str">
        <f t="shared" si="15"/>
        <v/>
      </c>
      <c r="DQ18" s="150" t="str">
        <f t="shared" si="15"/>
        <v/>
      </c>
      <c r="DR18" s="150" t="str">
        <f t="shared" si="15"/>
        <v/>
      </c>
      <c r="DS18" s="150" t="str">
        <f t="shared" si="15"/>
        <v/>
      </c>
      <c r="DT18" s="166" t="str">
        <f t="shared" si="15"/>
        <v/>
      </c>
      <c r="DU18" s="186" t="str">
        <f t="shared" si="15"/>
        <v/>
      </c>
      <c r="DV18" s="150" t="str">
        <f t="shared" si="15"/>
        <v/>
      </c>
      <c r="DW18" s="150" t="str">
        <f t="shared" si="15"/>
        <v/>
      </c>
      <c r="DX18" s="150" t="str">
        <f t="shared" si="15"/>
        <v/>
      </c>
      <c r="DY18" s="150" t="str">
        <f t="shared" si="15"/>
        <v/>
      </c>
      <c r="DZ18" s="150" t="str">
        <f t="shared" si="15"/>
        <v/>
      </c>
      <c r="EA18" s="166" t="str">
        <f t="shared" si="15"/>
        <v/>
      </c>
      <c r="EB18" s="186" t="str">
        <f t="shared" si="15"/>
        <v/>
      </c>
      <c r="EC18" s="150" t="str">
        <f t="shared" si="15"/>
        <v/>
      </c>
      <c r="ED18" s="150" t="str">
        <f t="shared" si="15"/>
        <v/>
      </c>
      <c r="EE18" s="150" t="str">
        <f t="shared" si="15"/>
        <v/>
      </c>
      <c r="EF18" s="150" t="str">
        <f t="shared" si="15"/>
        <v/>
      </c>
      <c r="EG18" s="150" t="str">
        <f t="shared" si="15"/>
        <v/>
      </c>
      <c r="EH18" s="166" t="str">
        <f t="shared" si="15"/>
        <v/>
      </c>
      <c r="EI18" s="186" t="str">
        <f t="shared" si="15"/>
        <v/>
      </c>
      <c r="EJ18" s="150" t="str">
        <f t="shared" si="15"/>
        <v/>
      </c>
      <c r="EK18" s="150" t="str">
        <f t="shared" ref="EK18:GV18" si="16">IF(SUM(EK3:EK15) &gt; 0, SUM(EK3:EK15), "")</f>
        <v/>
      </c>
      <c r="EL18" s="150" t="str">
        <f t="shared" si="16"/>
        <v/>
      </c>
      <c r="EM18" s="150" t="str">
        <f t="shared" si="16"/>
        <v/>
      </c>
      <c r="EN18" s="150" t="str">
        <f t="shared" si="16"/>
        <v/>
      </c>
      <c r="EO18" s="166" t="str">
        <f t="shared" si="16"/>
        <v/>
      </c>
      <c r="EP18" s="186" t="str">
        <f t="shared" si="16"/>
        <v/>
      </c>
      <c r="EQ18" s="150" t="str">
        <f t="shared" si="16"/>
        <v/>
      </c>
      <c r="ER18" s="150" t="str">
        <f t="shared" si="16"/>
        <v/>
      </c>
      <c r="ES18" s="150" t="str">
        <f t="shared" si="16"/>
        <v/>
      </c>
      <c r="ET18" s="150" t="str">
        <f t="shared" si="16"/>
        <v/>
      </c>
      <c r="EU18" s="150" t="str">
        <f t="shared" si="16"/>
        <v/>
      </c>
      <c r="EV18" s="166" t="str">
        <f t="shared" si="16"/>
        <v/>
      </c>
      <c r="EW18" s="186" t="str">
        <f t="shared" si="16"/>
        <v/>
      </c>
      <c r="EX18" s="150" t="str">
        <f t="shared" si="16"/>
        <v/>
      </c>
      <c r="EY18" s="150" t="str">
        <f t="shared" si="16"/>
        <v/>
      </c>
      <c r="EZ18" s="150" t="str">
        <f t="shared" si="16"/>
        <v/>
      </c>
      <c r="FA18" s="150" t="str">
        <f t="shared" si="16"/>
        <v/>
      </c>
      <c r="FB18" s="150" t="str">
        <f t="shared" si="16"/>
        <v/>
      </c>
      <c r="FC18" s="166" t="str">
        <f t="shared" si="16"/>
        <v/>
      </c>
      <c r="FD18" s="186" t="str">
        <f t="shared" si="16"/>
        <v/>
      </c>
      <c r="FE18" s="150" t="str">
        <f t="shared" si="16"/>
        <v/>
      </c>
      <c r="FF18" s="150" t="str">
        <f t="shared" si="16"/>
        <v/>
      </c>
      <c r="FG18" s="150" t="str">
        <f t="shared" si="16"/>
        <v/>
      </c>
      <c r="FH18" s="150" t="str">
        <f t="shared" si="16"/>
        <v/>
      </c>
      <c r="FI18" s="150" t="str">
        <f t="shared" si="16"/>
        <v/>
      </c>
      <c r="FJ18" s="166" t="str">
        <f t="shared" si="16"/>
        <v/>
      </c>
      <c r="FK18" s="186" t="str">
        <f t="shared" si="16"/>
        <v/>
      </c>
      <c r="FL18" s="150" t="str">
        <f t="shared" si="16"/>
        <v/>
      </c>
      <c r="FM18" s="150" t="str">
        <f t="shared" si="16"/>
        <v/>
      </c>
      <c r="FN18" s="150" t="str">
        <f t="shared" si="16"/>
        <v/>
      </c>
      <c r="FO18" s="150" t="str">
        <f t="shared" si="16"/>
        <v/>
      </c>
      <c r="FP18" s="150" t="str">
        <f t="shared" si="16"/>
        <v/>
      </c>
      <c r="FQ18" s="166" t="str">
        <f t="shared" si="16"/>
        <v/>
      </c>
      <c r="FR18" s="186" t="str">
        <f t="shared" si="16"/>
        <v/>
      </c>
      <c r="FS18" s="150" t="str">
        <f t="shared" si="16"/>
        <v/>
      </c>
      <c r="FT18" s="150" t="str">
        <f t="shared" si="16"/>
        <v/>
      </c>
      <c r="FU18" s="150" t="str">
        <f t="shared" si="16"/>
        <v/>
      </c>
      <c r="FV18" s="150" t="str">
        <f t="shared" si="16"/>
        <v/>
      </c>
      <c r="FW18" s="150" t="str">
        <f t="shared" si="16"/>
        <v/>
      </c>
      <c r="FX18" s="166" t="str">
        <f t="shared" si="16"/>
        <v/>
      </c>
      <c r="FY18" s="186" t="str">
        <f t="shared" si="16"/>
        <v/>
      </c>
      <c r="FZ18" s="150" t="str">
        <f t="shared" si="16"/>
        <v/>
      </c>
      <c r="GA18" s="150" t="str">
        <f t="shared" si="16"/>
        <v/>
      </c>
      <c r="GB18" s="150" t="str">
        <f t="shared" si="16"/>
        <v/>
      </c>
      <c r="GC18" s="150" t="str">
        <f t="shared" si="16"/>
        <v/>
      </c>
      <c r="GD18" s="150" t="str">
        <f t="shared" si="16"/>
        <v/>
      </c>
      <c r="GE18" s="166" t="str">
        <f t="shared" si="16"/>
        <v/>
      </c>
      <c r="GF18" s="186" t="str">
        <f t="shared" si="16"/>
        <v/>
      </c>
      <c r="GG18" s="150" t="str">
        <f t="shared" si="16"/>
        <v/>
      </c>
      <c r="GH18" s="150" t="str">
        <f t="shared" si="16"/>
        <v/>
      </c>
      <c r="GI18" s="150" t="str">
        <f t="shared" si="16"/>
        <v/>
      </c>
      <c r="GJ18" s="150" t="str">
        <f t="shared" si="16"/>
        <v/>
      </c>
      <c r="GK18" s="150" t="str">
        <f t="shared" si="16"/>
        <v/>
      </c>
      <c r="GL18" s="166" t="str">
        <f t="shared" si="16"/>
        <v/>
      </c>
      <c r="GM18" s="186" t="str">
        <f t="shared" si="16"/>
        <v/>
      </c>
      <c r="GN18" s="150" t="str">
        <f t="shared" si="16"/>
        <v/>
      </c>
      <c r="GO18" s="150" t="str">
        <f t="shared" si="16"/>
        <v/>
      </c>
      <c r="GP18" s="150" t="str">
        <f t="shared" si="16"/>
        <v/>
      </c>
      <c r="GQ18" s="150" t="str">
        <f t="shared" si="16"/>
        <v/>
      </c>
      <c r="GR18" s="150" t="str">
        <f t="shared" si="16"/>
        <v/>
      </c>
      <c r="GS18" s="166" t="str">
        <f t="shared" si="16"/>
        <v/>
      </c>
      <c r="GT18" s="186" t="str">
        <f t="shared" si="16"/>
        <v/>
      </c>
      <c r="GU18" s="150" t="str">
        <f t="shared" si="16"/>
        <v/>
      </c>
      <c r="GV18" s="150" t="str">
        <f t="shared" si="16"/>
        <v/>
      </c>
      <c r="GW18" s="150" t="str">
        <f t="shared" ref="GW18:IB18" si="17">IF(SUM(GW3:GW15) &gt; 0, SUM(GW3:GW15), "")</f>
        <v/>
      </c>
      <c r="GX18" s="150" t="str">
        <f t="shared" si="17"/>
        <v/>
      </c>
      <c r="GY18" s="150" t="str">
        <f t="shared" si="17"/>
        <v/>
      </c>
      <c r="GZ18" s="166" t="str">
        <f t="shared" si="17"/>
        <v/>
      </c>
      <c r="HA18" s="186" t="str">
        <f t="shared" si="17"/>
        <v/>
      </c>
      <c r="HB18" s="150" t="str">
        <f t="shared" si="17"/>
        <v/>
      </c>
      <c r="HC18" s="150" t="str">
        <f t="shared" si="17"/>
        <v/>
      </c>
      <c r="HD18" s="150" t="str">
        <f t="shared" si="17"/>
        <v/>
      </c>
      <c r="HE18" s="150" t="str">
        <f t="shared" si="17"/>
        <v/>
      </c>
      <c r="HF18" s="150" t="str">
        <f t="shared" si="17"/>
        <v/>
      </c>
      <c r="HG18" s="166" t="str">
        <f t="shared" si="17"/>
        <v/>
      </c>
      <c r="HH18" s="186" t="str">
        <f t="shared" si="17"/>
        <v/>
      </c>
      <c r="HI18" s="150" t="str">
        <f t="shared" si="17"/>
        <v/>
      </c>
      <c r="HJ18" s="150" t="str">
        <f t="shared" si="17"/>
        <v/>
      </c>
      <c r="HK18" s="150" t="str">
        <f t="shared" si="17"/>
        <v/>
      </c>
      <c r="HL18" s="150" t="str">
        <f t="shared" si="17"/>
        <v/>
      </c>
      <c r="HM18" s="150" t="str">
        <f t="shared" si="17"/>
        <v/>
      </c>
      <c r="HN18" s="166" t="str">
        <f t="shared" si="17"/>
        <v/>
      </c>
      <c r="HO18" s="186" t="str">
        <f t="shared" si="17"/>
        <v/>
      </c>
      <c r="HP18" s="150" t="str">
        <f t="shared" si="17"/>
        <v/>
      </c>
      <c r="HQ18" s="150" t="str">
        <f t="shared" si="17"/>
        <v/>
      </c>
      <c r="HR18" s="150" t="str">
        <f t="shared" si="17"/>
        <v/>
      </c>
      <c r="HS18" s="150" t="str">
        <f t="shared" si="17"/>
        <v/>
      </c>
      <c r="HT18" s="150" t="str">
        <f t="shared" si="17"/>
        <v/>
      </c>
      <c r="HU18" s="166" t="str">
        <f t="shared" si="17"/>
        <v/>
      </c>
      <c r="HV18" s="186" t="str">
        <f t="shared" si="17"/>
        <v/>
      </c>
      <c r="HW18" s="150" t="str">
        <f t="shared" si="17"/>
        <v/>
      </c>
      <c r="HX18" s="150" t="str">
        <f t="shared" si="17"/>
        <v/>
      </c>
      <c r="HY18" s="150" t="str">
        <f t="shared" si="17"/>
        <v/>
      </c>
      <c r="HZ18" s="150" t="str">
        <f t="shared" si="17"/>
        <v/>
      </c>
      <c r="IA18" s="150" t="str">
        <f t="shared" si="17"/>
        <v/>
      </c>
      <c r="IB18" s="166" t="str">
        <f t="shared" si="17"/>
        <v/>
      </c>
    </row>
    <row r="19" spans="1:236" ht="15.75" thickBot="1" x14ac:dyDescent="0.3">
      <c r="A19" s="215" t="s">
        <v>728</v>
      </c>
      <c r="B19" s="216"/>
      <c r="C19" s="216"/>
      <c r="D19" s="216"/>
      <c r="E19" s="216"/>
      <c r="F19" s="216"/>
      <c r="G19" s="216"/>
      <c r="H19" s="217"/>
      <c r="I19" s="180" t="str">
        <f>"#2|" &amp; A19</f>
        <v>#2|Alle</v>
      </c>
      <c r="J19" s="178"/>
      <c r="K19" s="189">
        <f>SUM(K3:K16) / 8</f>
        <v>22.375</v>
      </c>
      <c r="L19" s="190">
        <f t="shared" si="13"/>
        <v>101.70454545454545</v>
      </c>
      <c r="M19" s="173" t="str">
        <f t="shared" ref="M19:BX19" si="18">IF(SUM(M3:M16) &gt; 0, SUM(M3:M16), "")</f>
        <v/>
      </c>
      <c r="N19" s="160" t="str">
        <f t="shared" si="18"/>
        <v/>
      </c>
      <c r="O19" s="160" t="str">
        <f t="shared" si="18"/>
        <v/>
      </c>
      <c r="P19" s="160" t="str">
        <f t="shared" si="18"/>
        <v/>
      </c>
      <c r="Q19" s="160" t="str">
        <f t="shared" si="18"/>
        <v/>
      </c>
      <c r="R19" s="160" t="str">
        <f t="shared" si="18"/>
        <v/>
      </c>
      <c r="S19" s="167" t="str">
        <f t="shared" si="18"/>
        <v/>
      </c>
      <c r="T19" s="173" t="str">
        <f t="shared" si="18"/>
        <v/>
      </c>
      <c r="U19" s="160" t="str">
        <f t="shared" si="18"/>
        <v/>
      </c>
      <c r="V19" s="160" t="str">
        <f t="shared" si="18"/>
        <v/>
      </c>
      <c r="W19" s="160" t="str">
        <f t="shared" si="18"/>
        <v/>
      </c>
      <c r="X19" s="160" t="str">
        <f t="shared" si="18"/>
        <v/>
      </c>
      <c r="Y19" s="160" t="str">
        <f t="shared" si="18"/>
        <v/>
      </c>
      <c r="Z19" s="167" t="str">
        <f t="shared" si="18"/>
        <v/>
      </c>
      <c r="AA19" s="173" t="str">
        <f t="shared" si="18"/>
        <v/>
      </c>
      <c r="AB19" s="160" t="str">
        <f t="shared" si="18"/>
        <v/>
      </c>
      <c r="AC19" s="160" t="str">
        <f t="shared" si="18"/>
        <v/>
      </c>
      <c r="AD19" s="160">
        <f t="shared" si="18"/>
        <v>8</v>
      </c>
      <c r="AE19" s="160">
        <f t="shared" si="18"/>
        <v>7</v>
      </c>
      <c r="AF19" s="160">
        <f t="shared" si="18"/>
        <v>7</v>
      </c>
      <c r="AG19" s="167" t="str">
        <f t="shared" si="18"/>
        <v/>
      </c>
      <c r="AH19" s="173" t="str">
        <f t="shared" si="18"/>
        <v/>
      </c>
      <c r="AI19" s="160">
        <f t="shared" si="18"/>
        <v>6</v>
      </c>
      <c r="AJ19" s="160" t="str">
        <f t="shared" si="18"/>
        <v/>
      </c>
      <c r="AK19" s="160">
        <f t="shared" si="18"/>
        <v>7</v>
      </c>
      <c r="AL19" s="160">
        <f t="shared" si="18"/>
        <v>7</v>
      </c>
      <c r="AM19" s="160" t="str">
        <f t="shared" si="18"/>
        <v/>
      </c>
      <c r="AN19" s="167" t="str">
        <f t="shared" si="18"/>
        <v/>
      </c>
      <c r="AO19" s="173" t="str">
        <f t="shared" si="18"/>
        <v/>
      </c>
      <c r="AP19" s="160">
        <f t="shared" si="18"/>
        <v>6</v>
      </c>
      <c r="AQ19" s="160" t="str">
        <f t="shared" si="18"/>
        <v/>
      </c>
      <c r="AR19" s="160">
        <f t="shared" si="18"/>
        <v>5</v>
      </c>
      <c r="AS19" s="160">
        <f t="shared" si="18"/>
        <v>9</v>
      </c>
      <c r="AT19" s="160">
        <f t="shared" si="18"/>
        <v>9</v>
      </c>
      <c r="AU19" s="167" t="str">
        <f t="shared" si="18"/>
        <v/>
      </c>
      <c r="AV19" s="173" t="str">
        <f t="shared" si="18"/>
        <v/>
      </c>
      <c r="AW19" s="160">
        <f t="shared" si="18"/>
        <v>7</v>
      </c>
      <c r="AX19" s="160" t="str">
        <f t="shared" si="18"/>
        <v/>
      </c>
      <c r="AY19" s="160">
        <f t="shared" si="18"/>
        <v>9</v>
      </c>
      <c r="AZ19" s="160">
        <f t="shared" si="18"/>
        <v>8</v>
      </c>
      <c r="BA19" s="160" t="str">
        <f t="shared" si="18"/>
        <v/>
      </c>
      <c r="BB19" s="167" t="str">
        <f t="shared" si="18"/>
        <v/>
      </c>
      <c r="BC19" s="173">
        <f t="shared" si="18"/>
        <v>8</v>
      </c>
      <c r="BD19" s="160">
        <f t="shared" si="18"/>
        <v>5</v>
      </c>
      <c r="BE19" s="160" t="str">
        <f t="shared" si="18"/>
        <v/>
      </c>
      <c r="BF19" s="160">
        <f t="shared" si="18"/>
        <v>9</v>
      </c>
      <c r="BG19" s="160">
        <f t="shared" si="18"/>
        <v>8</v>
      </c>
      <c r="BH19" s="160" t="str">
        <f t="shared" si="18"/>
        <v/>
      </c>
      <c r="BI19" s="167" t="str">
        <f t="shared" si="18"/>
        <v/>
      </c>
      <c r="BJ19" s="173" t="str">
        <f t="shared" si="18"/>
        <v/>
      </c>
      <c r="BK19" s="160">
        <f t="shared" si="18"/>
        <v>14</v>
      </c>
      <c r="BL19" s="160">
        <f t="shared" si="18"/>
        <v>11</v>
      </c>
      <c r="BM19" s="160">
        <f t="shared" si="18"/>
        <v>9</v>
      </c>
      <c r="BN19" s="160">
        <f t="shared" si="18"/>
        <v>9</v>
      </c>
      <c r="BO19" s="160">
        <f t="shared" si="18"/>
        <v>11</v>
      </c>
      <c r="BP19" s="167" t="str">
        <f t="shared" si="18"/>
        <v/>
      </c>
      <c r="BQ19" s="173" t="str">
        <f t="shared" si="18"/>
        <v/>
      </c>
      <c r="BR19" s="160" t="str">
        <f t="shared" si="18"/>
        <v/>
      </c>
      <c r="BS19" s="160" t="str">
        <f t="shared" si="18"/>
        <v/>
      </c>
      <c r="BT19" s="160" t="str">
        <f t="shared" si="18"/>
        <v/>
      </c>
      <c r="BU19" s="160" t="str">
        <f t="shared" si="18"/>
        <v/>
      </c>
      <c r="BV19" s="160" t="str">
        <f t="shared" si="18"/>
        <v/>
      </c>
      <c r="BW19" s="167" t="str">
        <f t="shared" si="18"/>
        <v/>
      </c>
      <c r="BX19" s="173" t="str">
        <f t="shared" si="18"/>
        <v/>
      </c>
      <c r="BY19" s="160" t="str">
        <f t="shared" ref="BY19:EJ19" si="19">IF(SUM(BY3:BY16) &gt; 0, SUM(BY3:BY16), "")</f>
        <v/>
      </c>
      <c r="BZ19" s="160" t="str">
        <f t="shared" si="19"/>
        <v/>
      </c>
      <c r="CA19" s="160" t="str">
        <f t="shared" si="19"/>
        <v/>
      </c>
      <c r="CB19" s="160" t="str">
        <f t="shared" si="19"/>
        <v/>
      </c>
      <c r="CC19" s="160" t="str">
        <f t="shared" si="19"/>
        <v/>
      </c>
      <c r="CD19" s="167" t="str">
        <f t="shared" si="19"/>
        <v/>
      </c>
      <c r="CE19" s="173" t="str">
        <f t="shared" si="19"/>
        <v/>
      </c>
      <c r="CF19" s="160" t="str">
        <f t="shared" si="19"/>
        <v/>
      </c>
      <c r="CG19" s="160" t="str">
        <f t="shared" si="19"/>
        <v/>
      </c>
      <c r="CH19" s="160" t="str">
        <f t="shared" si="19"/>
        <v/>
      </c>
      <c r="CI19" s="160" t="str">
        <f t="shared" si="19"/>
        <v/>
      </c>
      <c r="CJ19" s="160" t="str">
        <f t="shared" si="19"/>
        <v/>
      </c>
      <c r="CK19" s="167" t="str">
        <f t="shared" si="19"/>
        <v/>
      </c>
      <c r="CL19" s="173" t="str">
        <f t="shared" si="19"/>
        <v/>
      </c>
      <c r="CM19" s="160" t="str">
        <f t="shared" si="19"/>
        <v/>
      </c>
      <c r="CN19" s="160" t="str">
        <f t="shared" si="19"/>
        <v/>
      </c>
      <c r="CO19" s="160" t="str">
        <f t="shared" si="19"/>
        <v/>
      </c>
      <c r="CP19" s="160" t="str">
        <f t="shared" si="19"/>
        <v/>
      </c>
      <c r="CQ19" s="160" t="str">
        <f t="shared" si="19"/>
        <v/>
      </c>
      <c r="CR19" s="167" t="str">
        <f t="shared" si="19"/>
        <v/>
      </c>
      <c r="CS19" s="173" t="str">
        <f t="shared" si="19"/>
        <v/>
      </c>
      <c r="CT19" s="160" t="str">
        <f t="shared" si="19"/>
        <v/>
      </c>
      <c r="CU19" s="160" t="str">
        <f t="shared" si="19"/>
        <v/>
      </c>
      <c r="CV19" s="160" t="str">
        <f t="shared" si="19"/>
        <v/>
      </c>
      <c r="CW19" s="160" t="str">
        <f t="shared" si="19"/>
        <v/>
      </c>
      <c r="CX19" s="160" t="str">
        <f t="shared" si="19"/>
        <v/>
      </c>
      <c r="CY19" s="167" t="str">
        <f t="shared" si="19"/>
        <v/>
      </c>
      <c r="CZ19" s="173" t="str">
        <f t="shared" si="19"/>
        <v/>
      </c>
      <c r="DA19" s="160" t="str">
        <f t="shared" si="19"/>
        <v/>
      </c>
      <c r="DB19" s="160" t="str">
        <f t="shared" si="19"/>
        <v/>
      </c>
      <c r="DC19" s="160" t="str">
        <f t="shared" si="19"/>
        <v/>
      </c>
      <c r="DD19" s="160" t="str">
        <f t="shared" si="19"/>
        <v/>
      </c>
      <c r="DE19" s="160" t="str">
        <f t="shared" si="19"/>
        <v/>
      </c>
      <c r="DF19" s="167" t="str">
        <f t="shared" si="19"/>
        <v/>
      </c>
      <c r="DG19" s="173" t="str">
        <f t="shared" si="19"/>
        <v/>
      </c>
      <c r="DH19" s="160" t="str">
        <f t="shared" si="19"/>
        <v/>
      </c>
      <c r="DI19" s="160" t="str">
        <f t="shared" si="19"/>
        <v/>
      </c>
      <c r="DJ19" s="160" t="str">
        <f t="shared" si="19"/>
        <v/>
      </c>
      <c r="DK19" s="160" t="str">
        <f t="shared" si="19"/>
        <v/>
      </c>
      <c r="DL19" s="160" t="str">
        <f t="shared" si="19"/>
        <v/>
      </c>
      <c r="DM19" s="167" t="str">
        <f t="shared" si="19"/>
        <v/>
      </c>
      <c r="DN19" s="173" t="str">
        <f t="shared" si="19"/>
        <v/>
      </c>
      <c r="DO19" s="160" t="str">
        <f t="shared" si="19"/>
        <v/>
      </c>
      <c r="DP19" s="160" t="str">
        <f t="shared" si="19"/>
        <v/>
      </c>
      <c r="DQ19" s="160" t="str">
        <f t="shared" si="19"/>
        <v/>
      </c>
      <c r="DR19" s="160" t="str">
        <f t="shared" si="19"/>
        <v/>
      </c>
      <c r="DS19" s="160" t="str">
        <f t="shared" si="19"/>
        <v/>
      </c>
      <c r="DT19" s="167" t="str">
        <f t="shared" si="19"/>
        <v/>
      </c>
      <c r="DU19" s="173" t="str">
        <f t="shared" si="19"/>
        <v/>
      </c>
      <c r="DV19" s="160" t="str">
        <f t="shared" si="19"/>
        <v/>
      </c>
      <c r="DW19" s="160" t="str">
        <f t="shared" si="19"/>
        <v/>
      </c>
      <c r="DX19" s="160" t="str">
        <f t="shared" si="19"/>
        <v/>
      </c>
      <c r="DY19" s="160" t="str">
        <f t="shared" si="19"/>
        <v/>
      </c>
      <c r="DZ19" s="160" t="str">
        <f t="shared" si="19"/>
        <v/>
      </c>
      <c r="EA19" s="167" t="str">
        <f t="shared" si="19"/>
        <v/>
      </c>
      <c r="EB19" s="173" t="str">
        <f t="shared" si="19"/>
        <v/>
      </c>
      <c r="EC19" s="160" t="str">
        <f t="shared" si="19"/>
        <v/>
      </c>
      <c r="ED19" s="160" t="str">
        <f t="shared" si="19"/>
        <v/>
      </c>
      <c r="EE19" s="160" t="str">
        <f t="shared" si="19"/>
        <v/>
      </c>
      <c r="EF19" s="160" t="str">
        <f t="shared" si="19"/>
        <v/>
      </c>
      <c r="EG19" s="160" t="str">
        <f t="shared" si="19"/>
        <v/>
      </c>
      <c r="EH19" s="167" t="str">
        <f t="shared" si="19"/>
        <v/>
      </c>
      <c r="EI19" s="173" t="str">
        <f t="shared" si="19"/>
        <v/>
      </c>
      <c r="EJ19" s="160" t="str">
        <f t="shared" si="19"/>
        <v/>
      </c>
      <c r="EK19" s="160" t="str">
        <f t="shared" ref="EK19:GV19" si="20">IF(SUM(EK3:EK16) &gt; 0, SUM(EK3:EK16), "")</f>
        <v/>
      </c>
      <c r="EL19" s="160" t="str">
        <f t="shared" si="20"/>
        <v/>
      </c>
      <c r="EM19" s="160" t="str">
        <f t="shared" si="20"/>
        <v/>
      </c>
      <c r="EN19" s="160" t="str">
        <f t="shared" si="20"/>
        <v/>
      </c>
      <c r="EO19" s="167" t="str">
        <f t="shared" si="20"/>
        <v/>
      </c>
      <c r="EP19" s="173" t="str">
        <f t="shared" si="20"/>
        <v/>
      </c>
      <c r="EQ19" s="160" t="str">
        <f t="shared" si="20"/>
        <v/>
      </c>
      <c r="ER19" s="160" t="str">
        <f t="shared" si="20"/>
        <v/>
      </c>
      <c r="ES19" s="160" t="str">
        <f t="shared" si="20"/>
        <v/>
      </c>
      <c r="ET19" s="160" t="str">
        <f t="shared" si="20"/>
        <v/>
      </c>
      <c r="EU19" s="160" t="str">
        <f t="shared" si="20"/>
        <v/>
      </c>
      <c r="EV19" s="167" t="str">
        <f t="shared" si="20"/>
        <v/>
      </c>
      <c r="EW19" s="173" t="str">
        <f t="shared" si="20"/>
        <v/>
      </c>
      <c r="EX19" s="160" t="str">
        <f t="shared" si="20"/>
        <v/>
      </c>
      <c r="EY19" s="160" t="str">
        <f t="shared" si="20"/>
        <v/>
      </c>
      <c r="EZ19" s="160" t="str">
        <f t="shared" si="20"/>
        <v/>
      </c>
      <c r="FA19" s="160" t="str">
        <f t="shared" si="20"/>
        <v/>
      </c>
      <c r="FB19" s="160" t="str">
        <f t="shared" si="20"/>
        <v/>
      </c>
      <c r="FC19" s="167" t="str">
        <f t="shared" si="20"/>
        <v/>
      </c>
      <c r="FD19" s="173" t="str">
        <f t="shared" si="20"/>
        <v/>
      </c>
      <c r="FE19" s="160" t="str">
        <f t="shared" si="20"/>
        <v/>
      </c>
      <c r="FF19" s="160" t="str">
        <f t="shared" si="20"/>
        <v/>
      </c>
      <c r="FG19" s="160" t="str">
        <f t="shared" si="20"/>
        <v/>
      </c>
      <c r="FH19" s="160" t="str">
        <f t="shared" si="20"/>
        <v/>
      </c>
      <c r="FI19" s="160" t="str">
        <f t="shared" si="20"/>
        <v/>
      </c>
      <c r="FJ19" s="167" t="str">
        <f t="shared" si="20"/>
        <v/>
      </c>
      <c r="FK19" s="173" t="str">
        <f t="shared" si="20"/>
        <v/>
      </c>
      <c r="FL19" s="160" t="str">
        <f t="shared" si="20"/>
        <v/>
      </c>
      <c r="FM19" s="160" t="str">
        <f t="shared" si="20"/>
        <v/>
      </c>
      <c r="FN19" s="160" t="str">
        <f t="shared" si="20"/>
        <v/>
      </c>
      <c r="FO19" s="160" t="str">
        <f t="shared" si="20"/>
        <v/>
      </c>
      <c r="FP19" s="160" t="str">
        <f t="shared" si="20"/>
        <v/>
      </c>
      <c r="FQ19" s="167" t="str">
        <f t="shared" si="20"/>
        <v/>
      </c>
      <c r="FR19" s="173" t="str">
        <f t="shared" si="20"/>
        <v/>
      </c>
      <c r="FS19" s="160" t="str">
        <f t="shared" si="20"/>
        <v/>
      </c>
      <c r="FT19" s="160" t="str">
        <f t="shared" si="20"/>
        <v/>
      </c>
      <c r="FU19" s="160" t="str">
        <f t="shared" si="20"/>
        <v/>
      </c>
      <c r="FV19" s="160" t="str">
        <f t="shared" si="20"/>
        <v/>
      </c>
      <c r="FW19" s="160" t="str">
        <f t="shared" si="20"/>
        <v/>
      </c>
      <c r="FX19" s="167" t="str">
        <f t="shared" si="20"/>
        <v/>
      </c>
      <c r="FY19" s="173" t="str">
        <f t="shared" si="20"/>
        <v/>
      </c>
      <c r="FZ19" s="160" t="str">
        <f t="shared" si="20"/>
        <v/>
      </c>
      <c r="GA19" s="160" t="str">
        <f t="shared" si="20"/>
        <v/>
      </c>
      <c r="GB19" s="160" t="str">
        <f t="shared" si="20"/>
        <v/>
      </c>
      <c r="GC19" s="160" t="str">
        <f t="shared" si="20"/>
        <v/>
      </c>
      <c r="GD19" s="160" t="str">
        <f t="shared" si="20"/>
        <v/>
      </c>
      <c r="GE19" s="167" t="str">
        <f t="shared" si="20"/>
        <v/>
      </c>
      <c r="GF19" s="173" t="str">
        <f t="shared" si="20"/>
        <v/>
      </c>
      <c r="GG19" s="160" t="str">
        <f t="shared" si="20"/>
        <v/>
      </c>
      <c r="GH19" s="160" t="str">
        <f t="shared" si="20"/>
        <v/>
      </c>
      <c r="GI19" s="160" t="str">
        <f t="shared" si="20"/>
        <v/>
      </c>
      <c r="GJ19" s="160" t="str">
        <f t="shared" si="20"/>
        <v/>
      </c>
      <c r="GK19" s="160" t="str">
        <f t="shared" si="20"/>
        <v/>
      </c>
      <c r="GL19" s="167" t="str">
        <f t="shared" si="20"/>
        <v/>
      </c>
      <c r="GM19" s="173" t="str">
        <f t="shared" si="20"/>
        <v/>
      </c>
      <c r="GN19" s="160" t="str">
        <f t="shared" si="20"/>
        <v/>
      </c>
      <c r="GO19" s="160" t="str">
        <f t="shared" si="20"/>
        <v/>
      </c>
      <c r="GP19" s="160" t="str">
        <f t="shared" si="20"/>
        <v/>
      </c>
      <c r="GQ19" s="160" t="str">
        <f t="shared" si="20"/>
        <v/>
      </c>
      <c r="GR19" s="160" t="str">
        <f t="shared" si="20"/>
        <v/>
      </c>
      <c r="GS19" s="167" t="str">
        <f t="shared" si="20"/>
        <v/>
      </c>
      <c r="GT19" s="173" t="str">
        <f t="shared" si="20"/>
        <v/>
      </c>
      <c r="GU19" s="160" t="str">
        <f t="shared" si="20"/>
        <v/>
      </c>
      <c r="GV19" s="160" t="str">
        <f t="shared" si="20"/>
        <v/>
      </c>
      <c r="GW19" s="160" t="str">
        <f t="shared" ref="GW19:IB19" si="21">IF(SUM(GW3:GW16) &gt; 0, SUM(GW3:GW16), "")</f>
        <v/>
      </c>
      <c r="GX19" s="160" t="str">
        <f t="shared" si="21"/>
        <v/>
      </c>
      <c r="GY19" s="160" t="str">
        <f t="shared" si="21"/>
        <v/>
      </c>
      <c r="GZ19" s="167" t="str">
        <f t="shared" si="21"/>
        <v/>
      </c>
      <c r="HA19" s="173" t="str">
        <f t="shared" si="21"/>
        <v/>
      </c>
      <c r="HB19" s="160" t="str">
        <f t="shared" si="21"/>
        <v/>
      </c>
      <c r="HC19" s="160" t="str">
        <f t="shared" si="21"/>
        <v/>
      </c>
      <c r="HD19" s="160" t="str">
        <f t="shared" si="21"/>
        <v/>
      </c>
      <c r="HE19" s="160" t="str">
        <f t="shared" si="21"/>
        <v/>
      </c>
      <c r="HF19" s="160" t="str">
        <f t="shared" si="21"/>
        <v/>
      </c>
      <c r="HG19" s="167" t="str">
        <f t="shared" si="21"/>
        <v/>
      </c>
      <c r="HH19" s="173" t="str">
        <f t="shared" si="21"/>
        <v/>
      </c>
      <c r="HI19" s="160" t="str">
        <f t="shared" si="21"/>
        <v/>
      </c>
      <c r="HJ19" s="160" t="str">
        <f t="shared" si="21"/>
        <v/>
      </c>
      <c r="HK19" s="160" t="str">
        <f t="shared" si="21"/>
        <v/>
      </c>
      <c r="HL19" s="160" t="str">
        <f t="shared" si="21"/>
        <v/>
      </c>
      <c r="HM19" s="160" t="str">
        <f t="shared" si="21"/>
        <v/>
      </c>
      <c r="HN19" s="167" t="str">
        <f t="shared" si="21"/>
        <v/>
      </c>
      <c r="HO19" s="173" t="str">
        <f t="shared" si="21"/>
        <v/>
      </c>
      <c r="HP19" s="160" t="str">
        <f t="shared" si="21"/>
        <v/>
      </c>
      <c r="HQ19" s="160" t="str">
        <f t="shared" si="21"/>
        <v/>
      </c>
      <c r="HR19" s="160" t="str">
        <f t="shared" si="21"/>
        <v/>
      </c>
      <c r="HS19" s="160" t="str">
        <f t="shared" si="21"/>
        <v/>
      </c>
      <c r="HT19" s="160" t="str">
        <f t="shared" si="21"/>
        <v/>
      </c>
      <c r="HU19" s="167" t="str">
        <f t="shared" si="21"/>
        <v/>
      </c>
      <c r="HV19" s="173" t="str">
        <f t="shared" si="21"/>
        <v/>
      </c>
      <c r="HW19" s="160" t="str">
        <f t="shared" si="21"/>
        <v/>
      </c>
      <c r="HX19" s="160" t="str">
        <f t="shared" si="21"/>
        <v/>
      </c>
      <c r="HY19" s="160" t="str">
        <f t="shared" si="21"/>
        <v/>
      </c>
      <c r="HZ19" s="160" t="str">
        <f t="shared" si="21"/>
        <v/>
      </c>
      <c r="IA19" s="160" t="str">
        <f t="shared" si="21"/>
        <v/>
      </c>
      <c r="IB19" s="167" t="str">
        <f t="shared" si="21"/>
        <v/>
      </c>
    </row>
    <row r="20" spans="1:236" ht="15.75" thickBot="1" x14ac:dyDescent="0.3">
      <c r="A20" s="110" t="s">
        <v>18</v>
      </c>
      <c r="B20" s="16" t="s">
        <v>648</v>
      </c>
      <c r="C20" s="16" t="s">
        <v>648</v>
      </c>
      <c r="D20" s="16" t="s">
        <v>648</v>
      </c>
      <c r="E20" s="16"/>
      <c r="F20" s="16"/>
      <c r="G20" s="16"/>
      <c r="H20" s="17" t="s">
        <v>648</v>
      </c>
      <c r="I20" s="179"/>
      <c r="J20" s="184" t="s">
        <v>648</v>
      </c>
      <c r="K20" s="179">
        <f>SUM(M20:HP20)</f>
        <v>22</v>
      </c>
      <c r="L20" s="172" t="s">
        <v>648</v>
      </c>
      <c r="M20" s="170"/>
      <c r="N20" s="170"/>
      <c r="O20" s="170"/>
      <c r="P20" s="170"/>
      <c r="Q20" s="170"/>
      <c r="R20" s="170"/>
      <c r="S20" s="172"/>
      <c r="T20" s="170"/>
      <c r="U20" s="170"/>
      <c r="V20" s="170"/>
      <c r="W20" s="170"/>
      <c r="X20" s="170"/>
      <c r="Y20" s="170"/>
      <c r="Z20" s="172"/>
      <c r="AA20" s="170"/>
      <c r="AB20" s="170"/>
      <c r="AC20" s="170"/>
      <c r="AD20" s="170">
        <v>1</v>
      </c>
      <c r="AE20" s="170">
        <v>1</v>
      </c>
      <c r="AF20" s="170">
        <v>1</v>
      </c>
      <c r="AG20" s="172"/>
      <c r="AH20" s="170"/>
      <c r="AI20" s="170">
        <v>1</v>
      </c>
      <c r="AJ20" s="170"/>
      <c r="AK20" s="170">
        <v>1</v>
      </c>
      <c r="AL20" s="170">
        <v>1</v>
      </c>
      <c r="AM20" s="170"/>
      <c r="AN20" s="172"/>
      <c r="AO20" s="170"/>
      <c r="AP20" s="170">
        <v>1</v>
      </c>
      <c r="AQ20" s="170"/>
      <c r="AR20" s="170">
        <v>1</v>
      </c>
      <c r="AS20" s="170">
        <v>1</v>
      </c>
      <c r="AT20" s="170">
        <v>1</v>
      </c>
      <c r="AU20" s="172"/>
      <c r="AV20" s="170"/>
      <c r="AW20" s="170">
        <v>1</v>
      </c>
      <c r="AX20" s="170"/>
      <c r="AY20" s="170">
        <v>1</v>
      </c>
      <c r="AZ20" s="170">
        <v>1</v>
      </c>
      <c r="BA20" s="170"/>
      <c r="BB20" s="172"/>
      <c r="BC20" s="170">
        <v>1</v>
      </c>
      <c r="BD20" s="170">
        <v>1</v>
      </c>
      <c r="BE20" s="170"/>
      <c r="BF20" s="170">
        <v>1</v>
      </c>
      <c r="BG20" s="170">
        <v>1</v>
      </c>
      <c r="BH20" s="170"/>
      <c r="BI20" s="172"/>
      <c r="BJ20" s="170"/>
      <c r="BK20" s="170">
        <v>1</v>
      </c>
      <c r="BL20" s="170">
        <v>1</v>
      </c>
      <c r="BM20" s="170">
        <v>1</v>
      </c>
      <c r="BN20" s="170">
        <v>1</v>
      </c>
      <c r="BO20" s="170">
        <v>1</v>
      </c>
      <c r="BP20" s="172"/>
      <c r="BQ20" s="170"/>
      <c r="BR20" s="170"/>
      <c r="BS20" s="170"/>
      <c r="BT20" s="170"/>
      <c r="BU20" s="170"/>
      <c r="BV20" s="170"/>
      <c r="BW20" s="172"/>
      <c r="BX20" s="170"/>
      <c r="BY20" s="170"/>
      <c r="BZ20" s="170"/>
      <c r="CA20" s="170"/>
      <c r="CB20" s="170"/>
      <c r="CC20" s="170"/>
      <c r="CD20" s="172"/>
      <c r="CE20" s="170"/>
      <c r="CF20" s="170"/>
      <c r="CG20" s="170"/>
      <c r="CH20" s="170"/>
      <c r="CI20" s="170"/>
      <c r="CJ20" s="170"/>
      <c r="CK20" s="172"/>
      <c r="CL20" s="170"/>
      <c r="CM20" s="170"/>
      <c r="CN20" s="170"/>
      <c r="CO20" s="170"/>
      <c r="CP20" s="170"/>
      <c r="CQ20" s="170"/>
      <c r="CR20" s="172"/>
      <c r="CS20" s="170"/>
      <c r="CT20" s="170"/>
      <c r="CU20" s="170"/>
      <c r="CV20" s="170"/>
      <c r="CW20" s="170"/>
      <c r="CX20" s="170"/>
      <c r="CY20" s="172"/>
      <c r="CZ20" s="170"/>
      <c r="DA20" s="170"/>
      <c r="DB20" s="170"/>
      <c r="DC20" s="170"/>
      <c r="DD20" s="170"/>
      <c r="DE20" s="170"/>
      <c r="DF20" s="172"/>
      <c r="DG20" s="170"/>
      <c r="DH20" s="170"/>
      <c r="DI20" s="170"/>
      <c r="DJ20" s="170"/>
      <c r="DK20" s="170"/>
      <c r="DL20" s="170"/>
      <c r="DM20" s="172"/>
      <c r="DN20" s="170"/>
      <c r="DO20" s="170"/>
      <c r="DP20" s="170"/>
      <c r="DQ20" s="170"/>
      <c r="DR20" s="170"/>
      <c r="DS20" s="170"/>
      <c r="DT20" s="172"/>
      <c r="DU20" s="170"/>
      <c r="DV20" s="170"/>
      <c r="DW20" s="170"/>
      <c r="DX20" s="170"/>
      <c r="DY20" s="170"/>
      <c r="DZ20" s="170"/>
      <c r="EA20" s="172"/>
      <c r="EB20" s="170"/>
      <c r="EC20" s="170"/>
      <c r="ED20" s="170"/>
      <c r="EE20" s="170"/>
      <c r="EF20" s="170"/>
      <c r="EG20" s="170"/>
      <c r="EH20" s="172"/>
      <c r="EI20" s="170"/>
      <c r="EJ20" s="170"/>
      <c r="EK20" s="170"/>
      <c r="EL20" s="170"/>
      <c r="EM20" s="170"/>
      <c r="EN20" s="170"/>
      <c r="EO20" s="172"/>
      <c r="EP20" s="170"/>
      <c r="EQ20" s="170"/>
      <c r="ER20" s="170"/>
      <c r="ES20" s="170"/>
      <c r="ET20" s="170"/>
      <c r="EU20" s="170"/>
      <c r="EV20" s="172"/>
      <c r="EW20" s="170"/>
      <c r="EX20" s="170"/>
      <c r="EY20" s="170"/>
      <c r="EZ20" s="170"/>
      <c r="FA20" s="170"/>
      <c r="FB20" s="170"/>
      <c r="FC20" s="172"/>
      <c r="FD20" s="170"/>
      <c r="FE20" s="170"/>
      <c r="FF20" s="170"/>
      <c r="FG20" s="170"/>
      <c r="FH20" s="170"/>
      <c r="FI20" s="170"/>
      <c r="FJ20" s="172"/>
      <c r="FK20" s="170"/>
      <c r="FL20" s="170"/>
      <c r="FM20" s="170"/>
      <c r="FN20" s="170"/>
      <c r="FO20" s="170"/>
      <c r="FP20" s="170"/>
      <c r="FQ20" s="172"/>
      <c r="FR20" s="170"/>
      <c r="FS20" s="170"/>
      <c r="FT20" s="170"/>
      <c r="FU20" s="170"/>
      <c r="FV20" s="170"/>
      <c r="FW20" s="170"/>
      <c r="FX20" s="172"/>
      <c r="FY20" s="170"/>
      <c r="FZ20" s="170"/>
      <c r="GA20" s="170"/>
      <c r="GB20" s="170"/>
      <c r="GC20" s="170"/>
      <c r="GD20" s="170"/>
      <c r="GE20" s="172"/>
      <c r="GF20" s="170"/>
      <c r="GG20" s="170"/>
      <c r="GH20" s="170"/>
      <c r="GI20" s="170"/>
      <c r="GJ20" s="170"/>
      <c r="GK20" s="170"/>
      <c r="GL20" s="172"/>
      <c r="GM20" s="170"/>
      <c r="GN20" s="170"/>
      <c r="GO20" s="170"/>
      <c r="GP20" s="170"/>
      <c r="GQ20" s="170"/>
      <c r="GR20" s="170"/>
      <c r="GS20" s="172"/>
      <c r="GT20" s="170"/>
      <c r="GU20" s="170"/>
      <c r="GV20" s="170"/>
      <c r="GW20" s="170"/>
      <c r="GX20" s="170"/>
      <c r="GY20" s="170"/>
      <c r="GZ20" s="172"/>
      <c r="HA20" s="170"/>
      <c r="HB20" s="170"/>
      <c r="HC20" s="170"/>
      <c r="HD20" s="170"/>
      <c r="HE20" s="170"/>
      <c r="HF20" s="170"/>
      <c r="HG20" s="172"/>
      <c r="HH20" s="170"/>
      <c r="HI20" s="170"/>
      <c r="HJ20" s="170"/>
      <c r="HK20" s="170"/>
      <c r="HL20" s="170"/>
      <c r="HM20" s="170"/>
      <c r="HN20" s="172"/>
      <c r="HO20" s="170"/>
      <c r="HP20" s="170"/>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x14ac:dyDescent="0.25">
      <c r="A34" t="s">
        <v>667</v>
      </c>
      <c r="B34">
        <v>1</v>
      </c>
      <c r="D34">
        <f>B34</f>
        <v>1</v>
      </c>
      <c r="H34">
        <f>D34</f>
        <v>1</v>
      </c>
      <c r="I34" s="142" t="s">
        <v>680</v>
      </c>
      <c r="J34">
        <f>H34</f>
        <v>1</v>
      </c>
      <c r="K34">
        <f t="shared" ref="K34:L38" si="22">J34</f>
        <v>1</v>
      </c>
      <c r="L34">
        <f t="shared" si="22"/>
        <v>1</v>
      </c>
    </row>
    <row r="35" spans="1:12" x14ac:dyDescent="0.25">
      <c r="A35" t="s">
        <v>668</v>
      </c>
      <c r="B35">
        <v>2</v>
      </c>
      <c r="D35">
        <f>B35</f>
        <v>2</v>
      </c>
      <c r="H35">
        <f>D35</f>
        <v>2</v>
      </c>
      <c r="I35" s="142" t="s">
        <v>680</v>
      </c>
      <c r="J35">
        <f>H35</f>
        <v>2</v>
      </c>
      <c r="K35">
        <f t="shared" si="22"/>
        <v>2</v>
      </c>
      <c r="L35">
        <f t="shared" si="22"/>
        <v>2</v>
      </c>
    </row>
    <row r="36" spans="1:12" x14ac:dyDescent="0.25">
      <c r="A36" t="s">
        <v>200</v>
      </c>
      <c r="B36">
        <v>3</v>
      </c>
      <c r="D36">
        <f>B36</f>
        <v>3</v>
      </c>
      <c r="H36">
        <f>D36</f>
        <v>3</v>
      </c>
      <c r="I36" s="142" t="s">
        <v>680</v>
      </c>
      <c r="J36">
        <f>H36</f>
        <v>3</v>
      </c>
      <c r="K36">
        <f t="shared" si="22"/>
        <v>3</v>
      </c>
      <c r="L36">
        <f t="shared" si="22"/>
        <v>3</v>
      </c>
    </row>
    <row r="37" spans="1:12" x14ac:dyDescent="0.25">
      <c r="A37" t="s">
        <v>201</v>
      </c>
      <c r="B37">
        <v>17</v>
      </c>
      <c r="D37">
        <f>B37</f>
        <v>17</v>
      </c>
      <c r="H37">
        <f>D37</f>
        <v>17</v>
      </c>
      <c r="I37" s="142" t="s">
        <v>680</v>
      </c>
      <c r="J37">
        <f>H37</f>
        <v>17</v>
      </c>
      <c r="K37">
        <f t="shared" si="22"/>
        <v>17</v>
      </c>
      <c r="L37">
        <f t="shared" si="22"/>
        <v>17</v>
      </c>
    </row>
    <row r="38" spans="1:12" x14ac:dyDescent="0.25">
      <c r="A38" t="s">
        <v>717</v>
      </c>
      <c r="B38" t="s">
        <v>671</v>
      </c>
      <c r="D38" t="str">
        <f>B38</f>
        <v>I</v>
      </c>
      <c r="H38" t="str">
        <f>D38</f>
        <v>I</v>
      </c>
      <c r="I38" s="142" t="s">
        <v>680</v>
      </c>
      <c r="J38" t="str">
        <f>H38</f>
        <v>I</v>
      </c>
      <c r="K38" t="str">
        <f t="shared" si="22"/>
        <v>I</v>
      </c>
      <c r="L38" t="str">
        <f t="shared" si="22"/>
        <v>I</v>
      </c>
    </row>
    <row r="39" spans="1:12" x14ac:dyDescent="0.25">
      <c r="A39" t="s">
        <v>205</v>
      </c>
      <c r="B39" t="s">
        <v>625</v>
      </c>
      <c r="D39" t="s">
        <v>625</v>
      </c>
      <c r="H39" t="s">
        <v>875</v>
      </c>
      <c r="I39" s="142" t="s">
        <v>680</v>
      </c>
      <c r="J39" t="s">
        <v>872</v>
      </c>
      <c r="K39" s="44" t="s">
        <v>876</v>
      </c>
      <c r="L39" t="s">
        <v>877</v>
      </c>
    </row>
    <row r="40" spans="1:12" x14ac:dyDescent="0.25">
      <c r="A40" t="s">
        <v>732</v>
      </c>
      <c r="D40" t="s">
        <v>57</v>
      </c>
      <c r="E40" t="str">
        <f t="shared" ref="E40:L42" si="23">D40</f>
        <v>J</v>
      </c>
      <c r="F40" t="str">
        <f t="shared" si="23"/>
        <v>J</v>
      </c>
      <c r="G40" t="str">
        <f t="shared" si="23"/>
        <v>J</v>
      </c>
      <c r="H40" t="str">
        <f>G40</f>
        <v>J</v>
      </c>
      <c r="I40" t="str">
        <f t="shared" si="23"/>
        <v>J</v>
      </c>
      <c r="J40" t="str">
        <f t="shared" si="23"/>
        <v>J</v>
      </c>
      <c r="K40" t="str">
        <f t="shared" si="23"/>
        <v>J</v>
      </c>
      <c r="L40" t="str">
        <f t="shared" si="23"/>
        <v>J</v>
      </c>
    </row>
    <row r="41" spans="1:12" x14ac:dyDescent="0.25">
      <c r="A41" t="s">
        <v>733</v>
      </c>
      <c r="B41" t="s">
        <v>404</v>
      </c>
      <c r="E41">
        <f t="shared" si="23"/>
        <v>0</v>
      </c>
      <c r="F41">
        <f t="shared" si="23"/>
        <v>0</v>
      </c>
      <c r="G41">
        <f t="shared" si="23"/>
        <v>0</v>
      </c>
      <c r="I41">
        <f t="shared" si="23"/>
        <v>0</v>
      </c>
      <c r="J41"/>
      <c r="K41"/>
      <c r="L41"/>
    </row>
    <row r="42" spans="1:12" x14ac:dyDescent="0.25">
      <c r="A42" t="s">
        <v>734</v>
      </c>
      <c r="B42" t="s">
        <v>52</v>
      </c>
      <c r="E42">
        <f t="shared" si="23"/>
        <v>0</v>
      </c>
      <c r="F42">
        <f t="shared" si="23"/>
        <v>0</v>
      </c>
      <c r="G42">
        <f t="shared" si="23"/>
        <v>0</v>
      </c>
      <c r="I42">
        <f t="shared" si="23"/>
        <v>0</v>
      </c>
      <c r="J42"/>
      <c r="K42"/>
      <c r="L42"/>
    </row>
    <row r="43" spans="1:12" x14ac:dyDescent="0.25">
      <c r="A43" t="s">
        <v>206</v>
      </c>
      <c r="B43" t="str">
        <f>FindEnd(M20:IU20)</f>
        <v>BP</v>
      </c>
      <c r="D43" t="s">
        <v>878</v>
      </c>
      <c r="H43" t="s">
        <v>879</v>
      </c>
      <c r="I43" s="142" t="s">
        <v>680</v>
      </c>
      <c r="J43" t="s">
        <v>880</v>
      </c>
      <c r="K43" s="44" t="s">
        <v>881</v>
      </c>
      <c r="L43" t="s">
        <v>882</v>
      </c>
    </row>
    <row r="44" spans="1:12" x14ac:dyDescent="0.25">
      <c r="A44" t="s">
        <v>681</v>
      </c>
      <c r="B44">
        <v>18</v>
      </c>
      <c r="D44">
        <f>B44</f>
        <v>18</v>
      </c>
      <c r="H44">
        <f>D44</f>
        <v>18</v>
      </c>
      <c r="I44" s="142" t="s">
        <v>680</v>
      </c>
      <c r="J44">
        <f>H44</f>
        <v>18</v>
      </c>
      <c r="K44">
        <f t="shared" ref="K44:L48" si="24">J44</f>
        <v>18</v>
      </c>
      <c r="L44">
        <f t="shared" si="24"/>
        <v>18</v>
      </c>
    </row>
    <row r="45" spans="1:12" x14ac:dyDescent="0.25">
      <c r="A45" t="s">
        <v>682</v>
      </c>
      <c r="B45">
        <v>19</v>
      </c>
      <c r="D45">
        <f>B45</f>
        <v>19</v>
      </c>
      <c r="H45">
        <f>D45</f>
        <v>19</v>
      </c>
      <c r="I45" s="142" t="s">
        <v>680</v>
      </c>
      <c r="J45">
        <f>H45</f>
        <v>19</v>
      </c>
      <c r="K45">
        <f t="shared" si="24"/>
        <v>19</v>
      </c>
      <c r="L45">
        <f t="shared" si="24"/>
        <v>19</v>
      </c>
    </row>
    <row r="46" spans="1:12" x14ac:dyDescent="0.25">
      <c r="A46" t="s">
        <v>669</v>
      </c>
      <c r="B46" t="s">
        <v>933</v>
      </c>
      <c r="D46" t="str">
        <f>B46</f>
        <v>K20</v>
      </c>
      <c r="E46" t="str">
        <f t="shared" ref="E46:J46" si="25">D46</f>
        <v>K20</v>
      </c>
      <c r="F46" t="str">
        <f t="shared" si="25"/>
        <v>K20</v>
      </c>
      <c r="G46" t="str">
        <f t="shared" si="25"/>
        <v>K20</v>
      </c>
      <c r="H46" t="str">
        <f t="shared" si="25"/>
        <v>K20</v>
      </c>
      <c r="I46" t="str">
        <f t="shared" si="25"/>
        <v>K20</v>
      </c>
      <c r="J46" t="str">
        <f t="shared" si="25"/>
        <v>K20</v>
      </c>
      <c r="K46" t="str">
        <f t="shared" si="24"/>
        <v>K20</v>
      </c>
      <c r="L46" t="str">
        <f t="shared" si="24"/>
        <v>K20</v>
      </c>
    </row>
    <row r="47" spans="1:12" x14ac:dyDescent="0.25">
      <c r="A47" t="s">
        <v>658</v>
      </c>
      <c r="D47">
        <v>22</v>
      </c>
      <c r="H47">
        <f>D47</f>
        <v>22</v>
      </c>
      <c r="I47" s="142" t="s">
        <v>680</v>
      </c>
      <c r="J47">
        <f>H47</f>
        <v>22</v>
      </c>
      <c r="K47">
        <f t="shared" si="24"/>
        <v>22</v>
      </c>
      <c r="L47">
        <f t="shared" si="24"/>
        <v>22</v>
      </c>
    </row>
    <row r="48" spans="1:12" x14ac:dyDescent="0.25">
      <c r="A48" t="s">
        <v>659</v>
      </c>
      <c r="D48">
        <v>24</v>
      </c>
      <c r="H48">
        <f>D48</f>
        <v>24</v>
      </c>
      <c r="I48" s="142" t="s">
        <v>680</v>
      </c>
      <c r="J48">
        <f>H48</f>
        <v>24</v>
      </c>
      <c r="K48">
        <f t="shared" si="24"/>
        <v>24</v>
      </c>
      <c r="L48">
        <f t="shared" si="24"/>
        <v>24</v>
      </c>
    </row>
    <row r="50" spans="1:2" x14ac:dyDescent="0.25">
      <c r="A50" t="s">
        <v>722</v>
      </c>
      <c r="B50" s="142" t="s">
        <v>870</v>
      </c>
    </row>
    <row r="51" spans="1:2" x14ac:dyDescent="0.25">
      <c r="A51" t="s">
        <v>673</v>
      </c>
      <c r="B51" s="142" t="s">
        <v>871</v>
      </c>
    </row>
    <row r="52" spans="1:2" x14ac:dyDescent="0.25">
      <c r="A52" t="s">
        <v>674</v>
      </c>
      <c r="B52" s="142" t="s">
        <v>873</v>
      </c>
    </row>
    <row r="53" spans="1:2" x14ac:dyDescent="0.25">
      <c r="A53" t="s">
        <v>675</v>
      </c>
      <c r="B53" s="142" t="s">
        <v>874</v>
      </c>
    </row>
    <row r="54" spans="1:2" x14ac:dyDescent="0.25">
      <c r="A54" t="s">
        <v>676</v>
      </c>
      <c r="B54" s="142" t="s">
        <v>883</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workbookViewId="0">
      <pane xSplit="12" topLeftCell="CG1" activePane="topRight" state="frozen"/>
      <selection pane="topRight" activeCell="CU25" sqref="CU25"/>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18" t="s">
        <v>46</v>
      </c>
      <c r="B1" s="219"/>
      <c r="C1" s="219"/>
      <c r="D1" s="219"/>
      <c r="E1" s="219"/>
      <c r="F1" s="219"/>
      <c r="G1" s="219"/>
      <c r="H1" s="220"/>
      <c r="I1" s="224" t="str">
        <f>A1</f>
        <v>BL</v>
      </c>
      <c r="J1" s="226" t="s">
        <v>38</v>
      </c>
      <c r="K1" s="228" t="s">
        <v>49</v>
      </c>
      <c r="L1" s="210"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21"/>
      <c r="B2" s="222"/>
      <c r="C2" s="222"/>
      <c r="D2" s="222"/>
      <c r="E2" s="222"/>
      <c r="F2" s="222"/>
      <c r="G2" s="222"/>
      <c r="H2" s="223"/>
      <c r="I2" s="225"/>
      <c r="J2" s="227"/>
      <c r="K2" s="229"/>
      <c r="L2" s="211"/>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56</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788</v>
      </c>
      <c r="K4" s="19">
        <f t="shared" ref="K4:K22" si="7">SUM(M4:IU4)</f>
        <v>37</v>
      </c>
      <c r="L4" s="192">
        <f t="shared" si="5"/>
        <v>67.272727272727266</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53</v>
      </c>
      <c r="L5" s="192">
        <f t="shared" si="5"/>
        <v>94.642857142857139</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788</v>
      </c>
      <c r="K6" s="19">
        <f t="shared" si="7"/>
        <v>45</v>
      </c>
      <c r="L6" s="192">
        <f t="shared" si="5"/>
        <v>80.357142857142861</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47</v>
      </c>
      <c r="L7" s="192">
        <f t="shared" si="5"/>
        <v>85.454545454545453</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826</v>
      </c>
      <c r="K8" s="19">
        <f t="shared" si="7"/>
        <v>40</v>
      </c>
      <c r="L8" s="192">
        <f t="shared" si="5"/>
        <v>72.727272727272734</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849</v>
      </c>
      <c r="K9" s="19">
        <f t="shared" si="7"/>
        <v>51</v>
      </c>
      <c r="L9" s="192">
        <f t="shared" si="5"/>
        <v>91.071428571428569</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51</v>
      </c>
      <c r="L10" s="192">
        <f t="shared" si="5"/>
        <v>91.071428571428569</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40</v>
      </c>
      <c r="L11" s="192">
        <f t="shared" si="5"/>
        <v>71.428571428571431</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53</v>
      </c>
      <c r="L12" s="192">
        <f t="shared" si="5"/>
        <v>94.642857142857139</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50</v>
      </c>
      <c r="L13" s="192">
        <f t="shared" si="5"/>
        <v>89.285714285714292</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788</v>
      </c>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852</v>
      </c>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56</v>
      </c>
      <c r="L16" s="192">
        <f t="shared" si="8"/>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50</v>
      </c>
      <c r="L17" s="192">
        <f t="shared" si="8"/>
        <v>90.909090909090907</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788</v>
      </c>
      <c r="K18" s="19">
        <f t="shared" si="7"/>
        <v>53</v>
      </c>
      <c r="L18" s="192">
        <f t="shared" si="8"/>
        <v>94.642857142857139</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852</v>
      </c>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47</v>
      </c>
      <c r="L20" s="192">
        <f t="shared" ref="L20:L24" si="9">K20/K$25 * 100</f>
        <v>83.928571428571431</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26</v>
      </c>
      <c r="L21" s="192">
        <f t="shared" si="9"/>
        <v>46.428571428571431</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788</v>
      </c>
      <c r="K22" s="169">
        <f t="shared" si="7"/>
        <v>53</v>
      </c>
      <c r="L22" s="194">
        <f t="shared" si="9"/>
        <v>94.642857142857139</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12" t="s">
        <v>647</v>
      </c>
      <c r="B23" s="213"/>
      <c r="C23" s="213"/>
      <c r="D23" s="213"/>
      <c r="E23" s="213"/>
      <c r="F23" s="213"/>
      <c r="G23" s="213"/>
      <c r="H23" s="214"/>
      <c r="I23" s="181" t="str">
        <f>"#1|" &amp; A23</f>
        <v>#1|Spielerinnen</v>
      </c>
      <c r="J23" s="177"/>
      <c r="K23" s="188">
        <f>SUM(K3:K19) / (17)</f>
        <v>44.705882352941174</v>
      </c>
      <c r="L23" s="187">
        <f t="shared" si="9"/>
        <v>79.831932773109244</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t="str">
        <f>IF(SUM(CV3:CV19) &gt; 0, SUM(CV3:CV19), "")</f>
        <v/>
      </c>
      <c r="CW23" s="150" t="str">
        <f t="shared" ref="CW23:DB23" si="22">IF(SUM(CW3:CW19) &gt; 0, SUM(CW3:CW19), "")</f>
        <v/>
      </c>
      <c r="CX23" s="150" t="str">
        <f t="shared" si="22"/>
        <v/>
      </c>
      <c r="CY23" s="150" t="str">
        <f t="shared" si="22"/>
        <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15" t="s">
        <v>728</v>
      </c>
      <c r="B24" s="216"/>
      <c r="C24" s="216"/>
      <c r="D24" s="216"/>
      <c r="E24" s="216"/>
      <c r="F24" s="216"/>
      <c r="G24" s="216"/>
      <c r="H24" s="217"/>
      <c r="I24" s="180" t="str">
        <f>"#2|" &amp; A24</f>
        <v>#2|Alle</v>
      </c>
      <c r="J24" s="178"/>
      <c r="K24" s="189">
        <f>SUM(K3:K22) / 19</f>
        <v>46.631578947368418</v>
      </c>
      <c r="L24" s="190">
        <f t="shared" si="9"/>
        <v>83.270676691729321</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t="str">
        <f>IF(SUM(CV3:CV22) &gt; 0, SUM(CV3:CV22), "")</f>
        <v/>
      </c>
      <c r="CW24" s="160" t="str">
        <f t="shared" ref="CW24:DB24" si="58">IF(SUM(CW3:CW22) &gt; 0, SUM(CW3:CW22), "")</f>
        <v/>
      </c>
      <c r="CX24" s="160" t="str">
        <f t="shared" si="58"/>
        <v/>
      </c>
      <c r="CY24" s="160" t="str">
        <f t="shared" si="58"/>
        <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56</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866</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CU</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35"/>
  <sheetViews>
    <sheetView workbookViewId="0">
      <selection activeCell="D11" sqref="D11"/>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2"/>
      <c r="B4" s="73"/>
    </row>
    <row r="5" spans="1:4" x14ac:dyDescent="0.25">
      <c r="A5" s="72"/>
      <c r="B5" s="73"/>
    </row>
    <row r="6" spans="1:4" x14ac:dyDescent="0.25">
      <c r="A6" s="72"/>
      <c r="B6" s="73"/>
    </row>
    <row r="7" spans="1:4" x14ac:dyDescent="0.25">
      <c r="A7" s="72"/>
      <c r="B7" s="73"/>
    </row>
    <row r="8" spans="1:4" x14ac:dyDescent="0.25">
      <c r="A8" s="72"/>
      <c r="B8" s="73"/>
    </row>
    <row r="9" spans="1:4" x14ac:dyDescent="0.25">
      <c r="A9" s="75">
        <v>44283</v>
      </c>
      <c r="B9" s="74"/>
      <c r="C9" s="74"/>
      <c r="D9" s="74" t="s">
        <v>899</v>
      </c>
    </row>
    <row r="10" spans="1:4" x14ac:dyDescent="0.25">
      <c r="A10" s="72"/>
      <c r="B10" s="73"/>
      <c r="D10" t="s">
        <v>903</v>
      </c>
    </row>
    <row r="11" spans="1:4" x14ac:dyDescent="0.25">
      <c r="A11" s="75">
        <v>44282</v>
      </c>
      <c r="B11" s="74" t="s">
        <v>901</v>
      </c>
      <c r="C11" s="74"/>
      <c r="D11" s="74" t="s">
        <v>899</v>
      </c>
    </row>
    <row r="12" spans="1:4" x14ac:dyDescent="0.25">
      <c r="A12" s="72"/>
      <c r="B12" s="73" t="s">
        <v>902</v>
      </c>
      <c r="D12" t="s">
        <v>900</v>
      </c>
    </row>
    <row r="13" spans="1:4" x14ac:dyDescent="0.25">
      <c r="A13" s="75">
        <v>44281</v>
      </c>
      <c r="B13" s="74" t="s">
        <v>895</v>
      </c>
      <c r="C13" s="74"/>
      <c r="D13" s="74" t="s">
        <v>896</v>
      </c>
    </row>
    <row r="14" spans="1:4" ht="60" x14ac:dyDescent="0.25">
      <c r="A14" s="72"/>
      <c r="B14" s="76" t="s">
        <v>897</v>
      </c>
      <c r="D14" s="1" t="s">
        <v>894</v>
      </c>
    </row>
    <row r="15" spans="1:4" x14ac:dyDescent="0.25">
      <c r="A15" s="75">
        <v>44280</v>
      </c>
      <c r="B15" s="74" t="s">
        <v>885</v>
      </c>
      <c r="C15" s="74"/>
      <c r="D15" s="74" t="s">
        <v>808</v>
      </c>
    </row>
    <row r="16" spans="1:4" ht="60" x14ac:dyDescent="0.25">
      <c r="A16" s="72"/>
      <c r="B16" s="76" t="s">
        <v>898</v>
      </c>
      <c r="D16" s="1" t="s">
        <v>893</v>
      </c>
    </row>
    <row r="17" spans="1:4" x14ac:dyDescent="0.25">
      <c r="A17" s="75">
        <v>44279</v>
      </c>
      <c r="B17" s="74" t="s">
        <v>834</v>
      </c>
      <c r="C17" s="74"/>
      <c r="D17" s="74" t="s">
        <v>892</v>
      </c>
    </row>
    <row r="18" spans="1:4" x14ac:dyDescent="0.25">
      <c r="A18" s="72"/>
      <c r="B18" s="73" t="s">
        <v>890</v>
      </c>
      <c r="D18" t="s">
        <v>891</v>
      </c>
    </row>
    <row r="19" spans="1:4" x14ac:dyDescent="0.25">
      <c r="A19" s="75">
        <v>44278</v>
      </c>
      <c r="B19" s="74" t="s">
        <v>885</v>
      </c>
      <c r="C19" s="74"/>
      <c r="D19" s="74" t="s">
        <v>887</v>
      </c>
    </row>
    <row r="20" spans="1:4" ht="135" x14ac:dyDescent="0.25">
      <c r="A20" s="72"/>
      <c r="B20" s="76" t="s">
        <v>886</v>
      </c>
      <c r="D20" s="1" t="s">
        <v>888</v>
      </c>
    </row>
    <row r="21" spans="1:4" x14ac:dyDescent="0.25">
      <c r="A21" s="75">
        <v>44277</v>
      </c>
      <c r="B21" s="74" t="s">
        <v>843</v>
      </c>
    </row>
    <row r="22" spans="1:4" ht="90" x14ac:dyDescent="0.25">
      <c r="A22" s="72"/>
      <c r="B22" s="76" t="s">
        <v>884</v>
      </c>
    </row>
    <row r="23" spans="1:4" x14ac:dyDescent="0.25">
      <c r="A23" s="72"/>
      <c r="B23" s="73"/>
    </row>
    <row r="24" spans="1:4" x14ac:dyDescent="0.25">
      <c r="A24" s="75">
        <v>44275</v>
      </c>
      <c r="B24" s="75" t="s">
        <v>868</v>
      </c>
    </row>
    <row r="25" spans="1:4" ht="30" x14ac:dyDescent="0.25">
      <c r="A25" s="72"/>
      <c r="B25" s="76" t="s">
        <v>869</v>
      </c>
    </row>
    <row r="26" spans="1:4" x14ac:dyDescent="0.25">
      <c r="A26" s="75">
        <v>44274</v>
      </c>
      <c r="B26" s="73"/>
      <c r="C26" s="74"/>
      <c r="D26" s="74" t="s">
        <v>808</v>
      </c>
    </row>
    <row r="27" spans="1:4" ht="90" x14ac:dyDescent="0.25">
      <c r="A27" s="72"/>
      <c r="B27" s="73"/>
      <c r="D27" s="1" t="s">
        <v>867</v>
      </c>
    </row>
    <row r="28" spans="1:4" x14ac:dyDescent="0.25">
      <c r="A28" s="75">
        <v>44273</v>
      </c>
      <c r="B28" s="74" t="s">
        <v>663</v>
      </c>
      <c r="C28" s="74"/>
      <c r="D28" s="74" t="s">
        <v>838</v>
      </c>
    </row>
    <row r="29" spans="1:4" ht="90" x14ac:dyDescent="0.25">
      <c r="A29" s="72"/>
      <c r="B29" s="76" t="s">
        <v>863</v>
      </c>
      <c r="D29" s="1" t="s">
        <v>862</v>
      </c>
    </row>
    <row r="30" spans="1:4" x14ac:dyDescent="0.25">
      <c r="A30" s="75">
        <v>44271</v>
      </c>
      <c r="B30" s="74" t="s">
        <v>843</v>
      </c>
      <c r="C30" s="74"/>
      <c r="D30" s="74" t="s">
        <v>834</v>
      </c>
    </row>
    <row r="31" spans="1:4" ht="60" x14ac:dyDescent="0.25">
      <c r="A31" s="72"/>
      <c r="B31" s="76" t="s">
        <v>865</v>
      </c>
      <c r="D31" s="1" t="s">
        <v>861</v>
      </c>
    </row>
    <row r="32" spans="1:4" x14ac:dyDescent="0.25">
      <c r="A32" s="75">
        <v>44270</v>
      </c>
      <c r="B32" s="74" t="s">
        <v>853</v>
      </c>
      <c r="C32" s="74"/>
      <c r="D32" s="74" t="s">
        <v>855</v>
      </c>
    </row>
    <row r="33" spans="1:4" ht="60" x14ac:dyDescent="0.25">
      <c r="A33" s="72"/>
      <c r="B33" s="76" t="s">
        <v>864</v>
      </c>
      <c r="D33" s="76" t="s">
        <v>856</v>
      </c>
    </row>
    <row r="34" spans="1:4" x14ac:dyDescent="0.25">
      <c r="A34" s="72"/>
      <c r="B34" s="73"/>
    </row>
    <row r="35" spans="1:4" x14ac:dyDescent="0.25">
      <c r="A35" s="75">
        <v>44268</v>
      </c>
      <c r="B35" s="74" t="s">
        <v>602</v>
      </c>
    </row>
    <row r="36" spans="1:4" ht="45" x14ac:dyDescent="0.25">
      <c r="A36" s="72"/>
      <c r="B36" s="76" t="s">
        <v>854</v>
      </c>
    </row>
    <row r="37" spans="1:4" x14ac:dyDescent="0.25">
      <c r="A37" s="75">
        <v>44267</v>
      </c>
      <c r="B37" s="74" t="s">
        <v>602</v>
      </c>
      <c r="C37" s="74"/>
      <c r="D37" s="74" t="s">
        <v>808</v>
      </c>
    </row>
    <row r="38" spans="1:4" ht="60" x14ac:dyDescent="0.25">
      <c r="A38" s="72"/>
      <c r="B38" s="76" t="s">
        <v>858</v>
      </c>
      <c r="D38" s="1" t="s">
        <v>857</v>
      </c>
    </row>
    <row r="39" spans="1:4" x14ac:dyDescent="0.25">
      <c r="A39" s="75">
        <v>44266</v>
      </c>
      <c r="B39" s="74" t="s">
        <v>853</v>
      </c>
      <c r="C39" s="74"/>
      <c r="D39" s="74" t="s">
        <v>838</v>
      </c>
    </row>
    <row r="40" spans="1:4" ht="60" x14ac:dyDescent="0.25">
      <c r="A40" s="72"/>
      <c r="B40" s="76" t="s">
        <v>859</v>
      </c>
      <c r="D40" s="76" t="s">
        <v>860</v>
      </c>
    </row>
    <row r="41" spans="1:4" x14ac:dyDescent="0.25">
      <c r="A41" s="75">
        <v>44264</v>
      </c>
      <c r="B41" s="74" t="s">
        <v>845</v>
      </c>
      <c r="C41" s="74"/>
      <c r="D41" s="74" t="s">
        <v>813</v>
      </c>
    </row>
    <row r="42" spans="1:4" ht="60" x14ac:dyDescent="0.25">
      <c r="A42" s="72"/>
      <c r="B42" s="73" t="s">
        <v>847</v>
      </c>
      <c r="D42" s="1" t="s">
        <v>846</v>
      </c>
    </row>
    <row r="43" spans="1:4" x14ac:dyDescent="0.25">
      <c r="A43" s="75">
        <v>44263</v>
      </c>
      <c r="B43" s="74" t="s">
        <v>843</v>
      </c>
    </row>
    <row r="44" spans="1:4" ht="45" x14ac:dyDescent="0.25">
      <c r="A44" s="72"/>
      <c r="B44" s="76" t="s">
        <v>844</v>
      </c>
    </row>
    <row r="45" spans="1:4" x14ac:dyDescent="0.25">
      <c r="A45" s="72"/>
      <c r="B45" s="73"/>
    </row>
    <row r="46" spans="1:4" x14ac:dyDescent="0.25">
      <c r="A46" s="75">
        <v>44260</v>
      </c>
      <c r="B46" s="74" t="s">
        <v>772</v>
      </c>
      <c r="C46" s="74"/>
      <c r="D46" s="74" t="s">
        <v>838</v>
      </c>
    </row>
    <row r="47" spans="1:4" ht="75" x14ac:dyDescent="0.25">
      <c r="A47" s="72"/>
      <c r="B47" s="76" t="s">
        <v>840</v>
      </c>
      <c r="D47" s="1" t="s">
        <v>839</v>
      </c>
    </row>
    <row r="48" spans="1:4" x14ac:dyDescent="0.25">
      <c r="A48" s="75">
        <v>44259</v>
      </c>
      <c r="B48" s="74" t="s">
        <v>664</v>
      </c>
      <c r="C48" s="74"/>
      <c r="D48" s="74" t="s">
        <v>834</v>
      </c>
    </row>
    <row r="49" spans="1:4" ht="60" x14ac:dyDescent="0.25">
      <c r="A49" s="72"/>
      <c r="B49" s="76" t="s">
        <v>837</v>
      </c>
      <c r="D49" s="1" t="s">
        <v>836</v>
      </c>
    </row>
    <row r="50" spans="1:4" x14ac:dyDescent="0.25">
      <c r="A50" s="75">
        <v>44257</v>
      </c>
      <c r="B50" s="74" t="s">
        <v>768</v>
      </c>
      <c r="C50" s="74"/>
      <c r="D50" s="74" t="s">
        <v>834</v>
      </c>
    </row>
    <row r="51" spans="1:4" ht="105" x14ac:dyDescent="0.25">
      <c r="A51" s="72"/>
      <c r="B51" s="76" t="s">
        <v>832</v>
      </c>
      <c r="D51" s="1" t="s">
        <v>835</v>
      </c>
    </row>
    <row r="52" spans="1:4" x14ac:dyDescent="0.25">
      <c r="A52" s="75">
        <v>44256</v>
      </c>
      <c r="B52" s="74" t="s">
        <v>664</v>
      </c>
    </row>
    <row r="53" spans="1:4" ht="45" x14ac:dyDescent="0.25">
      <c r="A53" s="72"/>
      <c r="B53" s="76" t="s">
        <v>833</v>
      </c>
    </row>
    <row r="54" spans="1:4" x14ac:dyDescent="0.25">
      <c r="A54" s="75">
        <v>44255</v>
      </c>
      <c r="B54" s="74" t="s">
        <v>830</v>
      </c>
    </row>
    <row r="55" spans="1:4" ht="60" x14ac:dyDescent="0.25">
      <c r="A55" s="72"/>
      <c r="B55" s="76" t="s">
        <v>831</v>
      </c>
    </row>
    <row r="56" spans="1:4" x14ac:dyDescent="0.25">
      <c r="A56" s="75">
        <v>44254</v>
      </c>
      <c r="B56" s="74" t="s">
        <v>829</v>
      </c>
    </row>
    <row r="57" spans="1:4" ht="75" x14ac:dyDescent="0.25">
      <c r="A57" s="72"/>
      <c r="B57" s="76" t="s">
        <v>828</v>
      </c>
    </row>
    <row r="58" spans="1:4" x14ac:dyDescent="0.25">
      <c r="A58" s="75">
        <v>44253</v>
      </c>
      <c r="B58" s="74" t="s">
        <v>608</v>
      </c>
      <c r="C58" s="74"/>
      <c r="D58" s="74" t="s">
        <v>813</v>
      </c>
    </row>
    <row r="59" spans="1:4" ht="60" x14ac:dyDescent="0.25">
      <c r="A59" s="72"/>
      <c r="B59" s="76" t="s">
        <v>825</v>
      </c>
      <c r="D59" s="1" t="s">
        <v>821</v>
      </c>
    </row>
    <row r="60" spans="1:4" x14ac:dyDescent="0.25">
      <c r="A60" s="75">
        <v>44252</v>
      </c>
      <c r="B60" s="74" t="s">
        <v>663</v>
      </c>
      <c r="C60" s="74"/>
      <c r="D60" s="74" t="s">
        <v>813</v>
      </c>
    </row>
    <row r="61" spans="1:4" ht="75" x14ac:dyDescent="0.25">
      <c r="A61" s="72"/>
      <c r="B61" s="76" t="s">
        <v>823</v>
      </c>
      <c r="D61" s="1" t="s">
        <v>822</v>
      </c>
    </row>
    <row r="62" spans="1:4" x14ac:dyDescent="0.25">
      <c r="A62" s="75">
        <v>44250</v>
      </c>
      <c r="B62" s="74" t="s">
        <v>729</v>
      </c>
      <c r="C62" s="74"/>
      <c r="D62" s="74" t="s">
        <v>813</v>
      </c>
    </row>
    <row r="63" spans="1:4" ht="90" x14ac:dyDescent="0.25">
      <c r="A63" s="72"/>
      <c r="B63" s="76" t="s">
        <v>818</v>
      </c>
      <c r="D63" s="1" t="s">
        <v>820</v>
      </c>
    </row>
    <row r="64" spans="1:4" x14ac:dyDescent="0.25">
      <c r="A64" s="75">
        <v>44249</v>
      </c>
      <c r="B64" s="74" t="s">
        <v>816</v>
      </c>
    </row>
    <row r="65" spans="1:4" ht="60" x14ac:dyDescent="0.25">
      <c r="A65" s="72"/>
      <c r="B65" s="76" t="s">
        <v>817</v>
      </c>
    </row>
    <row r="66" spans="1:4" x14ac:dyDescent="0.25">
      <c r="A66" s="75">
        <v>44247</v>
      </c>
      <c r="B66" s="74" t="s">
        <v>608</v>
      </c>
      <c r="C66" s="74"/>
      <c r="D66" s="74" t="s">
        <v>813</v>
      </c>
    </row>
    <row r="67" spans="1:4" ht="105" x14ac:dyDescent="0.25">
      <c r="A67" s="72"/>
      <c r="B67" s="76" t="s">
        <v>815</v>
      </c>
      <c r="D67" s="1" t="s">
        <v>819</v>
      </c>
    </row>
    <row r="68" spans="1:4" x14ac:dyDescent="0.25">
      <c r="A68" s="75">
        <v>44246</v>
      </c>
      <c r="B68" s="74" t="s">
        <v>811</v>
      </c>
      <c r="C68" s="74"/>
      <c r="D68" s="74" t="s">
        <v>813</v>
      </c>
    </row>
    <row r="69" spans="1:4" ht="90" x14ac:dyDescent="0.25">
      <c r="A69" s="72"/>
      <c r="B69" s="76" t="s">
        <v>812</v>
      </c>
      <c r="D69" s="1" t="s">
        <v>814</v>
      </c>
    </row>
    <row r="70" spans="1:4" x14ac:dyDescent="0.25">
      <c r="A70" s="75">
        <v>44245</v>
      </c>
      <c r="B70" s="74" t="s">
        <v>768</v>
      </c>
      <c r="C70" s="74"/>
      <c r="D70" s="74" t="s">
        <v>808</v>
      </c>
    </row>
    <row r="71" spans="1:4" ht="120" x14ac:dyDescent="0.25">
      <c r="A71" s="72"/>
      <c r="B71" s="76" t="s">
        <v>809</v>
      </c>
      <c r="D71" s="76" t="s">
        <v>810</v>
      </c>
    </row>
    <row r="72" spans="1:4" x14ac:dyDescent="0.25">
      <c r="A72" s="75">
        <v>44243</v>
      </c>
      <c r="B72" s="74" t="s">
        <v>763</v>
      </c>
    </row>
    <row r="73" spans="1:4" ht="150" x14ac:dyDescent="0.25">
      <c r="A73" s="72"/>
      <c r="B73" s="76" t="s">
        <v>803</v>
      </c>
    </row>
    <row r="74" spans="1:4" x14ac:dyDescent="0.25">
      <c r="A74" s="75">
        <v>44242</v>
      </c>
      <c r="B74" s="74" t="s">
        <v>663</v>
      </c>
    </row>
    <row r="75" spans="1:4" ht="105" x14ac:dyDescent="0.25">
      <c r="A75" s="72"/>
      <c r="B75" s="76" t="s">
        <v>802</v>
      </c>
    </row>
    <row r="76" spans="1:4" x14ac:dyDescent="0.25">
      <c r="A76" s="72"/>
      <c r="B76" s="76"/>
    </row>
    <row r="77" spans="1:4" x14ac:dyDescent="0.25">
      <c r="A77" s="75">
        <v>44239</v>
      </c>
      <c r="B77" s="74" t="s">
        <v>664</v>
      </c>
    </row>
    <row r="78" spans="1:4" ht="90" x14ac:dyDescent="0.25">
      <c r="A78" s="72"/>
      <c r="B78" s="76" t="s">
        <v>797</v>
      </c>
    </row>
    <row r="79" spans="1:4" x14ac:dyDescent="0.25">
      <c r="A79" s="75">
        <v>44238</v>
      </c>
      <c r="B79" s="74" t="s">
        <v>663</v>
      </c>
    </row>
    <row r="80" spans="1:4" ht="75" x14ac:dyDescent="0.25">
      <c r="A80" s="72"/>
      <c r="B80" s="76" t="s">
        <v>796</v>
      </c>
    </row>
    <row r="81" spans="1:2" x14ac:dyDescent="0.25">
      <c r="A81" s="75">
        <v>44236</v>
      </c>
      <c r="B81" s="74" t="s">
        <v>663</v>
      </c>
    </row>
    <row r="82" spans="1:2" ht="75" x14ac:dyDescent="0.25">
      <c r="A82" s="72"/>
      <c r="B82" s="76" t="s">
        <v>793</v>
      </c>
    </row>
    <row r="83" spans="1:2" x14ac:dyDescent="0.25">
      <c r="A83" s="75">
        <v>44235</v>
      </c>
      <c r="B83" s="74" t="s">
        <v>763</v>
      </c>
    </row>
    <row r="84" spans="1:2" ht="60" x14ac:dyDescent="0.25">
      <c r="A84" s="72"/>
      <c r="B84" s="76" t="s">
        <v>792</v>
      </c>
    </row>
    <row r="85" spans="1:2" x14ac:dyDescent="0.25">
      <c r="A85" s="72"/>
      <c r="B85" s="73"/>
    </row>
    <row r="86" spans="1:2" x14ac:dyDescent="0.25">
      <c r="A86" s="75">
        <v>44233</v>
      </c>
      <c r="B86" s="74" t="s">
        <v>790</v>
      </c>
    </row>
    <row r="87" spans="1:2" x14ac:dyDescent="0.25">
      <c r="A87" s="72"/>
      <c r="B87" s="73" t="s">
        <v>791</v>
      </c>
    </row>
    <row r="88" spans="1:2" x14ac:dyDescent="0.25">
      <c r="A88" s="75">
        <v>44232</v>
      </c>
      <c r="B88" s="74" t="s">
        <v>763</v>
      </c>
    </row>
    <row r="89" spans="1:2" ht="60" x14ac:dyDescent="0.25">
      <c r="A89" s="72"/>
      <c r="B89" s="76" t="s">
        <v>789</v>
      </c>
    </row>
    <row r="90" spans="1:2" x14ac:dyDescent="0.25">
      <c r="A90" s="75">
        <v>44231</v>
      </c>
      <c r="B90" s="74" t="s">
        <v>763</v>
      </c>
    </row>
    <row r="91" spans="1:2" ht="90" x14ac:dyDescent="0.25">
      <c r="A91" s="72"/>
      <c r="B91" s="76" t="s">
        <v>781</v>
      </c>
    </row>
    <row r="92" spans="1:2" x14ac:dyDescent="0.25">
      <c r="A92" s="75">
        <v>44229</v>
      </c>
      <c r="B92" s="74" t="s">
        <v>763</v>
      </c>
    </row>
    <row r="93" spans="1:2" ht="75" x14ac:dyDescent="0.25">
      <c r="A93" s="72"/>
      <c r="B93" s="76" t="s">
        <v>780</v>
      </c>
    </row>
    <row r="94" spans="1:2" x14ac:dyDescent="0.25">
      <c r="A94" s="75">
        <v>44228</v>
      </c>
      <c r="B94" s="74" t="s">
        <v>663</v>
      </c>
    </row>
    <row r="95" spans="1:2" ht="45" x14ac:dyDescent="0.25">
      <c r="A95" s="72"/>
      <c r="B95" s="76" t="s">
        <v>779</v>
      </c>
    </row>
    <row r="96" spans="1:2" x14ac:dyDescent="0.25">
      <c r="A96" s="72"/>
      <c r="B96" s="73"/>
    </row>
    <row r="97" spans="1:2" x14ac:dyDescent="0.25">
      <c r="A97" s="75">
        <v>44227</v>
      </c>
      <c r="B97" s="74" t="s">
        <v>772</v>
      </c>
    </row>
    <row r="98" spans="1:2" ht="60" x14ac:dyDescent="0.25">
      <c r="A98" s="72"/>
      <c r="B98" s="76" t="s">
        <v>773</v>
      </c>
    </row>
    <row r="99" spans="1:2" x14ac:dyDescent="0.25">
      <c r="A99" s="75">
        <v>44226</v>
      </c>
      <c r="B99" s="74" t="s">
        <v>767</v>
      </c>
    </row>
    <row r="100" spans="1:2" x14ac:dyDescent="0.25">
      <c r="A100" s="72"/>
      <c r="B100" s="73" t="s">
        <v>771</v>
      </c>
    </row>
    <row r="101" spans="1:2" x14ac:dyDescent="0.25">
      <c r="A101" s="75">
        <v>44225</v>
      </c>
      <c r="B101" s="74" t="s">
        <v>608</v>
      </c>
    </row>
    <row r="102" spans="1:2" ht="105" x14ac:dyDescent="0.25">
      <c r="A102" s="72"/>
      <c r="B102" s="76" t="s">
        <v>770</v>
      </c>
    </row>
    <row r="103" spans="1:2" x14ac:dyDescent="0.25">
      <c r="A103" s="75">
        <v>44224</v>
      </c>
      <c r="B103" s="74" t="s">
        <v>768</v>
      </c>
    </row>
    <row r="104" spans="1:2" ht="45" x14ac:dyDescent="0.25">
      <c r="A104" s="72"/>
      <c r="B104" s="76" t="s">
        <v>769</v>
      </c>
    </row>
    <row r="105" spans="1:2" x14ac:dyDescent="0.25">
      <c r="A105" s="75">
        <v>44222</v>
      </c>
      <c r="B105" s="74" t="s">
        <v>729</v>
      </c>
    </row>
    <row r="106" spans="1:2" ht="135" x14ac:dyDescent="0.25">
      <c r="A106" s="72"/>
      <c r="B106" s="76" t="s">
        <v>766</v>
      </c>
    </row>
    <row r="107" spans="1:2" x14ac:dyDescent="0.25">
      <c r="A107" s="75">
        <v>44221</v>
      </c>
      <c r="B107" s="74" t="s">
        <v>763</v>
      </c>
    </row>
    <row r="108" spans="1:2" x14ac:dyDescent="0.25">
      <c r="B108" t="s">
        <v>764</v>
      </c>
    </row>
    <row r="109" spans="1:2" x14ac:dyDescent="0.25">
      <c r="A109" s="72"/>
      <c r="B109" s="73"/>
    </row>
    <row r="110" spans="1:2" x14ac:dyDescent="0.25">
      <c r="A110" s="75">
        <v>44220</v>
      </c>
      <c r="B110" s="74" t="s">
        <v>755</v>
      </c>
    </row>
    <row r="111" spans="1:2" ht="75" x14ac:dyDescent="0.25">
      <c r="A111" s="72"/>
      <c r="B111" s="76" t="s">
        <v>761</v>
      </c>
    </row>
    <row r="112" spans="1:2" x14ac:dyDescent="0.25">
      <c r="A112" s="75">
        <v>44219</v>
      </c>
      <c r="B112" s="74" t="s">
        <v>762</v>
      </c>
    </row>
    <row r="113" spans="1:2" x14ac:dyDescent="0.25">
      <c r="A113" s="72"/>
      <c r="B113" s="73" t="s">
        <v>760</v>
      </c>
    </row>
    <row r="114" spans="1:2" x14ac:dyDescent="0.25">
      <c r="A114" s="75">
        <v>44218</v>
      </c>
      <c r="B114" s="74" t="s">
        <v>755</v>
      </c>
    </row>
    <row r="115" spans="1:2" ht="60" x14ac:dyDescent="0.25">
      <c r="A115" s="72"/>
      <c r="B115" s="76" t="s">
        <v>756</v>
      </c>
    </row>
    <row r="116" spans="1:2" x14ac:dyDescent="0.25">
      <c r="A116" s="75">
        <v>44217</v>
      </c>
      <c r="B116" s="74" t="s">
        <v>664</v>
      </c>
    </row>
    <row r="117" spans="1:2" ht="60" x14ac:dyDescent="0.25">
      <c r="A117" s="72"/>
      <c r="B117" s="76" t="s">
        <v>754</v>
      </c>
    </row>
    <row r="118" spans="1:2" x14ac:dyDescent="0.25">
      <c r="A118" s="75">
        <v>44215</v>
      </c>
      <c r="B118" s="74" t="s">
        <v>663</v>
      </c>
    </row>
    <row r="119" spans="1:2" ht="135" x14ac:dyDescent="0.25">
      <c r="A119" s="72"/>
      <c r="B119" s="76" t="s">
        <v>735</v>
      </c>
    </row>
    <row r="120" spans="1:2" x14ac:dyDescent="0.25">
      <c r="A120" s="75">
        <v>44214</v>
      </c>
      <c r="B120" s="74" t="s">
        <v>729</v>
      </c>
    </row>
    <row r="121" spans="1:2" ht="105" x14ac:dyDescent="0.25">
      <c r="A121" s="72"/>
      <c r="B121" s="76" t="s">
        <v>730</v>
      </c>
    </row>
    <row r="122" spans="1:2" x14ac:dyDescent="0.25">
      <c r="A122" s="72"/>
      <c r="B122" s="73"/>
    </row>
    <row r="123" spans="1:2" x14ac:dyDescent="0.25">
      <c r="A123" s="75">
        <v>44211</v>
      </c>
      <c r="B123" s="74" t="s">
        <v>663</v>
      </c>
    </row>
    <row r="124" spans="1:2" ht="105" x14ac:dyDescent="0.25">
      <c r="A124" s="72"/>
      <c r="B124" s="76" t="s">
        <v>665</v>
      </c>
    </row>
    <row r="125" spans="1:2" x14ac:dyDescent="0.25">
      <c r="A125" s="75">
        <v>44210</v>
      </c>
      <c r="B125" s="74" t="s">
        <v>664</v>
      </c>
    </row>
    <row r="126" spans="1:2" ht="75" x14ac:dyDescent="0.25">
      <c r="A126" s="72"/>
      <c r="B126" s="76" t="s">
        <v>654</v>
      </c>
    </row>
    <row r="127" spans="1:2" x14ac:dyDescent="0.25">
      <c r="A127" s="75">
        <v>44208</v>
      </c>
      <c r="B127" s="74" t="s">
        <v>660</v>
      </c>
    </row>
    <row r="128" spans="1:2" ht="75" x14ac:dyDescent="0.25">
      <c r="A128" s="72"/>
      <c r="B128" s="76" t="s">
        <v>666</v>
      </c>
    </row>
    <row r="129" spans="1:2" x14ac:dyDescent="0.25">
      <c r="A129" s="75">
        <v>44207</v>
      </c>
      <c r="B129" s="74" t="s">
        <v>661</v>
      </c>
    </row>
    <row r="130" spans="1:2" ht="45" x14ac:dyDescent="0.25">
      <c r="A130" s="72"/>
      <c r="B130" s="76" t="s">
        <v>653</v>
      </c>
    </row>
    <row r="131" spans="1:2" x14ac:dyDescent="0.25">
      <c r="A131" s="72"/>
      <c r="B131" s="73"/>
    </row>
    <row r="132" spans="1:2" x14ac:dyDescent="0.25">
      <c r="A132" s="75">
        <v>44205</v>
      </c>
      <c r="B132" s="74" t="s">
        <v>662</v>
      </c>
    </row>
    <row r="133" spans="1:2" ht="60" x14ac:dyDescent="0.25">
      <c r="A133" s="72"/>
      <c r="B133" s="76" t="s">
        <v>652</v>
      </c>
    </row>
    <row r="134" spans="1:2" x14ac:dyDescent="0.25">
      <c r="A134" s="72"/>
      <c r="B134" s="73"/>
    </row>
    <row r="135" spans="1:2" x14ac:dyDescent="0.25">
      <c r="A135" s="72"/>
      <c r="B135"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37" t="s">
        <v>144</v>
      </c>
      <c r="B2" s="237"/>
      <c r="C2" s="237"/>
      <c r="D2" s="237"/>
      <c r="E2" s="237"/>
      <c r="F2" s="39"/>
      <c r="G2" s="39"/>
      <c r="H2" s="39"/>
      <c r="I2" s="39"/>
      <c r="J2" s="39"/>
      <c r="K2" s="39"/>
      <c r="L2" s="39"/>
      <c r="M2" s="39"/>
      <c r="N2" s="39"/>
      <c r="O2" s="27"/>
      <c r="P2" s="238" t="s">
        <v>49</v>
      </c>
      <c r="Q2" s="234" t="s">
        <v>48</v>
      </c>
      <c r="R2" s="228"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37"/>
      <c r="B3" s="237"/>
      <c r="C3" s="237"/>
      <c r="D3" s="237"/>
      <c r="E3" s="237"/>
      <c r="F3" s="39"/>
      <c r="G3" s="39"/>
      <c r="H3" s="39"/>
      <c r="I3" s="39"/>
      <c r="J3" s="39"/>
      <c r="K3" s="39"/>
      <c r="L3" s="39"/>
      <c r="M3" s="39"/>
      <c r="N3" s="39"/>
      <c r="O3" s="27"/>
      <c r="P3" s="239"/>
      <c r="Q3" s="235"/>
      <c r="R3" s="23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0" t="s">
        <v>144</v>
      </c>
      <c r="B41" s="230"/>
      <c r="C41" s="230"/>
      <c r="D41" s="230"/>
      <c r="E41" s="231"/>
      <c r="F41" s="36"/>
      <c r="G41" s="36"/>
      <c r="H41" s="36"/>
      <c r="I41" s="36"/>
      <c r="J41" s="36"/>
      <c r="K41" s="36"/>
      <c r="L41" s="36"/>
      <c r="M41" s="36"/>
      <c r="N41" s="36"/>
      <c r="O41" s="35"/>
      <c r="P41" s="240" t="s">
        <v>49</v>
      </c>
      <c r="Q41" s="240" t="s">
        <v>48</v>
      </c>
      <c r="R41" s="24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32"/>
      <c r="B42" s="232"/>
      <c r="C42" s="232"/>
      <c r="D42" s="232"/>
      <c r="E42" s="233"/>
      <c r="F42" s="19"/>
      <c r="G42" s="19"/>
      <c r="H42" s="19"/>
      <c r="I42" s="19"/>
      <c r="J42" s="19"/>
      <c r="K42" s="19"/>
      <c r="L42" s="19"/>
      <c r="M42" s="19"/>
      <c r="N42" s="19"/>
      <c r="O42" s="9"/>
      <c r="P42" s="235"/>
      <c r="Q42" s="235"/>
      <c r="R42" s="23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0" t="s">
        <v>144</v>
      </c>
      <c r="B72" s="230"/>
      <c r="C72" s="230"/>
      <c r="D72" s="230"/>
      <c r="E72" s="231"/>
      <c r="F72" s="30"/>
      <c r="G72" s="30"/>
      <c r="H72" s="30"/>
      <c r="I72" s="30"/>
      <c r="J72" s="30"/>
      <c r="K72" s="30"/>
      <c r="L72" s="30"/>
      <c r="M72" s="30"/>
      <c r="N72" s="30"/>
      <c r="O72" s="29"/>
      <c r="P72" s="234" t="s">
        <v>49</v>
      </c>
      <c r="Q72" s="234" t="s">
        <v>48</v>
      </c>
      <c r="R72" s="228"/>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32"/>
      <c r="B73" s="232"/>
      <c r="C73" s="232"/>
      <c r="D73" s="232"/>
      <c r="E73" s="233"/>
      <c r="F73" s="28"/>
      <c r="G73" s="28"/>
      <c r="H73" s="28"/>
      <c r="I73" s="28"/>
      <c r="J73" s="28"/>
      <c r="K73" s="28"/>
      <c r="L73" s="28"/>
      <c r="M73" s="28"/>
      <c r="N73" s="28"/>
      <c r="O73" s="27"/>
      <c r="P73" s="235"/>
      <c r="Q73" s="242"/>
      <c r="R73" s="23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46" t="s">
        <v>338</v>
      </c>
      <c r="B1" s="246"/>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46" t="s">
        <v>339</v>
      </c>
      <c r="B7" s="246"/>
    </row>
    <row r="8" spans="1:2" ht="15.75" x14ac:dyDescent="0.25">
      <c r="A8" s="244" t="s">
        <v>330</v>
      </c>
      <c r="B8" s="244"/>
    </row>
    <row r="9" spans="1:2" x14ac:dyDescent="0.25">
      <c r="A9" t="s">
        <v>331</v>
      </c>
    </row>
    <row r="11" spans="1:2" ht="15.75" x14ac:dyDescent="0.25">
      <c r="A11" s="245" t="s">
        <v>327</v>
      </c>
      <c r="B11" s="245"/>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43" t="s">
        <v>340</v>
      </c>
      <c r="B23" s="243"/>
    </row>
    <row r="25" spans="1:2" ht="15.75" x14ac:dyDescent="0.25">
      <c r="A25" s="244" t="s">
        <v>332</v>
      </c>
      <c r="B25" s="244"/>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47" t="s">
        <v>297</v>
      </c>
      <c r="C5" s="250"/>
      <c r="D5" s="250"/>
      <c r="E5" s="250"/>
      <c r="F5" s="250"/>
      <c r="G5" s="250"/>
      <c r="H5" s="250"/>
      <c r="I5" s="250"/>
      <c r="J5" s="250"/>
      <c r="K5" s="250"/>
      <c r="L5" s="250"/>
      <c r="M5" s="250"/>
      <c r="N5" s="250"/>
      <c r="O5" s="250"/>
      <c r="P5" s="250"/>
      <c r="Q5" s="250"/>
      <c r="R5" s="250"/>
      <c r="S5" s="250"/>
      <c r="T5" s="250"/>
      <c r="U5" s="250"/>
      <c r="V5" s="250"/>
      <c r="W5" s="250"/>
      <c r="X5" s="250"/>
      <c r="Y5" s="250"/>
      <c r="Z5" s="250"/>
      <c r="AA5" s="250"/>
      <c r="AB5" s="250"/>
      <c r="AC5" s="250"/>
      <c r="AD5" s="250"/>
      <c r="AE5" s="250"/>
      <c r="AF5" s="250"/>
      <c r="AG5" s="250"/>
      <c r="AH5" s="250"/>
      <c r="AI5" s="250"/>
      <c r="AJ5" s="250"/>
      <c r="AK5" s="250"/>
      <c r="AL5" s="250"/>
      <c r="AM5" s="250"/>
      <c r="AN5" s="250"/>
      <c r="AO5" s="250"/>
      <c r="AP5" s="250"/>
      <c r="AQ5" s="250"/>
      <c r="AR5" s="250"/>
      <c r="AS5" s="250"/>
      <c r="AT5" s="250"/>
      <c r="AU5" s="250"/>
      <c r="AV5" s="250"/>
      <c r="AW5" s="250"/>
      <c r="AX5" s="250"/>
      <c r="AY5" s="250"/>
      <c r="AZ5" s="250"/>
      <c r="BA5" s="250"/>
      <c r="BB5" s="250"/>
      <c r="BC5" s="250"/>
      <c r="BD5" s="250"/>
      <c r="BE5" s="250"/>
      <c r="BF5" s="250"/>
      <c r="BG5" s="250"/>
      <c r="BH5" s="250"/>
      <c r="BI5" s="250"/>
      <c r="BJ5" s="250"/>
      <c r="BK5" s="250"/>
      <c r="BL5" s="250"/>
      <c r="BM5" s="250"/>
      <c r="BN5" s="250"/>
      <c r="BO5" s="250"/>
      <c r="BP5" s="250"/>
      <c r="BQ5" s="250"/>
      <c r="BR5" s="250"/>
    </row>
    <row r="6" spans="1:70" x14ac:dyDescent="0.25">
      <c r="C6" s="2" t="s">
        <v>3</v>
      </c>
    </row>
    <row r="7" spans="1:70" ht="45" customHeight="1" x14ac:dyDescent="0.25">
      <c r="C7" s="247" t="s">
        <v>281</v>
      </c>
      <c r="D7" s="250"/>
      <c r="E7" s="250"/>
      <c r="F7" s="250"/>
      <c r="G7" s="250"/>
      <c r="H7" s="250"/>
      <c r="I7" s="250"/>
      <c r="J7" s="250"/>
      <c r="K7" s="250"/>
      <c r="L7" s="250"/>
      <c r="M7" s="250"/>
      <c r="N7" s="250"/>
      <c r="O7" s="250"/>
      <c r="P7" s="250"/>
      <c r="Q7" s="250"/>
      <c r="R7" s="250"/>
      <c r="S7" s="250"/>
      <c r="T7" s="250"/>
      <c r="U7" s="250"/>
      <c r="V7" s="250"/>
      <c r="W7" s="250"/>
      <c r="X7" s="250"/>
      <c r="Y7" s="250"/>
      <c r="Z7" s="250"/>
      <c r="AA7" s="250"/>
      <c r="AB7" s="250"/>
      <c r="AC7" s="250"/>
      <c r="AD7" s="250"/>
      <c r="AE7" s="250"/>
      <c r="AF7" s="250"/>
      <c r="AG7" s="250"/>
      <c r="AH7" s="250"/>
      <c r="AI7" s="250"/>
      <c r="AJ7" s="250"/>
      <c r="AK7" s="250"/>
      <c r="AL7" s="250"/>
      <c r="AM7" s="250"/>
      <c r="AN7" s="250"/>
      <c r="AO7" s="250"/>
      <c r="AP7" s="250"/>
      <c r="AQ7" s="250"/>
      <c r="AR7" s="250"/>
      <c r="AS7" s="250"/>
      <c r="AT7" s="250"/>
      <c r="AU7" s="250"/>
      <c r="AV7" s="250"/>
      <c r="AW7" s="250"/>
      <c r="AX7" s="250"/>
      <c r="AY7" s="250"/>
      <c r="AZ7" s="250"/>
      <c r="BA7" s="250"/>
      <c r="BB7" s="250"/>
      <c r="BC7" s="250"/>
      <c r="BD7" s="250"/>
      <c r="BE7" s="250"/>
      <c r="BF7" s="250"/>
      <c r="BG7" s="250"/>
      <c r="BH7" s="250"/>
      <c r="BI7" s="250"/>
      <c r="BJ7" s="250"/>
      <c r="BK7" s="250"/>
      <c r="BL7" s="250"/>
      <c r="BM7" s="250"/>
      <c r="BN7" s="250"/>
      <c r="BO7" s="250"/>
      <c r="BP7" s="250"/>
      <c r="BQ7" s="250"/>
      <c r="BR7" s="250"/>
    </row>
    <row r="8" spans="1:70" x14ac:dyDescent="0.25">
      <c r="C8" s="2" t="s">
        <v>4</v>
      </c>
    </row>
    <row r="9" spans="1:70" ht="75" customHeight="1" x14ac:dyDescent="0.25">
      <c r="C9" s="247" t="s">
        <v>274</v>
      </c>
      <c r="D9" s="250"/>
      <c r="E9" s="250"/>
      <c r="F9" s="250"/>
      <c r="G9" s="250"/>
      <c r="H9" s="250"/>
      <c r="I9" s="250"/>
      <c r="J9" s="250"/>
      <c r="K9" s="250"/>
      <c r="L9" s="250"/>
      <c r="M9" s="250"/>
      <c r="N9" s="250"/>
      <c r="O9" s="250"/>
      <c r="P9" s="250"/>
      <c r="Q9" s="250"/>
      <c r="R9" s="250"/>
      <c r="S9" s="250"/>
      <c r="T9" s="250"/>
      <c r="U9" s="250"/>
      <c r="V9" s="250"/>
      <c r="W9" s="250"/>
      <c r="X9" s="250"/>
      <c r="Y9" s="250"/>
      <c r="Z9" s="250"/>
      <c r="AA9" s="250"/>
      <c r="AB9" s="250"/>
      <c r="AC9" s="250"/>
      <c r="AD9" s="250"/>
      <c r="AE9" s="250"/>
      <c r="AF9" s="250"/>
      <c r="AG9" s="250"/>
      <c r="AH9" s="250"/>
      <c r="AI9" s="250"/>
      <c r="AJ9" s="250"/>
      <c r="AK9" s="250"/>
      <c r="AL9" s="250"/>
      <c r="AM9" s="250"/>
      <c r="AN9" s="250"/>
      <c r="AO9" s="250"/>
      <c r="AP9" s="250"/>
      <c r="AQ9" s="250"/>
      <c r="AR9" s="250"/>
      <c r="AS9" s="250"/>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row>
    <row r="10" spans="1:70" x14ac:dyDescent="0.25">
      <c r="C10" s="2" t="s">
        <v>5</v>
      </c>
    </row>
    <row r="11" spans="1:70" ht="75" customHeight="1" x14ac:dyDescent="0.25">
      <c r="C11" s="247" t="s">
        <v>298</v>
      </c>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row>
    <row r="12" spans="1:70" x14ac:dyDescent="0.25">
      <c r="C12" s="2" t="s">
        <v>6</v>
      </c>
    </row>
    <row r="13" spans="1:70" ht="90.75" customHeight="1" x14ac:dyDescent="0.25">
      <c r="C13" s="247" t="s">
        <v>285</v>
      </c>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row>
    <row r="14" spans="1:70" x14ac:dyDescent="0.25">
      <c r="D14" s="2" t="s">
        <v>284</v>
      </c>
    </row>
    <row r="15" spans="1:70" ht="62.25" customHeight="1" x14ac:dyDescent="0.25">
      <c r="D15" s="247" t="s">
        <v>287</v>
      </c>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7"/>
      <c r="AI15" s="247"/>
      <c r="AJ15" s="247"/>
      <c r="AK15" s="247"/>
      <c r="AL15" s="247"/>
      <c r="AM15" s="247"/>
      <c r="AN15" s="247"/>
      <c r="AO15" s="247"/>
      <c r="AP15" s="247"/>
      <c r="AQ15" s="247"/>
      <c r="AR15" s="247"/>
      <c r="AS15" s="24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row>
    <row r="16" spans="1:70" x14ac:dyDescent="0.25">
      <c r="D16" s="2" t="s">
        <v>195</v>
      </c>
    </row>
    <row r="17" spans="1:70" ht="47.25" customHeight="1" x14ac:dyDescent="0.25">
      <c r="D17" s="247" t="s">
        <v>267</v>
      </c>
      <c r="E17" s="247"/>
      <c r="F17" s="247"/>
      <c r="G17" s="247"/>
      <c r="H17" s="247"/>
      <c r="I17" s="247"/>
      <c r="J17" s="247"/>
      <c r="K17" s="247"/>
      <c r="L17" s="247"/>
      <c r="M17" s="247"/>
      <c r="N17" s="247"/>
      <c r="O17" s="247"/>
      <c r="P17" s="247"/>
      <c r="Q17" s="247"/>
      <c r="R17" s="247"/>
      <c r="S17" s="247"/>
      <c r="T17" s="247"/>
      <c r="U17" s="247"/>
      <c r="V17" s="247"/>
      <c r="W17" s="247"/>
      <c r="X17" s="247"/>
      <c r="Y17" s="247"/>
      <c r="Z17" s="247"/>
      <c r="AA17" s="247"/>
      <c r="AB17" s="247"/>
      <c r="AC17" s="247"/>
      <c r="AD17" s="247"/>
      <c r="AE17" s="247"/>
      <c r="AF17" s="247"/>
      <c r="AG17" s="247"/>
      <c r="AH17" s="247"/>
      <c r="AI17" s="247"/>
      <c r="AJ17" s="247"/>
      <c r="AK17" s="247"/>
      <c r="AL17" s="247"/>
      <c r="AM17" s="247"/>
      <c r="AN17" s="247"/>
      <c r="AO17" s="247"/>
      <c r="AP17" s="247"/>
      <c r="AQ17" s="247"/>
      <c r="AR17" s="247"/>
      <c r="AS17" s="24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row>
    <row r="18" spans="1:70" ht="15.75" customHeight="1" x14ac:dyDescent="0.25">
      <c r="D18" s="249" t="s">
        <v>266</v>
      </c>
      <c r="E18" s="249"/>
      <c r="F18" s="249"/>
      <c r="G18" s="249"/>
      <c r="H18" s="249"/>
      <c r="I18" s="249"/>
      <c r="J18" s="249"/>
      <c r="K18" s="249"/>
      <c r="L18" s="249"/>
      <c r="M18" s="249"/>
      <c r="N18" s="249"/>
      <c r="O18" s="249"/>
      <c r="P18" s="249"/>
      <c r="Q18" s="249"/>
      <c r="R18" s="249"/>
      <c r="S18" s="249"/>
      <c r="T18" s="249"/>
      <c r="U18" s="249"/>
      <c r="V18" s="249"/>
      <c r="W18" s="249"/>
      <c r="X18" s="249"/>
      <c r="Y18" s="249"/>
      <c r="Z18" s="249"/>
      <c r="AA18" s="249"/>
      <c r="AB18" s="249"/>
      <c r="AC18" s="249"/>
      <c r="AD18" s="249"/>
      <c r="AE18" s="249"/>
      <c r="AF18" s="249"/>
      <c r="AG18" s="249"/>
      <c r="AH18" s="249"/>
      <c r="AI18" s="249"/>
      <c r="AJ18" s="249"/>
      <c r="AK18" s="249"/>
      <c r="AL18" s="249"/>
      <c r="AM18" s="249"/>
      <c r="AN18" s="249"/>
      <c r="AO18" s="249"/>
      <c r="AP18" s="249"/>
      <c r="AQ18" s="249"/>
      <c r="AR18" s="249"/>
      <c r="AS18" s="249"/>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row>
    <row r="19" spans="1:70" ht="45.75" customHeight="1" x14ac:dyDescent="0.25">
      <c r="D19" s="247" t="s">
        <v>275</v>
      </c>
      <c r="E19" s="247"/>
      <c r="F19" s="247"/>
      <c r="G19" s="247"/>
      <c r="H19" s="247"/>
      <c r="I19" s="247"/>
      <c r="J19" s="247"/>
      <c r="K19" s="247"/>
      <c r="L19" s="247"/>
      <c r="M19" s="247"/>
      <c r="N19" s="247"/>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7"/>
      <c r="AO19" s="247"/>
      <c r="AP19" s="247"/>
      <c r="AQ19" s="247"/>
      <c r="AR19" s="247"/>
      <c r="AS19" s="24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row>
    <row r="20" spans="1:70" ht="15.75" customHeight="1" x14ac:dyDescent="0.25">
      <c r="D20" s="249" t="s">
        <v>283</v>
      </c>
      <c r="E20" s="249"/>
      <c r="F20" s="249"/>
      <c r="G20" s="249"/>
      <c r="H20" s="249"/>
      <c r="I20" s="249"/>
      <c r="J20" s="249"/>
      <c r="K20" s="249"/>
      <c r="L20" s="249"/>
      <c r="M20" s="249"/>
      <c r="N20" s="249"/>
      <c r="O20" s="249"/>
      <c r="P20" s="249"/>
      <c r="Q20" s="249"/>
      <c r="R20" s="249"/>
      <c r="S20" s="249"/>
      <c r="T20" s="249"/>
      <c r="U20" s="249"/>
      <c r="V20" s="249"/>
      <c r="W20" s="249"/>
      <c r="X20" s="249"/>
      <c r="Y20" s="249"/>
      <c r="Z20" s="249"/>
      <c r="AA20" s="249"/>
      <c r="AB20" s="249"/>
      <c r="AC20" s="249"/>
      <c r="AD20" s="249"/>
      <c r="AE20" s="249"/>
      <c r="AF20" s="249"/>
      <c r="AG20" s="249"/>
      <c r="AH20" s="249"/>
      <c r="AI20" s="249"/>
      <c r="AJ20" s="249"/>
      <c r="AK20" s="249"/>
      <c r="AL20" s="249"/>
      <c r="AM20" s="249"/>
      <c r="AN20" s="249"/>
      <c r="AO20" s="249"/>
      <c r="AP20" s="249"/>
      <c r="AQ20" s="249"/>
      <c r="AR20" s="249"/>
      <c r="AS20" s="249"/>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row>
    <row r="21" spans="1:70" ht="44.25" customHeight="1" x14ac:dyDescent="0.25">
      <c r="D21" s="247" t="s">
        <v>276</v>
      </c>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247"/>
      <c r="AD21" s="247"/>
      <c r="AE21" s="247"/>
      <c r="AF21" s="247"/>
      <c r="AG21" s="247"/>
      <c r="AH21" s="247"/>
      <c r="AI21" s="247"/>
      <c r="AJ21" s="247"/>
      <c r="AK21" s="247"/>
      <c r="AL21" s="247"/>
      <c r="AM21" s="247"/>
      <c r="AN21" s="247"/>
      <c r="AO21" s="247"/>
      <c r="AP21" s="247"/>
      <c r="AQ21" s="247"/>
      <c r="AR21" s="247"/>
      <c r="AS21" s="24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row>
    <row r="22" spans="1:70" x14ac:dyDescent="0.25">
      <c r="B22" s="2" t="s">
        <v>191</v>
      </c>
      <c r="C22" s="2"/>
    </row>
    <row r="23" spans="1:70" ht="69.75" customHeight="1" x14ac:dyDescent="0.25">
      <c r="B23" s="247" t="s">
        <v>268</v>
      </c>
      <c r="C23" s="247"/>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247"/>
      <c r="AB23" s="247"/>
      <c r="AC23" s="247"/>
      <c r="AD23" s="247"/>
      <c r="AE23" s="247"/>
      <c r="AF23" s="247"/>
      <c r="AG23" s="247"/>
      <c r="AH23" s="247"/>
      <c r="AI23" s="247"/>
      <c r="AJ23" s="247"/>
      <c r="AK23" s="247"/>
      <c r="AL23" s="247"/>
      <c r="AM23" s="247"/>
      <c r="AN23" s="247"/>
      <c r="AO23" s="247"/>
      <c r="AP23" s="247"/>
      <c r="AQ23" s="247"/>
      <c r="AR23" s="247"/>
      <c r="AS23" s="24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row>
    <row r="24" spans="1:70" x14ac:dyDescent="0.25">
      <c r="C24" s="2" t="s">
        <v>192</v>
      </c>
    </row>
    <row r="25" spans="1:70" ht="204.75" customHeight="1" x14ac:dyDescent="0.25">
      <c r="C25" s="248" t="s">
        <v>210</v>
      </c>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8"/>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row>
    <row r="26" spans="1:70" x14ac:dyDescent="0.25">
      <c r="C26" s="2" t="s">
        <v>193</v>
      </c>
    </row>
    <row r="27" spans="1:70" ht="244.5" customHeight="1" x14ac:dyDescent="0.25">
      <c r="A27" s="1"/>
      <c r="C27" s="248" t="s">
        <v>194</v>
      </c>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row>
    <row r="28" spans="1:70" x14ac:dyDescent="0.25">
      <c r="B28" s="2" t="s">
        <v>269</v>
      </c>
      <c r="C28" s="43"/>
    </row>
    <row r="29" spans="1:70" ht="75" customHeight="1" x14ac:dyDescent="0.25">
      <c r="A29" s="1"/>
      <c r="B29" s="247" t="s">
        <v>280</v>
      </c>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c r="AA29" s="247"/>
      <c r="AB29" s="247"/>
      <c r="AC29" s="247"/>
      <c r="AD29" s="247"/>
      <c r="AE29" s="247"/>
      <c r="AF29" s="247"/>
      <c r="AG29" s="247"/>
      <c r="AH29" s="247"/>
      <c r="AI29" s="247"/>
      <c r="AJ29" s="247"/>
      <c r="AK29" s="247"/>
      <c r="AL29" s="247"/>
      <c r="AM29" s="247"/>
      <c r="AN29" s="247"/>
      <c r="AO29" s="247"/>
      <c r="AP29" s="247"/>
      <c r="AQ29" s="247"/>
      <c r="AR29" s="247"/>
      <c r="AS29" s="24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row>
    <row r="30" spans="1:70" x14ac:dyDescent="0.25">
      <c r="C30" s="2" t="s">
        <v>273</v>
      </c>
    </row>
    <row r="31" spans="1:70" ht="46.5" customHeight="1" x14ac:dyDescent="0.25">
      <c r="A31" s="1"/>
      <c r="C31" s="248" t="s">
        <v>279</v>
      </c>
      <c r="D31" s="248"/>
      <c r="E31" s="248"/>
      <c r="F31" s="248"/>
      <c r="G31" s="248"/>
      <c r="H31" s="248"/>
      <c r="I31" s="248"/>
      <c r="J31" s="248"/>
      <c r="K31" s="248"/>
      <c r="L31" s="248"/>
      <c r="M31" s="248"/>
      <c r="N31" s="248"/>
      <c r="O31" s="248"/>
      <c r="P31" s="248"/>
      <c r="Q31" s="248"/>
      <c r="R31" s="248"/>
      <c r="S31" s="248"/>
      <c r="T31" s="248"/>
      <c r="U31" s="248"/>
      <c r="V31" s="248"/>
      <c r="W31" s="248"/>
      <c r="X31" s="248"/>
      <c r="Y31" s="248"/>
      <c r="Z31" s="248"/>
      <c r="AA31" s="248"/>
      <c r="AB31" s="248"/>
      <c r="AC31" s="248"/>
      <c r="AD31" s="248"/>
      <c r="AE31" s="248"/>
      <c r="AF31" s="248"/>
      <c r="AG31" s="248"/>
      <c r="AH31" s="248"/>
      <c r="AI31" s="248"/>
      <c r="AJ31" s="248"/>
      <c r="AK31" s="248"/>
      <c r="AL31" s="248"/>
      <c r="AM31" s="248"/>
      <c r="AN31" s="248"/>
      <c r="AO31" s="248"/>
      <c r="AP31" s="248"/>
      <c r="AQ31" s="248"/>
      <c r="AR31" s="248"/>
      <c r="AS31" s="248"/>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row>
    <row r="32" spans="1:70" ht="15.75" customHeight="1" x14ac:dyDescent="0.25">
      <c r="C32" s="249" t="s">
        <v>270</v>
      </c>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c r="AD32" s="249"/>
      <c r="AE32" s="249"/>
      <c r="AF32" s="249"/>
      <c r="AG32" s="249"/>
      <c r="AH32" s="249"/>
      <c r="AI32" s="249"/>
      <c r="AJ32" s="249"/>
      <c r="AK32" s="249"/>
      <c r="AL32" s="249"/>
      <c r="AM32" s="249"/>
      <c r="AN32" s="249"/>
      <c r="AO32" s="249"/>
      <c r="AP32" s="249"/>
      <c r="AQ32" s="249"/>
      <c r="AR32" s="249"/>
      <c r="AS32" s="249"/>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row>
    <row r="33" spans="1:70" ht="120" customHeight="1" x14ac:dyDescent="0.25">
      <c r="A33" s="43"/>
      <c r="C33" s="247" t="s">
        <v>272</v>
      </c>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7"/>
      <c r="BH33" s="247"/>
      <c r="BI33" s="247"/>
      <c r="BJ33" s="247"/>
      <c r="BK33" s="247"/>
      <c r="BL33" s="247"/>
      <c r="BM33" s="247"/>
      <c r="BN33" s="247"/>
      <c r="BO33" s="247"/>
      <c r="BP33" s="247"/>
      <c r="BQ33" s="247"/>
      <c r="BR33" s="247"/>
    </row>
    <row r="34" spans="1:70" ht="15.75" customHeight="1" x14ac:dyDescent="0.25">
      <c r="C34" s="249" t="s">
        <v>271</v>
      </c>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c r="AD34" s="249"/>
      <c r="AE34" s="249"/>
      <c r="AF34" s="249"/>
      <c r="AG34" s="249"/>
      <c r="AH34" s="249"/>
      <c r="AI34" s="249"/>
      <c r="AJ34" s="249"/>
      <c r="AK34" s="249"/>
      <c r="AL34" s="249"/>
      <c r="AM34" s="249"/>
      <c r="AN34" s="249"/>
      <c r="AO34" s="249"/>
      <c r="AP34" s="249"/>
      <c r="AQ34" s="249"/>
      <c r="AR34" s="249"/>
      <c r="AS34" s="249"/>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row>
    <row r="35" spans="1:70" ht="47.25" customHeight="1" x14ac:dyDescent="0.25">
      <c r="C35" s="248" t="s">
        <v>278</v>
      </c>
      <c r="D35" s="248"/>
      <c r="E35" s="248"/>
      <c r="F35" s="248"/>
      <c r="G35" s="248"/>
      <c r="H35" s="248"/>
      <c r="I35" s="248"/>
      <c r="J35" s="248"/>
      <c r="K35" s="248"/>
      <c r="L35" s="248"/>
      <c r="M35" s="248"/>
      <c r="N35" s="248"/>
      <c r="O35" s="248"/>
      <c r="P35" s="248"/>
      <c r="Q35" s="248"/>
      <c r="R35" s="248"/>
      <c r="S35" s="248"/>
      <c r="T35" s="248"/>
      <c r="U35" s="248"/>
      <c r="V35" s="248"/>
      <c r="W35" s="248"/>
      <c r="X35" s="248"/>
      <c r="Y35" s="248"/>
      <c r="Z35" s="248"/>
      <c r="AA35" s="248"/>
      <c r="AB35" s="248"/>
      <c r="AC35" s="248"/>
      <c r="AD35" s="248"/>
      <c r="AE35" s="248"/>
      <c r="AF35" s="248"/>
      <c r="AG35" s="248"/>
      <c r="AH35" s="248"/>
      <c r="AI35" s="248"/>
      <c r="AJ35" s="248"/>
      <c r="AK35" s="248"/>
      <c r="AL35" s="248"/>
      <c r="AM35" s="248"/>
      <c r="AN35" s="248"/>
      <c r="AO35" s="248"/>
      <c r="AP35" s="248"/>
      <c r="AQ35" s="248"/>
      <c r="AR35" s="248"/>
      <c r="AS35" s="248"/>
      <c r="AT35" s="248"/>
      <c r="AU35" s="248"/>
      <c r="AV35" s="248"/>
      <c r="AW35" s="248"/>
      <c r="AX35" s="248"/>
      <c r="AY35" s="248"/>
      <c r="AZ35" s="248"/>
      <c r="BA35" s="248"/>
      <c r="BB35" s="248"/>
      <c r="BC35" s="248"/>
      <c r="BD35" s="248"/>
      <c r="BE35" s="248"/>
      <c r="BF35" s="248"/>
      <c r="BG35" s="248"/>
      <c r="BH35" s="248"/>
      <c r="BI35" s="248"/>
      <c r="BJ35" s="248"/>
      <c r="BK35" s="248"/>
      <c r="BL35" s="248"/>
      <c r="BM35" s="248"/>
      <c r="BN35" s="248"/>
      <c r="BO35" s="248"/>
      <c r="BP35" s="248"/>
      <c r="BQ35" s="248"/>
      <c r="BR35" s="248"/>
    </row>
    <row r="36" spans="1:70" x14ac:dyDescent="0.25">
      <c r="B36" s="2" t="s">
        <v>2</v>
      </c>
    </row>
    <row r="37" spans="1:70" x14ac:dyDescent="0.25">
      <c r="B37" s="250" t="s">
        <v>12</v>
      </c>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c r="AD37" s="250"/>
      <c r="AE37" s="250"/>
      <c r="AF37" s="250"/>
      <c r="AG37" s="250"/>
      <c r="AH37" s="250"/>
      <c r="AI37" s="250"/>
      <c r="AJ37" s="250"/>
      <c r="AK37" s="250"/>
      <c r="AL37" s="250"/>
      <c r="AM37" s="250"/>
      <c r="AN37" s="250"/>
      <c r="AO37" s="250"/>
      <c r="AP37" s="250"/>
      <c r="AQ37" s="250"/>
      <c r="AR37" s="250"/>
      <c r="AS37" s="250"/>
      <c r="AT37" s="250"/>
      <c r="AU37" s="250"/>
      <c r="AV37" s="250"/>
      <c r="AW37" s="250"/>
      <c r="AX37" s="250"/>
      <c r="AY37" s="250"/>
      <c r="AZ37" s="250"/>
      <c r="BA37" s="250"/>
      <c r="BB37" s="250"/>
      <c r="BC37" s="250"/>
      <c r="BD37" s="250"/>
      <c r="BE37" s="250"/>
      <c r="BF37" s="250"/>
      <c r="BG37" s="250"/>
      <c r="BH37" s="250"/>
      <c r="BI37" s="250"/>
      <c r="BJ37" s="250"/>
      <c r="BK37" s="250"/>
      <c r="BL37" s="250"/>
      <c r="BM37" s="250"/>
      <c r="BN37" s="250"/>
      <c r="BO37" s="250"/>
      <c r="BP37" s="250"/>
      <c r="BQ37" s="250"/>
      <c r="BR37" s="250"/>
    </row>
    <row r="38" spans="1:70" x14ac:dyDescent="0.25">
      <c r="C38" s="2" t="s">
        <v>7</v>
      </c>
    </row>
    <row r="39" spans="1:70" ht="45.75" customHeight="1" x14ac:dyDescent="0.25">
      <c r="C39" s="247" t="s">
        <v>8</v>
      </c>
      <c r="D39" s="247"/>
      <c r="E39" s="247"/>
      <c r="F39" s="247"/>
      <c r="G39" s="247"/>
      <c r="H39" s="247"/>
      <c r="I39" s="247"/>
      <c r="J39" s="247"/>
      <c r="K39" s="247"/>
      <c r="L39" s="247"/>
      <c r="M39" s="247"/>
      <c r="N39" s="247"/>
      <c r="O39" s="247"/>
      <c r="P39" s="247"/>
      <c r="Q39" s="247"/>
      <c r="R39" s="247"/>
      <c r="S39" s="247"/>
      <c r="T39" s="247"/>
      <c r="U39" s="247"/>
      <c r="V39" s="247"/>
      <c r="W39" s="247"/>
      <c r="X39" s="247"/>
      <c r="Y39" s="247"/>
      <c r="Z39" s="247"/>
      <c r="AA39" s="247"/>
      <c r="AB39" s="247"/>
      <c r="AC39" s="247"/>
      <c r="AD39" s="247"/>
      <c r="AE39" s="247"/>
      <c r="AF39" s="247"/>
      <c r="AG39" s="247"/>
      <c r="AH39" s="247"/>
      <c r="AI39" s="247"/>
      <c r="AJ39" s="247"/>
      <c r="AK39" s="247"/>
      <c r="AL39" s="247"/>
      <c r="AM39" s="247"/>
      <c r="AN39" s="247"/>
      <c r="AO39" s="247"/>
      <c r="AP39" s="247"/>
      <c r="AQ39" s="247"/>
      <c r="AR39" s="247"/>
      <c r="AS39" s="247"/>
      <c r="AT39" s="247"/>
      <c r="AU39" s="247"/>
      <c r="AV39" s="247"/>
      <c r="AW39" s="247"/>
      <c r="AX39" s="247"/>
      <c r="AY39" s="247"/>
      <c r="AZ39" s="247"/>
      <c r="BA39" s="247"/>
      <c r="BB39" s="247"/>
      <c r="BC39" s="247"/>
      <c r="BD39" s="247"/>
      <c r="BE39" s="247"/>
      <c r="BF39" s="247"/>
      <c r="BG39" s="247"/>
      <c r="BH39" s="247"/>
      <c r="BI39" s="247"/>
      <c r="BJ39" s="247"/>
      <c r="BK39" s="247"/>
      <c r="BL39" s="247"/>
      <c r="BM39" s="247"/>
      <c r="BN39" s="247"/>
      <c r="BO39" s="247"/>
      <c r="BP39" s="247"/>
      <c r="BQ39" s="247"/>
      <c r="BR39" s="24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2021-03-28T02:21:02Z</dcterms:modified>
</cp:coreProperties>
</file>