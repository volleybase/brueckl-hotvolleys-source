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7B83B56C-48BC-4C92-B327-CA5A8E104495}" xr6:coauthVersionLast="45" xr6:coauthVersionMax="45" xr10:uidLastSave="{00000000-0000-0000-0000-000000000000}"/>
  <bookViews>
    <workbookView xWindow="-120" yWindow="-120" windowWidth="29040" windowHeight="16440"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9" i="10" l="1"/>
  <c r="C48" i="10"/>
  <c r="B46" i="10"/>
  <c r="B45" i="10"/>
  <c r="K22" i="10"/>
  <c r="E22" i="10"/>
  <c r="I22" i="10"/>
  <c r="K17" i="13" l="1"/>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L17" i="13" s="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6" i="13" l="1"/>
  <c r="K18" i="13"/>
  <c r="L18" i="13" s="1"/>
  <c r="K19" i="13"/>
  <c r="L19" i="13" s="1"/>
  <c r="L9" i="13"/>
  <c r="L14" i="13"/>
  <c r="L4" i="13"/>
  <c r="L15" i="13"/>
  <c r="L11" i="13"/>
  <c r="L3" i="13"/>
  <c r="L6" i="13"/>
  <c r="L12" i="13"/>
  <c r="L8" i="13"/>
  <c r="L5" i="13"/>
  <c r="L7" i="13"/>
  <c r="L13" i="13"/>
  <c r="L10" i="13"/>
  <c r="K21" i="10"/>
  <c r="E21" i="10"/>
  <c r="I21" i="10"/>
  <c r="AL24" i="10" l="1"/>
  <c r="B19" i="12" l="1"/>
  <c r="C47" i="10" l="1"/>
  <c r="D47" i="10" s="1"/>
  <c r="E47" i="10" s="1"/>
  <c r="F47" i="10" s="1"/>
  <c r="G47" i="10" s="1"/>
  <c r="H47" i="10" s="1"/>
  <c r="I47" i="10" s="1"/>
  <c r="J47" i="10" s="1"/>
  <c r="K47" i="10" s="1"/>
  <c r="L47" i="10" s="1"/>
  <c r="M47" i="10" s="1"/>
  <c r="N47" i="10" s="1"/>
  <c r="C38" i="10"/>
  <c r="I25" i="10" l="1"/>
  <c r="I24" i="10"/>
  <c r="JG25" i="10" l="1"/>
  <c r="JF25" i="10"/>
  <c r="JE25" i="10"/>
  <c r="JD25" i="10"/>
  <c r="JC25" i="10"/>
  <c r="JB25" i="10"/>
  <c r="JA25" i="10"/>
  <c r="IZ25" i="10"/>
  <c r="IY25" i="10"/>
  <c r="IX25" i="10"/>
  <c r="IW25" i="10"/>
  <c r="IV25" i="10"/>
  <c r="IU25" i="10"/>
  <c r="IT25" i="10"/>
  <c r="IS25" i="10"/>
  <c r="IR25" i="10"/>
  <c r="IQ25" i="10"/>
  <c r="IP25" i="10"/>
  <c r="IO25" i="10"/>
  <c r="IN25" i="10"/>
  <c r="IM25" i="10"/>
  <c r="IL25" i="10"/>
  <c r="IK25" i="10"/>
  <c r="IJ25" i="10"/>
  <c r="II25" i="10"/>
  <c r="IH25" i="10"/>
  <c r="IG25" i="10"/>
  <c r="IF25" i="10"/>
  <c r="IE25" i="10"/>
  <c r="ID25" i="10"/>
  <c r="IC25" i="10"/>
  <c r="IB25" i="10"/>
  <c r="IA25" i="10"/>
  <c r="HZ25" i="10"/>
  <c r="HY25" i="10"/>
  <c r="HX25" i="10"/>
  <c r="HW25" i="10"/>
  <c r="HV25" i="10"/>
  <c r="HU25" i="10"/>
  <c r="HT25" i="10"/>
  <c r="HS25" i="10"/>
  <c r="HR25" i="10"/>
  <c r="HQ25" i="10"/>
  <c r="HP25" i="10"/>
  <c r="HO25" i="10"/>
  <c r="HN25" i="10"/>
  <c r="HM25" i="10"/>
  <c r="HL25" i="10"/>
  <c r="HK25" i="10"/>
  <c r="HJ25" i="10"/>
  <c r="HI25" i="10"/>
  <c r="HH25" i="10"/>
  <c r="HG25" i="10"/>
  <c r="HF25" i="10"/>
  <c r="HE25" i="10"/>
  <c r="HD25" i="10"/>
  <c r="HC25" i="10"/>
  <c r="HB25" i="10"/>
  <c r="HA25" i="10"/>
  <c r="GZ25" i="10"/>
  <c r="GY25" i="10"/>
  <c r="GX25" i="10"/>
  <c r="GW25" i="10"/>
  <c r="GV25" i="10"/>
  <c r="GU25" i="10"/>
  <c r="GT25" i="10"/>
  <c r="GS25" i="10"/>
  <c r="GR25" i="10"/>
  <c r="GQ25" i="10"/>
  <c r="GP25" i="10"/>
  <c r="GO25" i="10"/>
  <c r="GN25" i="10"/>
  <c r="GM25" i="10"/>
  <c r="GL25" i="10"/>
  <c r="GK25" i="10"/>
  <c r="GJ25" i="10"/>
  <c r="GI25" i="10"/>
  <c r="GH25" i="10"/>
  <c r="GG25" i="10"/>
  <c r="GF25" i="10"/>
  <c r="GE25" i="10"/>
  <c r="GD25" i="10"/>
  <c r="GC25" i="10"/>
  <c r="GB25" i="10"/>
  <c r="GA25" i="10"/>
  <c r="FZ25" i="10"/>
  <c r="FY25" i="10"/>
  <c r="FX25" i="10"/>
  <c r="FW25" i="10"/>
  <c r="FV25" i="10"/>
  <c r="FU25" i="10"/>
  <c r="FT25" i="10"/>
  <c r="FS25" i="10"/>
  <c r="FR25" i="10"/>
  <c r="FQ25" i="10"/>
  <c r="FP25" i="10"/>
  <c r="FO25" i="10"/>
  <c r="FN25" i="10"/>
  <c r="FM25" i="10"/>
  <c r="FL25" i="10"/>
  <c r="FK25" i="10"/>
  <c r="FJ25" i="10"/>
  <c r="FI25" i="10"/>
  <c r="FH25" i="10"/>
  <c r="FG25" i="10"/>
  <c r="FF25" i="10"/>
  <c r="FE25" i="10"/>
  <c r="FD25" i="10"/>
  <c r="FC25" i="10"/>
  <c r="FB25" i="10"/>
  <c r="FA25" i="10"/>
  <c r="EZ25" i="10"/>
  <c r="EY25" i="10"/>
  <c r="EX25" i="10"/>
  <c r="EW25" i="10"/>
  <c r="EV25" i="10"/>
  <c r="EU25" i="10"/>
  <c r="ET25" i="10"/>
  <c r="ES25" i="10"/>
  <c r="ER25" i="10"/>
  <c r="EQ25" i="10"/>
  <c r="EP25" i="10"/>
  <c r="EO25" i="10"/>
  <c r="EN25" i="10"/>
  <c r="EM25" i="10"/>
  <c r="EL25" i="10"/>
  <c r="JG24" i="10"/>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EK25" i="10"/>
  <c r="EJ25" i="10"/>
  <c r="EI25" i="10"/>
  <c r="EH25" i="10"/>
  <c r="EG25" i="10"/>
  <c r="EF25" i="10"/>
  <c r="EE25" i="10"/>
  <c r="ED25" i="10"/>
  <c r="EC25" i="10"/>
  <c r="EB25" i="10"/>
  <c r="EA25" i="10"/>
  <c r="DZ25" i="10"/>
  <c r="DY25" i="10"/>
  <c r="DX25" i="10"/>
  <c r="DW25" i="10"/>
  <c r="DV25" i="10"/>
  <c r="DU25" i="10"/>
  <c r="DT25" i="10"/>
  <c r="DS25" i="10"/>
  <c r="DR25" i="10"/>
  <c r="DQ25" i="10"/>
  <c r="DP25" i="10"/>
  <c r="DO25" i="10"/>
  <c r="DN25" i="10"/>
  <c r="DM25" i="10"/>
  <c r="DL25" i="10"/>
  <c r="DK25" i="10"/>
  <c r="DJ25" i="10"/>
  <c r="DI25" i="10"/>
  <c r="DH25" i="10"/>
  <c r="DG25" i="10"/>
  <c r="DF25" i="10"/>
  <c r="DE25" i="10"/>
  <c r="DD25" i="10"/>
  <c r="DC25" i="10"/>
  <c r="DB25" i="10"/>
  <c r="DA25" i="10"/>
  <c r="CZ25" i="10"/>
  <c r="CY25" i="10"/>
  <c r="CX25" i="10"/>
  <c r="CW25" i="10"/>
  <c r="CV25" i="10"/>
  <c r="CU25" i="10"/>
  <c r="CT25" i="10"/>
  <c r="CS25" i="10"/>
  <c r="CR25" i="10"/>
  <c r="CQ25" i="10"/>
  <c r="CP25" i="10"/>
  <c r="CO25" i="10"/>
  <c r="CN25" i="10"/>
  <c r="CM25" i="10"/>
  <c r="CL25" i="10"/>
  <c r="CK25" i="10"/>
  <c r="CJ25" i="10"/>
  <c r="CI25" i="10"/>
  <c r="CH25" i="10"/>
  <c r="CG25" i="10"/>
  <c r="CF25" i="10"/>
  <c r="CE25" i="10"/>
  <c r="CD25" i="10"/>
  <c r="CC25" i="10"/>
  <c r="CB25" i="10"/>
  <c r="CA25"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BZ25" i="10"/>
  <c r="BY25" i="10"/>
  <c r="BX25" i="10"/>
  <c r="BW25" i="10"/>
  <c r="BV25" i="10"/>
  <c r="BU25" i="10"/>
  <c r="BT25" i="10"/>
  <c r="BS25" i="10"/>
  <c r="BR25" i="10"/>
  <c r="BQ25" i="10"/>
  <c r="BP25" i="10"/>
  <c r="BO25" i="10"/>
  <c r="BN25" i="10"/>
  <c r="BM25" i="10"/>
  <c r="BL25" i="10"/>
  <c r="BK25" i="10"/>
  <c r="BJ25" i="10"/>
  <c r="BI25" i="10"/>
  <c r="BH25" i="10"/>
  <c r="BG25" i="10"/>
  <c r="BF25" i="10"/>
  <c r="BE25" i="10"/>
  <c r="BD25" i="10"/>
  <c r="BC25" i="10"/>
  <c r="BB25" i="10"/>
  <c r="BA25" i="10"/>
  <c r="AZ25" i="10"/>
  <c r="AY25"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AX25" i="10"/>
  <c r="AW25" i="10"/>
  <c r="AV25" i="10"/>
  <c r="AU25" i="10"/>
  <c r="AT25" i="10"/>
  <c r="AS25" i="10"/>
  <c r="AR25" i="10"/>
  <c r="AQ25" i="10"/>
  <c r="AP25" i="10"/>
  <c r="AO25" i="10"/>
  <c r="AN25" i="10"/>
  <c r="AM25" i="10"/>
  <c r="AL25" i="10"/>
  <c r="AK25" i="10"/>
  <c r="AX24" i="10"/>
  <c r="AW24" i="10"/>
  <c r="AV24" i="10"/>
  <c r="AU24" i="10"/>
  <c r="AT24" i="10"/>
  <c r="AS24" i="10"/>
  <c r="AR24" i="10"/>
  <c r="AQ24" i="10"/>
  <c r="AP24" i="10"/>
  <c r="AO24" i="10"/>
  <c r="AN24" i="10"/>
  <c r="AM24" i="10"/>
  <c r="AK24" i="10"/>
  <c r="V25" i="10"/>
  <c r="U25" i="10"/>
  <c r="T25" i="10"/>
  <c r="S25" i="10"/>
  <c r="R25" i="10"/>
  <c r="Q25" i="10"/>
  <c r="P25" i="10"/>
  <c r="V24" i="10"/>
  <c r="U24" i="10"/>
  <c r="T24" i="10"/>
  <c r="S24" i="10"/>
  <c r="R24" i="10"/>
  <c r="Q24" i="10"/>
  <c r="P24" i="10"/>
  <c r="AJ25" i="10"/>
  <c r="AI25" i="10"/>
  <c r="AH25" i="10"/>
  <c r="AG25" i="10"/>
  <c r="AF25" i="10"/>
  <c r="AE25" i="10"/>
  <c r="AD25" i="10"/>
  <c r="AJ24" i="10"/>
  <c r="AI24" i="10"/>
  <c r="AH24" i="10"/>
  <c r="AG24" i="10"/>
  <c r="AF24" i="10"/>
  <c r="AE24" i="10"/>
  <c r="AD24" i="10"/>
  <c r="AC25" i="10"/>
  <c r="AB25" i="10"/>
  <c r="AA25" i="10"/>
  <c r="Z25" i="10"/>
  <c r="Y25" i="10"/>
  <c r="X25" i="10"/>
  <c r="W25" i="10"/>
  <c r="AC24" i="10"/>
  <c r="AB24" i="10"/>
  <c r="AA24" i="10"/>
  <c r="Z24" i="10"/>
  <c r="Y24" i="10"/>
  <c r="X24" i="10"/>
  <c r="W24" i="10"/>
  <c r="E43" i="10"/>
  <c r="F43" i="10" s="1"/>
  <c r="G43" i="10" s="1"/>
  <c r="I43" i="10" s="1"/>
  <c r="E42" i="10"/>
  <c r="F42" i="10" s="1"/>
  <c r="G42" i="10" s="1"/>
  <c r="I42" i="10" s="1"/>
  <c r="D41" i="10"/>
  <c r="E41" i="10" s="1"/>
  <c r="F41" i="10" s="1"/>
  <c r="G41" i="10" s="1"/>
  <c r="H41" i="10" s="1"/>
  <c r="I41" i="10" s="1"/>
  <c r="J41" i="10" s="1"/>
  <c r="K41" i="10" s="1"/>
  <c r="L41" i="10" s="1"/>
  <c r="M41" i="10" s="1"/>
  <c r="N41" i="10" s="1"/>
  <c r="D39" i="10" l="1"/>
  <c r="C39" i="10"/>
  <c r="E23" i="10"/>
  <c r="E20" i="10"/>
  <c r="E19" i="10"/>
  <c r="E18" i="10"/>
  <c r="E17" i="10"/>
  <c r="E16" i="10"/>
  <c r="E15" i="10"/>
  <c r="E14" i="10"/>
  <c r="E13" i="10"/>
  <c r="E12" i="10"/>
  <c r="E11" i="10"/>
  <c r="E10" i="10"/>
  <c r="E9" i="10"/>
  <c r="E8" i="10"/>
  <c r="E6" i="10"/>
  <c r="E5" i="10"/>
  <c r="E4" i="10"/>
  <c r="E3" i="10"/>
  <c r="I23" i="10"/>
  <c r="I20" i="10"/>
  <c r="I19" i="10"/>
  <c r="I18" i="10"/>
  <c r="I17" i="10"/>
  <c r="I16" i="10"/>
  <c r="I15" i="10"/>
  <c r="I14" i="10"/>
  <c r="I13" i="10"/>
  <c r="I12" i="10"/>
  <c r="I11" i="10"/>
  <c r="I10" i="10"/>
  <c r="I9" i="10"/>
  <c r="I8" i="10"/>
  <c r="I7" i="10"/>
  <c r="I6" i="10"/>
  <c r="I5" i="10"/>
  <c r="I4" i="10"/>
  <c r="I3" i="10"/>
  <c r="I1" i="10"/>
  <c r="D49" i="10"/>
  <c r="H49" i="10" s="1"/>
  <c r="J49" i="10" s="1"/>
  <c r="K49" i="10" s="1"/>
  <c r="L49" i="10" s="1"/>
  <c r="M49" i="10" s="1"/>
  <c r="N49" i="10" s="1"/>
  <c r="D48" i="10"/>
  <c r="H48" i="10" s="1"/>
  <c r="J48" i="10" s="1"/>
  <c r="K48" i="10" s="1"/>
  <c r="L48" i="10" s="1"/>
  <c r="M48" i="10" s="1"/>
  <c r="N48" i="10" s="1"/>
  <c r="C46" i="10"/>
  <c r="D46" i="10" s="1"/>
  <c r="H46" i="10" s="1"/>
  <c r="J46" i="10" s="1"/>
  <c r="K46" i="10" s="1"/>
  <c r="L46" i="10" s="1"/>
  <c r="M46" i="10" s="1"/>
  <c r="N46" i="10" s="1"/>
  <c r="C45" i="10"/>
  <c r="D45" i="10" s="1"/>
  <c r="H45" i="10" s="1"/>
  <c r="J45" i="10" s="1"/>
  <c r="K45" i="10" s="1"/>
  <c r="L45" i="10" s="1"/>
  <c r="M45" i="10" s="1"/>
  <c r="N45" i="10" s="1"/>
  <c r="D38" i="10"/>
  <c r="H38" i="10" s="1"/>
  <c r="J38" i="10" s="1"/>
  <c r="K38" i="10" s="1"/>
  <c r="L38" i="10" s="1"/>
  <c r="M38" i="10" s="1"/>
  <c r="N38" i="10" s="1"/>
  <c r="C37" i="10"/>
  <c r="D37" i="10" s="1"/>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B44" i="10"/>
  <c r="H39" i="10" l="1"/>
  <c r="J39" i="10" s="1"/>
  <c r="K39" i="10" s="1"/>
  <c r="L39" i="10" s="1"/>
  <c r="M39" i="10" s="1"/>
  <c r="N39" i="10" s="1"/>
  <c r="K26" i="10"/>
  <c r="L22" i="10" s="1"/>
  <c r="K23"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5" i="10"/>
  <c r="L25" i="10" s="1"/>
  <c r="K24" i="10"/>
  <c r="L24" i="10" s="1"/>
  <c r="L23"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<sst xmlns="http://schemas.openxmlformats.org/spreadsheetml/2006/main" count="3098" uniqueCount="966">
  <si>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</si>
  <si>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</si>
  <si>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</si>
  <si>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</si>
  <si>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</si>
  <si>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</si>
  <si>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</si>
  <si>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</si>
  <si>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</si>
  <si>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</si>
  <si>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</si>
  <si>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</si>
  <si>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</si>
  <si>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</si>
  <si>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</si>
  <si>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</si>
  <si>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</si>
  <si>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</si>
  <si>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</si>
  <si>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</si>
  <si>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</si>
  <si>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</si>
  <si>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</si>
  <si>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</si>
  <si>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</si>
  <si>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</si>
  <si>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</si>
  <si>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</si>
  <si>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</si>
  <si>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</si>
  <si>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</si>
  <si>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</si>
  <si>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</si>
  <si>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</si>
  <si>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</si>
  <si>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</si>
  <si>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</si>
  <si>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</si>
  <si>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</si>
  <si>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</si>
  <si>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</si>
  <si>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</si>
  <si>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</si>
  <si>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</si>
  <si>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</si>
  <si>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</si>
  <si>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</si>
  <si>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</si>
  <si>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</si>
  <si>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</si>
  <si>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</si>
  <si>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</si>
  <si>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</si>
  <si>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</si>
  <si>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</si>
  <si>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</si>
  <si>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</si>
  <si>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</si>
  <si>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</si>
  <si>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</si>
  <si>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</si>
  <si>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</si>
  <si>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</si>
  <si>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</si>
  <si>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</si>
  <si>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</si>
  <si>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</si>
  <si>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</si>
  <si>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</si>
  <si>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</si>
  <si>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</si>
  <si>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</si>
  <si>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</si>
  <si>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</si>
  <si>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</si>
  <si>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</si>
  <si>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</si>
  <si>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</si>
  <si>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</si>
  <si>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</si>
  <si>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</si>
  <si>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</si>
  <si>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</si>
  <si>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</si>
  <si>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</si>
  <si>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</si>
  <si>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</si>
  <si>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</si>
  <si>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</si>
  <si>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</si>
  <si>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</si>
  <si>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</si>
  <si>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</si>
  <si>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</si>
  <si>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</si>
  <si>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</si>
  <si>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</si>
  <si>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</si>
  <si>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</si>
  <si>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</si>
  <si>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</si>
  <si>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</si>
  <si>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</si>
  <si>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</si>
  <si>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</si>
  <si>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</si>
  <si>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</si>
  <si>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</si>
  <si>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</si>
  <si>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</si>
  <si>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</si>
  <si>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</si>
  <si>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</si>
  <si>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</si>
  <si>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</si>
  <si>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</si>
  <si>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</si>
  <si>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</si>
  <si>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</si>
  <si>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</si>
  <si>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</si>
  <si>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</si>
  <si>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</si>
  <si>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</si>
  <si>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</si>
  <si>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</si>
  <si>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</si>
  <si>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</si>
  <si>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</si>
  <si>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</si>
  <si>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</si>
  <si>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</si>
  <si>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</si>
  <si>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</si>
  <si>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</si>
  <si>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</si>
  <si>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</si>
  <si>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</si>
  <si>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</si>
  <si>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</si>
  <si>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</si>
  <si>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</si>
  <si>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</si>
  <si>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</si>
  <si>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</si>
  <si>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</si>
  <si>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</si>
  <si>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</si>
  <si>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</si>
  <si>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</si>
  <si>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</si>
  <si>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</si>
  <si>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</si>
  <si>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</si>
  <si>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</si>
  <si>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</si>
  <si>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</si>
  <si>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</si>
  <si>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</si>
  <si>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</si>
  <si>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</si>
  <si>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</si>
  <si>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</si>
  <si>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</si>
  <si>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</si>
  <si>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</si>
  <si>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</si>
  <si>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</si>
  <si>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</si>
  <si>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</si>
  <si>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</si>
  <si>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</si>
  <si>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</si>
  <si>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</si>
  <si>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</si>
  <si>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</si>
  <si>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</si>
  <si>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</si>
  <si>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</si>
  <si>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</si>
  <si>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</si>
  <si>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</si>
  <si>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</si>
  <si>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</si>
  <si>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</si>
  <si>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</si>
  <si>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</si>
  <si>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</si>
  <si>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</si>
  <si>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</si>
  <si>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</si>
  <si>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</si>
  <si>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</si>
  <si>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</si>
  <si>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</si>
  <si>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</si>
  <si>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</si>
  <si>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</si>
  <si>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</si>
  <si>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</si>
  <si>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</si>
  <si>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</si>
  <si>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</si>
  <si>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</si>
  <si>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</si>
  <si>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</si>
  <si>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</si>
  <si>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</si>
  <si>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</si>
  <si>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</si>
  <si>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</si>
  <si>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</si>
  <si>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</si>
  <si>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</si>
  <si>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</si>
  <si>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</si>
  <si>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</si>
  <si>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</si>
  <si>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</si>
  <si>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</si>
  <si>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</si>
  <si>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</si>
  <si>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</si>
  <si>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</si>
  <si>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</si>
  <si>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</si>
  <si>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</si>
  <si>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</si>
  <si>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</si>
  <si>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</si>
  <si>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</si>
  <si>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</si>
  <si>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</si>
  <si>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</si>
  <si>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</si>
  <si>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</si>
  <si>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</si>
  <si>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</si>
  <si>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</si>
  <si>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</si>
  <si>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</si>
  <si>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</si>
  <si>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</si>
  <si>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</si>
  <si>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</si>
  <si>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</si>
  <si>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</si>
  <si>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</si>
  <si>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</si>
  <si>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</si>
  <si>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</si>
  <si>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</si>
  <si>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</si>
  <si>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</si>
  <si>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</si>
  <si>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</si>
  <si>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</si>
  <si>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</si>
  <si>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</si>
  <si>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</si>
  <si>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</si>
  <si>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</si>
  <si>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</si>
  <si>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</si>
  <si>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</si>
  <si>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</si>
  <si>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</si>
  <si>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</si>
  <si>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</si>
  <si>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</si>
  <si>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</si>
  <si>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</si>
  <si>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</si>
  <si>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</si>
  <si>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</si>
  <si>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</si>
  <si>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</si>
  <si>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</si>
  <si>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</si>
  <si>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</si>
  <si>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</si>
  <si>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</si>
  <si>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</si>
  <si>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</si>
  <si>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</si>
  <si>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</si>
  <si>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</si>
  <si>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</si>
  <si>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</si>
  <si>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</si>
  <si>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</si>
  <si>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</si>
  <si>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</si>
  <si>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</si>
  <si>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</si>
  <si>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</si>
  <si>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</si>
  <si>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</si>
  <si>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</si>
  <si>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</si>
  <si>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</si>
  <si>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</si>
  <si>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</si>
  <si>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</si>
  <si>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</si>
  <si>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</si>
  <si>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</si>
  <si>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</si>
  <si>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</si>
  <si>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</si>
  <si>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</si>
  <si>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</si>
  <si>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</si>
  <si>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</si>
  <si>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</si>
  <si>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</si>
  <si>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</si>
  <si>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</si>
  <si>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</si>
  <si>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</si>
  <si>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</si>
  <si>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</si>
  <si>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</si>
  <si>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</si>
  <si>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</si>
  <si>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</si>
  <si>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</si>
  <si>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</si>
  <si>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</si>
  <si>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</si>
  <si>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</si>
  <si>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</si>
  <si>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</si>
  <si>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</si>
  <si>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</si>
  <si>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</si>
  <si>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</si>
  <si>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</si>
  <si>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</si>
  <si>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</si>
  <si>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</si>
  <si>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</si>
  <si>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</si>
  <si>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</si>
  <si>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</si>
  <si>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</si>
  <si>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</si>
  <si>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</si>
  <si>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</si>
  <si>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</si>
  <si>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</si>
  <si>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</si>
  <si>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</si>
  <si>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</si>
  <si>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</si>
  <si>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</si>
  <si>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</si>
  <si>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</si>
  <si>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</si>
  <si>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</si>
  <si>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</si>
  <si>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</si>
  <si>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</si>
  <si>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</si>
  <si>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</si>
  <si>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</si>
  <si>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</si>
  <si>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</si>
  <si>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</si>
  <si>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</si>
  <si>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</si>
  <si>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</si>
  <si>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</si>
  <si>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</si>
  <si>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</si>
  <si>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</si>
  <si>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</si>
  <si>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</si>
  <si>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</si>
  <si>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</si>
  <si>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</si>
  <si>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</si>
  <si>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</si>
  <si>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</si>
  <si>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</si>
  <si>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</si>
  <si>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</si>
  <si>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</si>
  <si>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</si>
  <si>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</si>
  <si>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</si>
  <si>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</si>
  <si>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</si>
  <si>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</si>
  <si>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</si>
  <si>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</si>
  <si>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</si>
  <si>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</si>
  <si>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</si>
  <si>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</si>
  <si>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</si>
  <si>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</si>
  <si>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</si>
  <si>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</si>
  <si>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</si>
  <si>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</si>
  <si>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</si>
  <si>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</si>
  <si>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</si>
  <si>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</si>
  <si>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</si>
  <si>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</si>
  <si>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</si>
  <si>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</si>
  <si>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</si>
  <si>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</si>
  <si>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</si>
  <si>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</si>
  <si>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</si>
  <si>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</si>
  <si>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</si>
  <si>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</si>
  <si>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</si>
  <si>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</si>
  <si>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</si>
  <si>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</si>
  <si>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</si>
  <si>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</si>
  <si>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</si>
  <si>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</si>
  <si>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</si>
  <si>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</si>
  <si>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</si>
  <si>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</si>
  <si>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</si>
  <si>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</si>
  <si>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</si>
  <si>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</si>
  <si>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</si>
  <si>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</si>
  <si>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</si>
  <si>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</si>
  <si>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</si>
  <si>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</si>
  <si>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</si>
  <si>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</si>
  <si>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</si>
  <si>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</si>
  <si>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</si>
  <si>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</si>
  <si>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</si>
  <si>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</si>
  <si>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</si>
  <si>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</si>
  <si>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</si>
  <si>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</si>
  <si>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</si>
  <si>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</si>
  <si>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</si>
  <si>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</si>
  <si>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</si>
  <si>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</si>
  <si>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</si>
  <si>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</si>
  <si>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</si>
  <si>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</si>
  <si>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</si>
  <si>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</si>
  <si>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</si>
  <si>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</si>
  <si>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</si>
  <si>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</si>
  <si>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</si>
  <si>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</si>
  <si>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</si>
  <si>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</si>
  <si>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</si>
  <si>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</si>
  <si>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</si>
  <si>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</si>
  <si>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</si>
  <si>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</si>
  <si>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</si>
  <si>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</si>
  <si>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</si>
  <si>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</si>
  <si>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</si>
  <si>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</si>
  <si>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</si>
  <si>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</si>
  <si>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</si>
  <si>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</si>
  <si>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</si>
  <si>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</si>
  <si>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</si>
  <si>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</si>
  <si>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</si>
  <si>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</si>
  <si>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</si>
  <si>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</si>
  <si>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</si>
  <si>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</si>
  <si>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</si>
  <si>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</si>
  <si>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</si>
  <si>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</si>
  <si>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</si>
  <si>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</si>
  <si>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</si>
  <si>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</si>
  <si>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</si>
  <si>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</si>
  <si>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</si>
  <si>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</si>
  <si>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</si>
  <si>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</si>
  <si>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</si>
  <si>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</si>
  <si>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</si>
  <si>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</si>
  <si>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</si>
  <si>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</si>
  <si>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</si>
  <si>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</si>
  <si>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</si>
  <si>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</si>
  <si>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</si>
  <si>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</si>
  <si>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</si>
  <si>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</si>
  <si>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</si>
  <si>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</si>
  <si>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</si>
  <si>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</si>
  <si>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</si>
  <si>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</si>
  <si>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</si>
  <si>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</si>
  <si>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</si>
  <si>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</si>
  <si>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</si>
  <si>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</si>
  <si>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</si>
  <si>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</si>
  <si>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</si>
  <si>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</si>
  <si>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</si>
  <si>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</si>
  <si>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</si>
  <si>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</si>
  <si>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</si>
  <si>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</si>
  <si>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</si>
  <si>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</si>
  <si>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</si>
  <si>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</si>
  <si>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</si>
  <si>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</si>
  <si>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</si>
  <si>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</si>
  <si>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</si>
  <si>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</si>
  <si>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</si>
  <si>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</si>
  <si>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</si>
  <si>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</si>
  <si>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</si>
  <si>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</si>
  <si>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</si>
  <si>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</si>
  <si>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</si>
  <si>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</si>
  <si>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</si>
  <si>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</si>
  <si>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</si>
  <si>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</si>
  <si>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</si>
  <si>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</si>
  <si>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</si>
  <si>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</si>
  <si>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</si>
  <si>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</si>
  <si>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</si>
  <si>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</si>
  <si>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</si>
  <si>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</si>
  <si>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</si>
  <si>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</si>
  <si>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</si>
  <si>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</si>
  <si>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</si>
  <si>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</si>
  <si>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</si>
  <si>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</si>
  <si>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</si>
  <si>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</si>
  <si>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</si>
  <si>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</si>
  <si>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</si>
  <si>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</si>
  <si>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</si>
  <si>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</si>
  <si>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</si>
  <si>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</si>
  <si>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</si>
  <si>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</si>
  <si>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</si>
  <si>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</si>
  <si>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</si>
  <si>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</si>
  <si>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</si>
  <si>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</si>
  <si>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</si>
  <si>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</si>
  <si>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</si>
  <si>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</si>
  <si>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</si>
  <si>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</si>
  <si>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</si>
  <si>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</si>
  <si>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</si>
  <si>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</si>
  <si>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</si>
  <si>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</si>
  <si>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</si>
  <si>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</si>
  <si>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</si>
  <si>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</si>
  <si>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</si>
  <si>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</si>
  <si>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</si>
  <si>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</si>
  <si>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</si>
  <si>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</si>
  <si>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</si>
  <si>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</si>
  <si>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</si>
  <si>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</si>
  <si>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</si>
  <si>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</si>
  <si>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</si>
  <si>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</si>
  <si>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</si>
  <si>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</si>
  <si>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</si>
  <si>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</si>
  <si>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</si>
  <si>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</si>
  <si>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</si>
  <si>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</si>
  <si>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</si>
  <si>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</si>
  <si>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</si>
  <si>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</si>
  <si>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</si>
  <si>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</si>
  <si>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</si>
  <si>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</si>
  <si>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</si>
  <si>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</si>
  <si>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</si>
  <si>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</si>
  <si>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</si>
  <si>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</si>
  <si>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</si>
  <si>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</si>
  <si>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</si>
  <si>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</si>
  <si>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</si>
  <si>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</si>
  <si>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</si>
  <si>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</si>
  <si>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</si>
  <si>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</si>
  <si>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</si>
  <si>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</si>
  <si>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</si>
  <si>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</si>
  <si>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</si>
  <si>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</si>
  <si>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</si>
  <si>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</si>
  <si>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</si>
  <si>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</si>
  <si>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</si>
  <si>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</si>
  <si>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</si>
  <si>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</si>
  <si>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</si>
  <si>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</si>
  <si>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</si>
  <si>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</si>
  <si>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</si>
  <si>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</si>
  <si>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</si>
  <si>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</si>
  <si>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</si>
  <si>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</si>
  <si>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</si>
  <si>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</si>
  <si>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</si>
  <si>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</si>
  <si>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</si>
  <si>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</si>
  <si>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</si>
  <si>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</si>
  <si>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</si>
  <si>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</si>
  <si>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</si>
  <si>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</si>
  <si>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</si>
  <si>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</si>
  <si>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</si>
  <si>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</si>
  <si>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</si>
  <si>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</si>
  <si>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</si>
  <si>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</si>
  <si>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</si>
  <si>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</si>
  <si>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</si>
  <si>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</si>
  <si>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</si>
  <si>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</si>
  <si>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</si>
  <si>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</si>
  <si>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</si>
  <si>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</si>
  <si>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</si>
  <si>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</si>
  <si>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</si>
  <si>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</si>
  <si>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</si>
  <si>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</si>
  <si>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</si>
  <si>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</si>
  <si>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</si>
  <si>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</si>
  <si>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</si>
  <si>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</si>
  <si>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</si>
  <si>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</si>
  <si>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</si>
  <si>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</si>
  <si>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</si>
  <si>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</si>
  <si>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</si>
  <si>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</si>
  <si>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</si>
  <si>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</si>
  <si>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</si>
  <si>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</si>
  <si>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</si>
  <si>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</si>
  <si>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</si>
  <si>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</si>
  <si>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</si>
  <si>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</si>
  <si>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</si>
  <si>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</si>
  <si>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</si>
  <si>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</si>
  <si>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</si>
  <si>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</si>
  <si>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</si>
  <si>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</si>
  <si>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</si>
  <si>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</si>
  <si>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</si>
  <si>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</si>
  <si>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</si>
  <si>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</si>
  <si>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</si>
  <si>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</si>
  <si>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</si>
  <si>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</si>
  <si>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</si>
  <si>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</si>
  <si>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</si>
  <si>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</si>
  <si>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</si>
  <si>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</si>
  <si>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</si>
  <si>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</si>
  <si>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</si>
  <si>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</si>
  <si>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</si>
  <si>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</si>
  <si>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</si>
  <si>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</si>
  <si>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</si>
  <si>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</si>
  <si>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</si>
  <si>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</si>
  <si>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</si>
  <si>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</si>
  <si>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</si>
  <si>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</si>
  <si>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</si>
  <si>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</si>
  <si>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</si>
  <si>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</si>
  <si>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</si>
  <si>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</si>
  <si>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</si>
  <si>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</si>
  <si>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</si>
  <si>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</si>
  <si>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</si>
  <si>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</si>
  <si>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</si>
  <si>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</si>
  <si>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</si>
  <si>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</si>
  <si>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</si>
  <si>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</si>
  <si>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</si>
  <si>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</si>
  <si>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</si>
  <si>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</si>
  <si>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</si>
  <si>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</si>
  <si>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</si>
  <si>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</si>
  <si>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</si>
  <si>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</si>
  <si>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</si>
  <si>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</si>
  <si>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</si>
  <si>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</si>
  <si>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</si>
  <si>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</si>
  <si>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</si>
  <si>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</si>
  <si>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</si>
  <si>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</si>
  <si>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</si>
  <si>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</si>
  <si>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</si>
  <si>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</si>
  <si>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</si>
  <si>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</si>
  <si>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</si>
  <si>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</si>
  <si>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</si>
  <si>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</si>
  <si>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</si>
  <si>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</si>
  <si>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</si>
  <si>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</si>
  <si>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</si>
  <si>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</si>
  <si>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</si>
  <si>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</si>
  <si>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</si>
  <si>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</si>
  <si>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</si>
  <si>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</si>
  <si>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</si>
  <si>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</si>
  <si>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</si>
  <si>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</si>
  <si>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</si>
  <si>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</si>
  <si>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</si>
  <si>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</si>
  <si>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</si>
  <si>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</si>
  <si>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</si>
  <si>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</si>
  <si>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</si>
  <si>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</si>
  <si>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</si>
  <si>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</si>
  <si>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</si>
  <si>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</si>
  <si>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</si>
  <si>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</si>
  <si>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</si>
  <si>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</si>
  <si>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</si>
  <si>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</si>
  <si>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</si>
  <si>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</si>
  <si>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</si>
  <si>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</si>
  <si>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</si>
  <si>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</si>
  <si>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</si>
  <si>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</si>
  <si>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</si>
  <si>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</si>
  <si>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</si>
  <si>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</si>
  <si>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</si>
  <si>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</si>
  <si>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</si>
  <si>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</si>
  <si>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</si>
  <si>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</si>
  <si>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</si>
  <si>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</si>
  <si>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</si>
  <si>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</si>
  <si>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</si>
  <si>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</si>
  <si>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</si>
  <si>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</si>
  <si>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</si>
  <si>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</si>
  <si>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</si>
  <si>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</si>
  <si>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</si>
  <si>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</si>
  <si>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</si>
  <si>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</si>
  <si>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</si>
  <si>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</si>
  <si>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</si>
  <si>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</si>
  <si>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</si>
  <si>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</si>
  <si>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</si>
  <si>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</si>
  <si>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</si>
  <si>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</si>
  <si>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</si>
  <si>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</si>
  <si>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</si>
  <si>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</si>
  <si>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So</t>
  </si>
  <si>
    <t>(Mo)</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</si>
  <si>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</si>
  <si>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</si>
  <si>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</si>
  <si>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</si>
  <si>
    <t>Brückl(9)</t>
  </si>
  <si>
    <t>Brückl(6+2)</t>
  </si>
  <si>
    <t>3 Schritte
längsgeteiltes Feld (verkürzt), 2:2
  Spielformen miteinnader
  3x Match bis 11
2x Aufspielerviereck (2x Auf, 1x MB)
einzeln mit Ball Frosch, Schlag im Stand geg. Mauer, je 3x
Match 2:2 (wie oben)</t>
  </si>
  <si>
    <t>"Hockey"
Winners Score 3:3 Hinterfeld
Winners Score 3:3</t>
  </si>
  <si>
    <t>Brückl(2+2)</t>
  </si>
  <si>
    <t>Miteinander spielen 2:2 - mit Zusatzaufgaben
Leiter
paarweise Einspielen mit 2 Bällen
Spiele mit wechselnden Partner
einzeln Angriff
gehaltene Bälle schlagen nach Anlauf über Matte
Spiel</t>
  </si>
  <si>
    <t>Wandlauf
Winners Score</t>
  </si>
  <si>
    <t>3 Schritte
3 mit 3 mit Nachlaufen
  2 Berührungen
  3 Berührungen
  Spiel im System (Verteidigung Hinterfeld Auf 1, AA 6, MM 5 -&gt; MB läuft auf 1, AA auf 9, eine Gruppe 0er statt 1er)
einzeln Schlagtechnik + UZ ( 3 Gruppen)
   - Frosch, Schlag im Stand geg. Mauer, einspielen mit Nachlaufen
   - Frosch, Schlag im Stand geg. Mauer, Zuwurf übers Netz -&gt; Annahme, 2. Ball schlagen
   - 2 Gruppen Zuwurf, Annahme, 2. Ball schlagen im Dreieck mit durchwechseln, 1x Schlag im Stand geg. Mauer
Einschlagen</t>
  </si>
  <si>
    <t>Wandlauf
2 Gruppen
   am Netz erhöht stehen, Partner wirf Tennisball, Blockspielerin greift übers Netz und fängt Ball
      (3x 10 im Wechsel)
      2x Zuwurf rechts oder links senkrecht nahe am Netz, Blockerin greift über das Netz und fängt mit der gegenüberliegender Hand
      1x beide Bälle gleichzeitig werfen(rechts und links)
      1x die beiden Bälle leicht zeitversetz aufwerfen (selten auch gleichzeitig)
   die übrigen spielen parrweise ein
Winnerscore (4 Gruppen)</t>
  </si>
  <si>
    <t>Mi</t>
  </si>
  <si>
    <t>Di</t>
  </si>
  <si>
    <t>(Sa)</t>
  </si>
  <si>
    <t>Friesach(10)</t>
  </si>
  <si>
    <t>2 mit 2 mit Nachlaufen mit 2 Berührungen (nur UZ), 25 Netzüberquerungen
paarweise einspielen mit 2 Bällen
paarweise einspielen - 1 Ball - Schlag-Verteidigung
Einschlagen
Grundsechs - Annahme-Aufbau, Verteidigung-Aufbau</t>
  </si>
  <si>
    <t>Brückl(12)</t>
  </si>
  <si>
    <t>Brückl(10)</t>
  </si>
  <si>
    <t>Friesach(12)</t>
  </si>
  <si>
    <t>Friesach(10 + 3)</t>
  </si>
  <si>
    <t>Spiel geg. WSL - 1:3
Grant verhindert den Erfolg!</t>
  </si>
  <si>
    <t>Einspielen mit 2 Bällen
Spiel 6:6</t>
  </si>
  <si>
    <t>Einspielen mit 2 Bällen
Spiel 6:6 (Grundsechs)</t>
  </si>
  <si>
    <t>2 mit 2 mit Nachlaufen mit 2 Berührungen
paarweise am Netz, einzeln/paarweise die andere Station
   2x abwechseln Spiel aufs Brett mit Zwischenspiel/Baggen unterm Netz
   gehaltenen Ball abwechseln geg. Mauer schlagen/Baggern unterm Netz
   Schlag im Stand geg. Mauer/Baggern unterm Netz
Einschlagen
Service + Angriff geg. Grundsechs</t>
  </si>
  <si>
    <t>Wolfgang</t>
  </si>
  <si>
    <t>WS</t>
  </si>
  <si>
    <t>Wolfi</t>
  </si>
  <si>
    <t>Schmerlaib</t>
  </si>
  <si>
    <t>K26</t>
  </si>
  <si>
    <t>Einspielen mit 2 Bällen
Block mit 2 (kleinen) Bällen - drübergreifen
Angrifsswirbel L1, L4</t>
  </si>
  <si>
    <t>Brückl(15)</t>
  </si>
  <si>
    <t>Training mit Wolfi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</si>
</sst>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26</xdr:row>
      <xdr:rowOff>180974</xdr:rowOff>
    </xdr:from>
    <xdr:to>
      <xdr:col>0</xdr:col>
      <xdr:colOff>561975</xdr:colOff>
      <xdr:row>27</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49</xdr:row>
      <xdr:rowOff>0</xdr:rowOff>
    </xdr:from>
    <xdr:to>
      <xdr:col>0</xdr:col>
      <xdr:colOff>609600</xdr:colOff>
      <xdr:row>50</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49</xdr:row>
      <xdr:rowOff>9525</xdr:rowOff>
    </xdr:from>
    <xdr:to>
      <xdr:col>1</xdr:col>
      <xdr:colOff>581025</xdr:colOff>
      <xdr:row>50</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57150</xdr:colOff>
      <xdr:row>27</xdr:row>
      <xdr:rowOff>180975</xdr:rowOff>
    </xdr:from>
    <xdr:to>
      <xdr:col>3</xdr:col>
      <xdr:colOff>723900</xdr:colOff>
      <xdr:row>28</xdr:row>
      <xdr:rowOff>180975</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1724025" y="535305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51</xdr:row>
      <xdr:rowOff>0</xdr:rowOff>
    </xdr:from>
    <xdr:to>
      <xdr:col>0</xdr:col>
      <xdr:colOff>739050</xdr:colOff>
      <xdr:row>52</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29</xdr:row>
      <xdr:rowOff>9525</xdr:rowOff>
    </xdr:from>
    <xdr:to>
      <xdr:col>2</xdr:col>
      <xdr:colOff>19050</xdr:colOff>
      <xdr:row>30</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30</xdr:row>
      <xdr:rowOff>0</xdr:rowOff>
    </xdr:from>
    <xdr:to>
      <xdr:col>1</xdr:col>
      <xdr:colOff>542925</xdr:colOff>
      <xdr:row>30</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30</xdr:row>
      <xdr:rowOff>180975</xdr:rowOff>
    </xdr:from>
    <xdr:to>
      <xdr:col>2</xdr:col>
      <xdr:colOff>0</xdr:colOff>
      <xdr:row>31</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32</xdr:row>
      <xdr:rowOff>0</xdr:rowOff>
    </xdr:from>
    <xdr:to>
      <xdr:col>2</xdr:col>
      <xdr:colOff>0</xdr:colOff>
      <xdr:row>32</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50</xdr:row>
      <xdr:rowOff>19050</xdr:rowOff>
    </xdr:from>
    <xdr:to>
      <xdr:col>11</xdr:col>
      <xdr:colOff>142875</xdr:colOff>
      <xdr:row>51</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BZ3" activePane="bottomRight" state="frozen"/>
      <selection pane="topRight" activeCell="M1" sqref="M1"/>
      <selection pane="bottomLeft" activeCell="A3" sqref="A3"/>
      <selection pane="bottomRight" activeCell="CH4" sqref="CH4"/>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805</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885</v>
      </c>
      <c r="BQ2" s="131"/>
      <c r="BR2" s="131" t="s">
        <v>38</v>
      </c>
      <c r="BS2" s="131"/>
      <c r="BT2" s="131" t="s">
        <v>38</v>
      </c>
      <c r="BU2" s="131" t="s">
        <v>38</v>
      </c>
      <c r="BV2" s="131"/>
      <c r="BW2" s="164"/>
      <c r="BX2" s="131"/>
      <c r="BY2" s="131" t="s">
        <v>38</v>
      </c>
      <c r="BZ2" s="131" t="s">
        <v>38</v>
      </c>
      <c r="CA2" s="131" t="s">
        <v>38</v>
      </c>
      <c r="CB2" s="131" t="s">
        <v>885</v>
      </c>
      <c r="CC2" s="131"/>
      <c r="CD2" s="164"/>
      <c r="CE2" s="131"/>
      <c r="CF2" s="131"/>
      <c r="CG2" s="131"/>
      <c r="CH2" s="131"/>
      <c r="CI2" s="131" t="s">
        <v>38</v>
      </c>
      <c r="CJ2" s="131"/>
      <c r="CK2" s="164"/>
      <c r="CL2" s="131"/>
      <c r="CM2" s="131" t="s">
        <v>38</v>
      </c>
      <c r="CN2" s="131"/>
      <c r="CO2" s="131" t="s">
        <v>38</v>
      </c>
      <c r="CP2" s="131" t="s">
        <v>38</v>
      </c>
      <c r="CQ2" s="131"/>
      <c r="CR2" s="164"/>
      <c r="CS2" s="131"/>
      <c r="CT2" s="131" t="s">
        <v>38</v>
      </c>
      <c r="CU2" s="131"/>
      <c r="CV2" s="131" t="s">
        <v>38</v>
      </c>
      <c r="CW2" s="131" t="s">
        <v>38</v>
      </c>
      <c r="CX2" s="131"/>
      <c r="CY2" s="164"/>
      <c r="CZ2" s="131"/>
      <c r="DA2" s="131" t="s">
        <v>38</v>
      </c>
      <c r="DB2" s="131"/>
      <c r="DC2" s="131" t="s">
        <v>38</v>
      </c>
      <c r="DD2" s="131" t="s">
        <v>38</v>
      </c>
      <c r="DE2" s="131"/>
      <c r="DF2" s="164"/>
      <c r="DG2" s="131"/>
      <c r="DH2" s="131" t="s">
        <v>38</v>
      </c>
      <c r="DI2" s="131"/>
      <c r="DJ2" s="131" t="s">
        <v>38</v>
      </c>
      <c r="DK2" s="131" t="s">
        <v>38</v>
      </c>
      <c r="DL2" s="131"/>
      <c r="DM2" s="164"/>
      <c r="DN2" s="131"/>
      <c r="DO2" s="131" t="s">
        <v>38</v>
      </c>
      <c r="DP2" s="131"/>
      <c r="DQ2" s="131" t="s">
        <v>38</v>
      </c>
      <c r="DR2" s="131" t="s">
        <v>38</v>
      </c>
      <c r="DS2" s="131"/>
      <c r="DT2" s="164"/>
      <c r="DU2" s="131"/>
      <c r="DV2" s="131" t="s">
        <v>38</v>
      </c>
      <c r="DW2" s="131"/>
      <c r="DX2" s="131" t="s">
        <v>38</v>
      </c>
      <c r="DY2" s="131" t="s">
        <v>38</v>
      </c>
      <c r="DZ2" s="131"/>
      <c r="EA2" s="164"/>
      <c r="EB2" s="131"/>
      <c r="EC2" s="131" t="s">
        <v>38</v>
      </c>
      <c r="ED2" s="131"/>
      <c r="EE2" s="131" t="s">
        <v>38</v>
      </c>
      <c r="EF2" s="131" t="s">
        <v>38</v>
      </c>
      <c r="EG2" s="131"/>
      <c r="EH2" s="164"/>
      <c r="EI2" s="131"/>
      <c r="EJ2" s="131" t="s">
        <v>38</v>
      </c>
      <c r="EK2" s="131"/>
      <c r="EL2" s="131" t="s">
        <v>38</v>
      </c>
      <c r="EM2" s="131" t="s">
        <v>38</v>
      </c>
      <c r="EN2" s="131"/>
      <c r="EO2" s="164"/>
      <c r="EP2" s="131"/>
      <c r="EQ2" s="131" t="s">
        <v>38</v>
      </c>
      <c r="ER2" s="131"/>
      <c r="ES2" s="131" t="s">
        <v>38</v>
      </c>
      <c r="ET2" s="131" t="s">
        <v>38</v>
      </c>
      <c r="EU2" s="131"/>
      <c r="EV2" s="164"/>
      <c r="EW2" s="131"/>
      <c r="EX2" s="131" t="s">
        <v>38</v>
      </c>
      <c r="EY2" s="131"/>
      <c r="EZ2" s="131" t="s">
        <v>38</v>
      </c>
      <c r="FA2" s="131" t="s">
        <v>38</v>
      </c>
      <c r="FB2" s="131"/>
      <c r="FC2" s="164"/>
      <c r="FD2" s="131"/>
      <c r="FE2" s="131" t="s">
        <v>38</v>
      </c>
      <c r="FF2" s="131"/>
      <c r="FG2" s="131" t="s">
        <v>38</v>
      </c>
      <c r="FH2" s="131" t="s">
        <v>38</v>
      </c>
      <c r="FI2" s="131"/>
      <c r="FJ2" s="164"/>
      <c r="FK2" s="131"/>
      <c r="FL2" s="131" t="s">
        <v>38</v>
      </c>
      <c r="FM2" s="131"/>
      <c r="FN2" s="131" t="s">
        <v>38</v>
      </c>
      <c r="FO2" s="131" t="s">
        <v>38</v>
      </c>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913</v>
      </c>
      <c r="H3" s="206">
        <v>40073</v>
      </c>
      <c r="I3" s="176" t="str">
        <f t="shared" ref="I3:I17" si="4">C3</f>
        <v>MD</v>
      </c>
      <c r="J3" s="198" t="s">
        <v>848</v>
      </c>
      <c r="K3" s="36">
        <f t="shared" ref="K3:K16" si="5">SUM(M3:HP3)</f>
        <v>27</v>
      </c>
      <c r="L3" s="191">
        <f t="shared" ref="L3:L16" si="6">K3/(K$20 - COUNTIF(M3:HP3, "x")) * 100</f>
        <v>90</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v>1</v>
      </c>
      <c r="BU3" s="34"/>
      <c r="BV3" s="34"/>
      <c r="BW3" s="7"/>
      <c r="BX3" s="34"/>
      <c r="BY3" s="34">
        <v>1</v>
      </c>
      <c r="BZ3" s="34">
        <v>1</v>
      </c>
      <c r="CA3" s="34">
        <v>1</v>
      </c>
      <c r="CB3" s="148">
        <v>1</v>
      </c>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841</v>
      </c>
      <c r="B4" s="19"/>
      <c r="C4" s="19" t="s">
        <v>895</v>
      </c>
      <c r="D4" s="19" t="s">
        <v>896</v>
      </c>
      <c r="E4" s="19" t="str">
        <f>A4 &amp; " " &amp; D4</f>
        <v>Elena  Grassl</v>
      </c>
      <c r="F4" s="19"/>
      <c r="G4" s="210" t="s">
        <v>897</v>
      </c>
      <c r="H4" s="56">
        <v>39508</v>
      </c>
      <c r="I4" s="176" t="s">
        <v>895</v>
      </c>
      <c r="J4" s="199" t="s">
        <v>758</v>
      </c>
      <c r="K4" s="19">
        <f t="shared" ref="K4" si="7">SUM(M4:HP4)</f>
        <v>4</v>
      </c>
      <c r="L4" s="192">
        <f t="shared" si="6"/>
        <v>13.333333333333334</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v>1</v>
      </c>
      <c r="BU4" s="34"/>
      <c r="BV4" s="34"/>
      <c r="BW4" s="7"/>
      <c r="BX4" s="34"/>
      <c r="BY4" s="34"/>
      <c r="BZ4" s="34"/>
      <c r="CA4" s="34"/>
      <c r="CB4" s="34">
        <v>1</v>
      </c>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910</v>
      </c>
      <c r="H5" s="56">
        <v>39474</v>
      </c>
      <c r="I5" s="176" t="str">
        <f t="shared" si="4"/>
        <v>LG</v>
      </c>
      <c r="J5" s="199" t="s">
        <v>825</v>
      </c>
      <c r="K5" s="19">
        <f t="shared" si="5"/>
        <v>27</v>
      </c>
      <c r="L5" s="192">
        <f t="shared" si="6"/>
        <v>90</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148">
        <v>1</v>
      </c>
      <c r="BU5" s="148">
        <v>1</v>
      </c>
      <c r="BV5" s="34"/>
      <c r="BW5" s="7"/>
      <c r="BX5" s="34"/>
      <c r="BY5" s="34">
        <v>1</v>
      </c>
      <c r="BZ5" s="34">
        <v>1</v>
      </c>
      <c r="CA5" s="34">
        <v>1</v>
      </c>
      <c r="CB5" s="34">
        <v>1</v>
      </c>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899</v>
      </c>
      <c r="H6" s="56">
        <v>39425</v>
      </c>
      <c r="I6" s="176" t="str">
        <f t="shared" si="4"/>
        <v>JG</v>
      </c>
      <c r="J6" s="199" t="s">
        <v>758</v>
      </c>
      <c r="K6" s="19">
        <f t="shared" si="5"/>
        <v>18</v>
      </c>
      <c r="L6" s="192">
        <f t="shared" si="6"/>
        <v>60</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v>1</v>
      </c>
      <c r="BU6" s="34"/>
      <c r="BV6" s="34"/>
      <c r="BW6" s="7"/>
      <c r="BX6" s="34"/>
      <c r="BY6" s="34"/>
      <c r="BZ6" s="34">
        <v>1</v>
      </c>
      <c r="CA6" s="34">
        <v>1</v>
      </c>
      <c r="CB6" s="148">
        <v>1</v>
      </c>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912</v>
      </c>
      <c r="H7" s="56">
        <v>38954</v>
      </c>
      <c r="I7" s="176" t="str">
        <f t="shared" si="4"/>
        <v>YM</v>
      </c>
      <c r="J7" s="199" t="s">
        <v>945</v>
      </c>
      <c r="K7" s="19">
        <f t="shared" ref="K7" si="9">SUM(M7:HP7)</f>
        <v>17</v>
      </c>
      <c r="L7" s="192">
        <f t="shared" si="6"/>
        <v>80.952380952380949</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v>1</v>
      </c>
      <c r="BZ7" s="148">
        <v>1</v>
      </c>
      <c r="CA7" s="148">
        <v>1</v>
      </c>
      <c r="CB7" s="148">
        <v>1</v>
      </c>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900</v>
      </c>
      <c r="E8" s="19" t="str">
        <f t="shared" si="8"/>
        <v>Julia Nußbaumer</v>
      </c>
      <c r="F8" s="19"/>
      <c r="G8" s="182" t="s">
        <v>901</v>
      </c>
      <c r="H8" s="56">
        <v>39507</v>
      </c>
      <c r="I8" s="176" t="str">
        <f t="shared" si="4"/>
        <v>JN</v>
      </c>
      <c r="J8" s="199" t="s">
        <v>946</v>
      </c>
      <c r="K8" s="19">
        <f t="shared" si="5"/>
        <v>17</v>
      </c>
      <c r="L8" s="192">
        <f t="shared" si="6"/>
        <v>56.666666666666664</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148">
        <v>1</v>
      </c>
      <c r="BZ8" s="148">
        <v>1</v>
      </c>
      <c r="CA8" s="148">
        <v>1</v>
      </c>
      <c r="CB8" s="148">
        <v>1</v>
      </c>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902</v>
      </c>
      <c r="B9" s="19" t="s">
        <v>903</v>
      </c>
      <c r="C9" s="19" t="s">
        <v>904</v>
      </c>
      <c r="D9" s="8" t="s">
        <v>905</v>
      </c>
      <c r="E9" s="19" t="str">
        <f t="shared" si="8"/>
        <v>Franziska Pfandl</v>
      </c>
      <c r="F9" s="19"/>
      <c r="G9" s="182" t="s">
        <v>911</v>
      </c>
      <c r="H9" s="56">
        <v>39534</v>
      </c>
      <c r="I9" s="176" t="str">
        <f t="shared" si="4"/>
        <v>FP</v>
      </c>
      <c r="J9" s="199" t="s">
        <v>787</v>
      </c>
      <c r="K9" s="19">
        <f t="shared" ref="K9" si="10">SUM(M9:HP9)</f>
        <v>4</v>
      </c>
      <c r="L9" s="192">
        <f t="shared" si="6"/>
        <v>13.333333333333334</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v>1</v>
      </c>
      <c r="BV9" s="34"/>
      <c r="BW9" s="7"/>
      <c r="BX9" s="34"/>
      <c r="BY9" s="34"/>
      <c r="BZ9" s="34"/>
      <c r="CA9" s="34"/>
      <c r="CB9" s="148">
        <v>1</v>
      </c>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914</v>
      </c>
      <c r="H10" s="56">
        <v>39155</v>
      </c>
      <c r="I10" s="176" t="str">
        <f t="shared" si="4"/>
        <v>SP</v>
      </c>
      <c r="J10" s="199" t="s">
        <v>848</v>
      </c>
      <c r="K10" s="19">
        <f t="shared" ref="K10" si="11">SUM(M10:HP10)</f>
        <v>16</v>
      </c>
      <c r="L10" s="192">
        <f t="shared" si="6"/>
        <v>72.727272727272734</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148">
        <v>1</v>
      </c>
      <c r="BZ10" s="148">
        <v>1</v>
      </c>
      <c r="CA10" s="148">
        <v>1</v>
      </c>
      <c r="CB10" s="148">
        <v>1</v>
      </c>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915</v>
      </c>
      <c r="H11" s="56">
        <v>38979</v>
      </c>
      <c r="I11" s="176" t="str">
        <f t="shared" si="4"/>
        <v>VR</v>
      </c>
      <c r="J11" s="199" t="s">
        <v>946</v>
      </c>
      <c r="K11" s="19">
        <f t="shared" si="5"/>
        <v>28</v>
      </c>
      <c r="L11" s="192">
        <f t="shared" si="6"/>
        <v>93.333333333333329</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148">
        <v>1</v>
      </c>
      <c r="BU11" s="34"/>
      <c r="BV11" s="34"/>
      <c r="BW11" s="7"/>
      <c r="BX11" s="34"/>
      <c r="BY11" s="148">
        <v>1</v>
      </c>
      <c r="BZ11" s="148">
        <v>1</v>
      </c>
      <c r="CA11" s="148">
        <v>1</v>
      </c>
      <c r="CB11" s="148">
        <v>1</v>
      </c>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898</v>
      </c>
      <c r="H12" s="56">
        <v>39475</v>
      </c>
      <c r="I12" s="176" t="str">
        <f t="shared" si="4"/>
        <v>AS</v>
      </c>
      <c r="J12" s="199" t="s">
        <v>825</v>
      </c>
      <c r="K12" s="19">
        <f t="shared" si="5"/>
        <v>27</v>
      </c>
      <c r="L12" s="192">
        <f t="shared" si="6"/>
        <v>90</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148">
        <v>1</v>
      </c>
      <c r="BU12" s="148">
        <v>1</v>
      </c>
      <c r="BV12" s="34"/>
      <c r="BW12" s="7"/>
      <c r="BX12" s="34"/>
      <c r="BY12" s="148">
        <v>1</v>
      </c>
      <c r="BZ12" s="148">
        <v>1</v>
      </c>
      <c r="CA12" s="148">
        <v>1</v>
      </c>
      <c r="CB12" s="148">
        <v>1</v>
      </c>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841</v>
      </c>
      <c r="B13" s="19"/>
      <c r="C13" s="19" t="s">
        <v>429</v>
      </c>
      <c r="D13" s="8" t="s">
        <v>600</v>
      </c>
      <c r="E13" s="19" t="str">
        <f t="shared" si="8"/>
        <v>Elena  Schmid</v>
      </c>
      <c r="F13" s="19"/>
      <c r="G13" s="182" t="s">
        <v>916</v>
      </c>
      <c r="H13" s="56">
        <v>40003</v>
      </c>
      <c r="I13" s="176" t="str">
        <f t="shared" si="4"/>
        <v>ES</v>
      </c>
      <c r="J13" s="199" t="s">
        <v>806</v>
      </c>
      <c r="K13" s="19">
        <f t="shared" ref="K13" si="12">SUM(M13:HP13)</f>
        <v>26</v>
      </c>
      <c r="L13" s="192">
        <f t="shared" si="6"/>
        <v>86.666666666666671</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148">
        <v>1</v>
      </c>
      <c r="BU13" s="34"/>
      <c r="BV13" s="34"/>
      <c r="BW13" s="7"/>
      <c r="BX13" s="34"/>
      <c r="BY13" s="148">
        <v>1</v>
      </c>
      <c r="BZ13" s="148">
        <v>1</v>
      </c>
      <c r="CA13" s="148">
        <v>1</v>
      </c>
      <c r="CB13" s="148">
        <v>1</v>
      </c>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917</v>
      </c>
      <c r="H14" s="56">
        <v>39280</v>
      </c>
      <c r="I14" s="176" t="str">
        <f t="shared" si="4"/>
        <v>YV</v>
      </c>
      <c r="J14" s="199" t="s">
        <v>930</v>
      </c>
      <c r="K14" s="19">
        <f t="shared" ref="K14" si="13">SUM(M14:HP14)</f>
        <v>15</v>
      </c>
      <c r="L14" s="192">
        <f t="shared" si="6"/>
        <v>68.181818181818173</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148">
        <v>1</v>
      </c>
      <c r="BZ14" s="148">
        <v>1</v>
      </c>
      <c r="CA14" s="148">
        <v>1</v>
      </c>
      <c r="CB14" s="148">
        <v>1</v>
      </c>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906</v>
      </c>
      <c r="B15" s="88"/>
      <c r="C15" s="88" t="s">
        <v>907</v>
      </c>
      <c r="D15" s="88" t="s">
        <v>908</v>
      </c>
      <c r="E15" s="88" t="str">
        <f t="shared" si="8"/>
        <v>Lara Weitensfelder</v>
      </c>
      <c r="F15" s="88"/>
      <c r="G15" s="183" t="s">
        <v>909</v>
      </c>
      <c r="H15" s="162">
        <v>39592</v>
      </c>
      <c r="I15" s="89" t="str">
        <f t="shared" si="4"/>
        <v>LW</v>
      </c>
      <c r="J15" s="200" t="s">
        <v>931</v>
      </c>
      <c r="K15" s="200">
        <f t="shared" si="5"/>
        <v>5</v>
      </c>
      <c r="L15" s="193">
        <f t="shared" si="6"/>
        <v>16.666666666666664</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v>1</v>
      </c>
      <c r="BU15" s="93">
        <v>1</v>
      </c>
      <c r="BV15" s="93"/>
      <c r="BW15" s="92"/>
      <c r="BX15" s="93"/>
      <c r="BY15" s="93"/>
      <c r="BZ15" s="93"/>
      <c r="CA15" s="93"/>
      <c r="CB15" s="93">
        <v>1</v>
      </c>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848</v>
      </c>
      <c r="K16" s="198">
        <f t="shared" si="5"/>
        <v>30</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148">
        <v>1</v>
      </c>
      <c r="BU16" s="148">
        <v>1</v>
      </c>
      <c r="BV16" s="34"/>
      <c r="BW16" s="7"/>
      <c r="BX16" s="34"/>
      <c r="BY16" s="148">
        <v>1</v>
      </c>
      <c r="BZ16" s="148">
        <v>1</v>
      </c>
      <c r="CA16" s="148">
        <v>1</v>
      </c>
      <c r="CB16" s="148">
        <v>1</v>
      </c>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919</v>
      </c>
      <c r="B17" s="19" t="s">
        <v>918</v>
      </c>
      <c r="C17" s="19" t="s">
        <v>920</v>
      </c>
      <c r="D17" s="19" t="s">
        <v>922</v>
      </c>
      <c r="E17" s="19" t="str">
        <f t="shared" si="8"/>
        <v>Richard Supnig</v>
      </c>
      <c r="F17" s="19" t="s">
        <v>923</v>
      </c>
      <c r="G17" s="182" t="s">
        <v>921</v>
      </c>
      <c r="H17" s="56"/>
      <c r="I17" s="211" t="str">
        <f t="shared" si="4"/>
        <v>RS</v>
      </c>
      <c r="J17" s="10" t="s">
        <v>947</v>
      </c>
      <c r="K17" s="199">
        <f>SUM(M17:HP17)</f>
        <v>2</v>
      </c>
      <c r="L17" s="84">
        <f>K17/(K$20 - COUNTIF(M17:HP17, "x")) * 100</f>
        <v>6.666666666666667</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148">
        <v>1</v>
      </c>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21</v>
      </c>
      <c r="L18" s="187">
        <f t="shared" ref="L18:L19" si="14">K18/K$20 * 100</f>
        <v>70</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f t="shared" si="15"/>
        <v>7</v>
      </c>
      <c r="BS18" s="150" t="str">
        <f t="shared" si="15"/>
        <v/>
      </c>
      <c r="BT18" s="150">
        <f t="shared" si="15"/>
        <v>8</v>
      </c>
      <c r="BU18" s="150">
        <f t="shared" si="15"/>
        <v>4</v>
      </c>
      <c r="BV18" s="150" t="str">
        <f t="shared" si="15"/>
        <v/>
      </c>
      <c r="BW18" s="166" t="str">
        <f t="shared" si="15"/>
        <v/>
      </c>
      <c r="BX18" s="186" t="str">
        <f t="shared" si="15"/>
        <v/>
      </c>
      <c r="BY18" s="150">
        <f t="shared" ref="BY18:EJ18" si="16">IF(SUM(BY3:BY15) &gt; 0, SUM(BY3:BY15), "")</f>
        <v>9</v>
      </c>
      <c r="BZ18" s="150">
        <f t="shared" si="16"/>
        <v>10</v>
      </c>
      <c r="CA18" s="150">
        <f t="shared" si="16"/>
        <v>10</v>
      </c>
      <c r="CB18" s="150">
        <f t="shared" si="16"/>
        <v>13</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20.23076923076923</v>
      </c>
      <c r="L19" s="212">
        <f t="shared" si="14"/>
        <v>67.435897435897431</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f t="shared" si="19"/>
        <v>8</v>
      </c>
      <c r="BS19" s="160" t="str">
        <f t="shared" si="19"/>
        <v/>
      </c>
      <c r="BT19" s="160">
        <f t="shared" si="19"/>
        <v>9</v>
      </c>
      <c r="BU19" s="160">
        <f t="shared" si="19"/>
        <v>5</v>
      </c>
      <c r="BV19" s="160" t="str">
        <f t="shared" si="19"/>
        <v/>
      </c>
      <c r="BW19" s="167" t="str">
        <f t="shared" si="19"/>
        <v/>
      </c>
      <c r="BX19" s="160" t="str">
        <f t="shared" si="19"/>
        <v/>
      </c>
      <c r="BY19" s="160">
        <f t="shared" si="19"/>
        <v>10</v>
      </c>
      <c r="BZ19" s="160">
        <f t="shared" ref="BZ19:EK19" si="20">IF(SUM(BZ3:BZ17) &gt; 0, SUM(BZ3:BZ17), "")</f>
        <v>11</v>
      </c>
      <c r="CA19" s="160">
        <f t="shared" si="20"/>
        <v>11</v>
      </c>
      <c r="CB19" s="160">
        <f t="shared" si="20"/>
        <v>15</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30</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v>1</v>
      </c>
      <c r="BS20" s="168"/>
      <c r="BT20" s="168">
        <v>1</v>
      </c>
      <c r="BU20" s="168">
        <v>1</v>
      </c>
      <c r="BV20" s="168"/>
      <c r="BW20" s="213"/>
      <c r="BX20" s="168"/>
      <c r="BY20" s="168">
        <v>1</v>
      </c>
      <c r="BZ20" s="168">
        <v>1</v>
      </c>
      <c r="CA20" s="168">
        <v>1</v>
      </c>
      <c r="CB20" s="168">
        <v>1</v>
      </c>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826</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hidden="1" x14ac:dyDescent="0.25">
      <c r="A34" t="s">
        <v>667</v>
      </c>
      <c r="B34">
        <v>1</v>
      </c>
      <c r="D34">
        <f>B34</f>
        <v>1</v>
      </c>
      <c r="H34">
        <f>D34</f>
        <v>1</v>
      </c>
      <c r="I34" s="142" t="s">
        <v>680</v>
      </c>
      <c r="J34">
        <f>H34</f>
        <v>1</v>
      </c>
      <c r="K34">
        <f t="shared" ref="K34:L38" si="24">J34</f>
        <v>1</v>
      </c>
      <c r="L34">
        <f t="shared" si="24"/>
        <v>1</v>
      </c>
    </row>
    <row r="35" spans="1:12" hidden="1" x14ac:dyDescent="0.25">
      <c r="A35" t="s">
        <v>668</v>
      </c>
      <c r="B35">
        <v>2</v>
      </c>
      <c r="D35">
        <f>B35</f>
        <v>2</v>
      </c>
      <c r="H35">
        <f>D35</f>
        <v>2</v>
      </c>
      <c r="I35" s="142" t="s">
        <v>680</v>
      </c>
      <c r="J35">
        <f>H35</f>
        <v>2</v>
      </c>
      <c r="K35">
        <f t="shared" si="24"/>
        <v>2</v>
      </c>
      <c r="L35">
        <f t="shared" si="24"/>
        <v>2</v>
      </c>
    </row>
    <row r="36" spans="1:12" hidden="1" x14ac:dyDescent="0.25">
      <c r="A36" t="s">
        <v>200</v>
      </c>
      <c r="B36">
        <v>3</v>
      </c>
      <c r="D36">
        <f>B36</f>
        <v>3</v>
      </c>
      <c r="H36">
        <f>D36</f>
        <v>3</v>
      </c>
      <c r="I36" s="142" t="s">
        <v>680</v>
      </c>
      <c r="J36">
        <f>H36</f>
        <v>3</v>
      </c>
      <c r="K36">
        <f t="shared" si="24"/>
        <v>3</v>
      </c>
      <c r="L36">
        <f t="shared" si="24"/>
        <v>3</v>
      </c>
    </row>
    <row r="37" spans="1:12" hidden="1" x14ac:dyDescent="0.25">
      <c r="A37" t="s">
        <v>201</v>
      </c>
      <c r="B37">
        <v>17</v>
      </c>
      <c r="D37">
        <f>B37</f>
        <v>17</v>
      </c>
      <c r="H37">
        <f>D37</f>
        <v>17</v>
      </c>
      <c r="I37" s="142" t="s">
        <v>680</v>
      </c>
      <c r="J37">
        <f>H37</f>
        <v>17</v>
      </c>
      <c r="K37">
        <f t="shared" si="24"/>
        <v>17</v>
      </c>
      <c r="L37">
        <f t="shared" si="24"/>
        <v>17</v>
      </c>
    </row>
    <row r="38" spans="1:12" hidden="1" x14ac:dyDescent="0.25">
      <c r="A38" t="s">
        <v>717</v>
      </c>
      <c r="B38" t="s">
        <v>671</v>
      </c>
      <c r="D38" t="str">
        <f>B38</f>
        <v>I</v>
      </c>
      <c r="H38" t="str">
        <f>D38</f>
        <v>I</v>
      </c>
      <c r="I38" s="142" t="s">
        <v>680</v>
      </c>
      <c r="J38" t="str">
        <f>H38</f>
        <v>I</v>
      </c>
      <c r="K38" t="str">
        <f t="shared" si="24"/>
        <v>I</v>
      </c>
      <c r="L38" t="str">
        <f t="shared" si="24"/>
        <v>I</v>
      </c>
    </row>
    <row r="39" spans="1:12" hidden="1" x14ac:dyDescent="0.25">
      <c r="A39" t="s">
        <v>205</v>
      </c>
      <c r="B39" t="s">
        <v>625</v>
      </c>
      <c r="D39" t="s">
        <v>625</v>
      </c>
      <c r="H39" t="s">
        <v>871</v>
      </c>
      <c r="I39" s="142" t="s">
        <v>680</v>
      </c>
      <c r="J39" t="s">
        <v>868</v>
      </c>
      <c r="K39" s="44" t="s">
        <v>872</v>
      </c>
      <c r="L39" t="s">
        <v>873</v>
      </c>
    </row>
    <row r="40" spans="1:12" hidden="1"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hidden="1" x14ac:dyDescent="0.25">
      <c r="A41" t="s">
        <v>733</v>
      </c>
      <c r="B41" t="s">
        <v>404</v>
      </c>
      <c r="E41">
        <f t="shared" si="25"/>
        <v>0</v>
      </c>
      <c r="F41">
        <f t="shared" si="25"/>
        <v>0</v>
      </c>
      <c r="G41">
        <f t="shared" si="25"/>
        <v>0</v>
      </c>
      <c r="I41">
        <f t="shared" si="25"/>
        <v>0</v>
      </c>
      <c r="J41"/>
      <c r="K41"/>
      <c r="L41"/>
    </row>
    <row r="42" spans="1:12" hidden="1" x14ac:dyDescent="0.25">
      <c r="A42" t="s">
        <v>734</v>
      </c>
      <c r="B42" t="s">
        <v>52</v>
      </c>
      <c r="E42">
        <f t="shared" si="25"/>
        <v>0</v>
      </c>
      <c r="F42">
        <f t="shared" si="25"/>
        <v>0</v>
      </c>
      <c r="G42">
        <f t="shared" si="25"/>
        <v>0</v>
      </c>
      <c r="I42">
        <f t="shared" si="25"/>
        <v>0</v>
      </c>
      <c r="J42"/>
      <c r="K42"/>
      <c r="L42"/>
    </row>
    <row r="43" spans="1:12" hidden="1" x14ac:dyDescent="0.25">
      <c r="A43" t="s">
        <v>206</v>
      </c>
      <c r="B43" t="str">
        <f>FindEnd(M20:IU20)</f>
        <v>CD</v>
      </c>
      <c r="D43" t="s">
        <v>874</v>
      </c>
      <c r="H43" t="s">
        <v>875</v>
      </c>
      <c r="I43" s="142" t="s">
        <v>680</v>
      </c>
      <c r="J43" t="s">
        <v>876</v>
      </c>
      <c r="K43" s="44" t="s">
        <v>877</v>
      </c>
      <c r="L43" t="s">
        <v>878</v>
      </c>
    </row>
    <row r="44" spans="1:12" hidden="1" x14ac:dyDescent="0.25">
      <c r="A44" t="s">
        <v>681</v>
      </c>
      <c r="B44">
        <v>18</v>
      </c>
      <c r="D44">
        <f>B44</f>
        <v>18</v>
      </c>
      <c r="H44">
        <f>D44</f>
        <v>18</v>
      </c>
      <c r="I44" s="142" t="s">
        <v>680</v>
      </c>
      <c r="J44">
        <f>H44</f>
        <v>18</v>
      </c>
      <c r="K44">
        <f t="shared" ref="K44:L48" si="26">J44</f>
        <v>18</v>
      </c>
      <c r="L44">
        <f t="shared" si="26"/>
        <v>18</v>
      </c>
    </row>
    <row r="45" spans="1:12" hidden="1" x14ac:dyDescent="0.25">
      <c r="A45" t="s">
        <v>682</v>
      </c>
      <c r="B45">
        <v>19</v>
      </c>
      <c r="D45">
        <f>B45</f>
        <v>19</v>
      </c>
      <c r="H45">
        <f>D45</f>
        <v>19</v>
      </c>
      <c r="I45" s="142" t="s">
        <v>680</v>
      </c>
      <c r="J45">
        <f>H45</f>
        <v>19</v>
      </c>
      <c r="K45">
        <f t="shared" si="26"/>
        <v>19</v>
      </c>
      <c r="L45">
        <f t="shared" si="26"/>
        <v>19</v>
      </c>
    </row>
    <row r="46" spans="1:12" hidden="1" x14ac:dyDescent="0.25">
      <c r="A46" t="s">
        <v>669</v>
      </c>
      <c r="B46" t="s">
        <v>924</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hidden="1" x14ac:dyDescent="0.25">
      <c r="A47" t="s">
        <v>658</v>
      </c>
      <c r="D47">
        <v>22</v>
      </c>
      <c r="H47">
        <f>D47</f>
        <v>22</v>
      </c>
      <c r="I47" s="142" t="s">
        <v>680</v>
      </c>
      <c r="J47">
        <f>H47</f>
        <v>22</v>
      </c>
      <c r="K47">
        <f t="shared" si="26"/>
        <v>22</v>
      </c>
      <c r="L47">
        <f t="shared" si="26"/>
        <v>22</v>
      </c>
    </row>
    <row r="48" spans="1:12" hidden="1" x14ac:dyDescent="0.25">
      <c r="A48" t="s">
        <v>659</v>
      </c>
      <c r="D48">
        <v>24</v>
      </c>
      <c r="H48">
        <f>D48</f>
        <v>24</v>
      </c>
      <c r="I48" s="142" t="s">
        <v>680</v>
      </c>
      <c r="J48">
        <f>H48</f>
        <v>24</v>
      </c>
      <c r="K48">
        <f t="shared" si="26"/>
        <v>24</v>
      </c>
      <c r="L48">
        <f t="shared" si="26"/>
        <v>24</v>
      </c>
    </row>
    <row r="50" spans="1:2" x14ac:dyDescent="0.25">
      <c r="A50" t="s">
        <v>722</v>
      </c>
      <c r="B50" s="142" t="s">
        <v>866</v>
      </c>
    </row>
    <row r="51" spans="1:2" x14ac:dyDescent="0.25">
      <c r="A51" t="s">
        <v>673</v>
      </c>
      <c r="B51" s="142" t="s">
        <v>867</v>
      </c>
    </row>
    <row r="52" spans="1:2" x14ac:dyDescent="0.25">
      <c r="A52" t="s">
        <v>674</v>
      </c>
      <c r="B52" s="142" t="s">
        <v>869</v>
      </c>
    </row>
    <row r="53" spans="1:2" x14ac:dyDescent="0.25">
      <c r="A53" t="s">
        <v>675</v>
      </c>
      <c r="B53" s="142" t="s">
        <v>870</v>
      </c>
    </row>
    <row r="54" spans="1:2" x14ac:dyDescent="0.25">
      <c r="A54" t="s">
        <v>676</v>
      </c>
      <c r="B54" s="142" t="s">
        <v>879</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BO18:BP18 BL18:BN18 BF18:BK18 AY18:BD18 AV18:AX18 BE18 BQ18:CB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7"/>
  <sheetViews>
    <sheetView tabSelected="1" workbookViewId="0">
      <pane xSplit="12" topLeftCell="CP1" activePane="topRight" state="frozen"/>
      <selection pane="topRight" activeCell="D50" sqref="D50"/>
    </sheetView>
  </sheetViews>
  <sheetFormatPr defaultColWidth="11.42578125" defaultRowHeight="15" x14ac:dyDescent="0.25"/>
  <cols>
    <col min="2" max="2" width="9" customWidth="1"/>
    <col min="3" max="3" width="4.5703125" customWidth="1"/>
    <col min="4" max="4" width="15"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t="s">
        <v>38</v>
      </c>
      <c r="DY2" s="131" t="s">
        <v>38</v>
      </c>
      <c r="DZ2" s="131"/>
      <c r="EA2" s="131" t="s">
        <v>38</v>
      </c>
      <c r="EB2" s="131" t="s">
        <v>38</v>
      </c>
      <c r="EC2" s="131"/>
      <c r="ED2" s="164"/>
      <c r="EE2" s="131" t="s">
        <v>38</v>
      </c>
      <c r="EF2" s="131" t="s">
        <v>38</v>
      </c>
      <c r="EG2" s="131"/>
      <c r="EH2" s="131" t="s">
        <v>38</v>
      </c>
      <c r="EI2" s="131" t="s">
        <v>38</v>
      </c>
      <c r="EJ2" s="131"/>
      <c r="EK2" s="164"/>
      <c r="EL2" s="131" t="s">
        <v>38</v>
      </c>
      <c r="EM2" s="131" t="s">
        <v>38</v>
      </c>
      <c r="EN2" s="131"/>
      <c r="EO2" s="131" t="s">
        <v>38</v>
      </c>
      <c r="EP2" s="131" t="s">
        <v>38</v>
      </c>
      <c r="EQ2" s="131"/>
      <c r="ER2" s="164"/>
      <c r="ES2" s="131" t="s">
        <v>38</v>
      </c>
      <c r="ET2" s="131" t="s">
        <v>38</v>
      </c>
      <c r="EU2" s="131"/>
      <c r="EV2" s="131" t="s">
        <v>38</v>
      </c>
      <c r="EW2" s="131" t="s">
        <v>38</v>
      </c>
      <c r="EX2" s="131"/>
      <c r="EY2" s="164"/>
      <c r="EZ2" s="131" t="s">
        <v>38</v>
      </c>
      <c r="FA2" s="131" t="s">
        <v>38</v>
      </c>
      <c r="FB2" s="131"/>
      <c r="FC2" s="131" t="s">
        <v>38</v>
      </c>
      <c r="FD2" s="131" t="s">
        <v>38</v>
      </c>
      <c r="FE2" s="131"/>
      <c r="FF2" s="164"/>
      <c r="FG2" s="131" t="s">
        <v>38</v>
      </c>
      <c r="FH2" s="131" t="s">
        <v>38</v>
      </c>
      <c r="FI2" s="131"/>
      <c r="FJ2" s="131" t="s">
        <v>38</v>
      </c>
      <c r="FK2" s="131" t="s">
        <v>38</v>
      </c>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3" si="4">C3</f>
        <v>CA</v>
      </c>
      <c r="J3" s="198" t="s">
        <v>758</v>
      </c>
      <c r="K3" s="36">
        <f>SUM(M3:IU3)</f>
        <v>65</v>
      </c>
      <c r="L3" s="191">
        <f>K3/(K$26 -COUNTIF(M3:ZZ3,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CY3">
        <v>1</v>
      </c>
      <c r="CZ3">
        <v>1</v>
      </c>
      <c r="DB3" s="7"/>
      <c r="DD3">
        <v>1</v>
      </c>
      <c r="DF3">
        <v>1</v>
      </c>
      <c r="DG3">
        <v>1</v>
      </c>
      <c r="DI3" s="7"/>
      <c r="DJ3">
        <v>1</v>
      </c>
      <c r="DK3">
        <v>1</v>
      </c>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A4 &amp; " " &amp; D4</f>
        <v>Dragana Brcin</v>
      </c>
      <c r="F4" s="19" t="s">
        <v>683</v>
      </c>
      <c r="G4" s="182" t="s">
        <v>700</v>
      </c>
      <c r="H4" s="56">
        <v>36859</v>
      </c>
      <c r="I4" s="176" t="str">
        <f t="shared" si="4"/>
        <v>DB</v>
      </c>
      <c r="J4" s="199" t="s">
        <v>825</v>
      </c>
      <c r="K4" s="19">
        <f t="shared" ref="K4:K23" si="5">SUM(M4:IU4)</f>
        <v>38</v>
      </c>
      <c r="L4" s="192">
        <f>K4/(K$26 -COUNTIF(M4:ZZ4, "x")) * 100</f>
        <v>59.375</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CZ4">
        <v>1</v>
      </c>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A5 &amp; " " &amp; D5</f>
        <v>Bojana Despotovic</v>
      </c>
      <c r="F5" s="19" t="s">
        <v>685</v>
      </c>
      <c r="G5" s="182" t="s">
        <v>699</v>
      </c>
      <c r="H5" s="56">
        <v>37414</v>
      </c>
      <c r="I5" s="176" t="str">
        <f t="shared" si="4"/>
        <v>BD</v>
      </c>
      <c r="J5" s="199" t="s">
        <v>758</v>
      </c>
      <c r="K5" s="19">
        <f t="shared" si="5"/>
        <v>61</v>
      </c>
      <c r="L5" s="192">
        <f>K5/(K$26 -COUNTIF(M5:ZZ5, "x")) * 100</f>
        <v>93.84615384615384</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CY5">
        <v>1</v>
      </c>
      <c r="CZ5">
        <v>1</v>
      </c>
      <c r="DB5" s="7"/>
      <c r="DD5">
        <v>1</v>
      </c>
      <c r="DF5">
        <v>1</v>
      </c>
      <c r="DG5">
        <v>1</v>
      </c>
      <c r="DI5" s="7"/>
      <c r="DJ5">
        <v>1</v>
      </c>
      <c r="DK5">
        <v>1</v>
      </c>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A6 &amp; " " &amp; D6</f>
        <v>Nicole Dreier</v>
      </c>
      <c r="F6" s="19" t="s">
        <v>691</v>
      </c>
      <c r="G6" s="182" t="s">
        <v>715</v>
      </c>
      <c r="H6" s="56">
        <v>37608</v>
      </c>
      <c r="I6" s="176" t="str">
        <f t="shared" si="4"/>
        <v>ND</v>
      </c>
      <c r="J6" s="199" t="s">
        <v>848</v>
      </c>
      <c r="K6" s="19">
        <f t="shared" si="5"/>
        <v>53</v>
      </c>
      <c r="L6" s="192">
        <f>K6/(K$26 -COUNTIF(M6:ZZ6, "x")) * 100</f>
        <v>81.538461538461533</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CZ6">
        <v>1</v>
      </c>
      <c r="DB6" s="7"/>
      <c r="DD6">
        <v>1</v>
      </c>
      <c r="DF6">
        <v>1</v>
      </c>
      <c r="DG6">
        <v>1</v>
      </c>
      <c r="DI6" s="7"/>
      <c r="DJ6">
        <v>1</v>
      </c>
      <c r="DK6">
        <v>1</v>
      </c>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A7 &amp; " " &amp; D7</f>
        <v>Jennifer Grojer</v>
      </c>
      <c r="F7" s="19" t="s">
        <v>687</v>
      </c>
      <c r="G7" s="182" t="s">
        <v>714</v>
      </c>
      <c r="H7" s="56">
        <v>36672</v>
      </c>
      <c r="I7" s="176" t="str">
        <f t="shared" si="4"/>
        <v>JG</v>
      </c>
      <c r="J7" s="199" t="s">
        <v>848</v>
      </c>
      <c r="K7" s="19">
        <f t="shared" si="5"/>
        <v>56</v>
      </c>
      <c r="L7" s="192">
        <f>K7/(K$26 -COUNTIF(M7:ZZ7, "x")) * 100</f>
        <v>87.5</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CY7">
        <v>1</v>
      </c>
      <c r="CZ7">
        <v>1</v>
      </c>
      <c r="DB7" s="7"/>
      <c r="DD7">
        <v>1</v>
      </c>
      <c r="DF7">
        <v>1</v>
      </c>
      <c r="DG7">
        <v>1</v>
      </c>
      <c r="DI7" s="7"/>
      <c r="DJ7">
        <v>1</v>
      </c>
      <c r="DK7">
        <v>1</v>
      </c>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A8 &amp; " " &amp; D8</f>
        <v>Sabrina Grojer</v>
      </c>
      <c r="F8" s="19" t="s">
        <v>698</v>
      </c>
      <c r="G8" s="182" t="s">
        <v>701</v>
      </c>
      <c r="H8" s="56">
        <v>37133</v>
      </c>
      <c r="I8" s="176" t="str">
        <f t="shared" si="4"/>
        <v>SG</v>
      </c>
      <c r="J8" s="199" t="s">
        <v>946</v>
      </c>
      <c r="K8" s="19">
        <f t="shared" si="5"/>
        <v>46</v>
      </c>
      <c r="L8" s="192">
        <f>K8/(K$26 -COUNTIF(M8:ZZ8, "x")) * 100</f>
        <v>71.875</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CY8">
        <v>1</v>
      </c>
      <c r="DB8" s="7"/>
      <c r="DG8">
        <v>1</v>
      </c>
      <c r="DI8" s="7"/>
      <c r="DJ8">
        <v>1</v>
      </c>
      <c r="DK8">
        <v>1</v>
      </c>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A9 &amp; " " &amp; D9</f>
        <v>Alexandra Jordan</v>
      </c>
      <c r="F9" s="19" t="s">
        <v>688</v>
      </c>
      <c r="G9" s="182" t="s">
        <v>704</v>
      </c>
      <c r="H9" s="56">
        <v>37808</v>
      </c>
      <c r="I9" s="176" t="str">
        <f t="shared" si="4"/>
        <v>AJ</v>
      </c>
      <c r="J9" s="199" t="s">
        <v>758</v>
      </c>
      <c r="K9" s="19">
        <f t="shared" si="5"/>
        <v>60</v>
      </c>
      <c r="L9" s="192">
        <f>K9/(K$26 -COUNTIF(M9:ZZ9, "x")) * 100</f>
        <v>92.307692307692307</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CY9">
        <v>1</v>
      </c>
      <c r="CZ9">
        <v>1</v>
      </c>
      <c r="DB9" s="7"/>
      <c r="DD9">
        <v>1</v>
      </c>
      <c r="DF9">
        <v>1</v>
      </c>
      <c r="DG9">
        <v>1</v>
      </c>
      <c r="DI9" s="7"/>
      <c r="DJ9">
        <v>1</v>
      </c>
      <c r="DK9">
        <v>1</v>
      </c>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A10 &amp; " " &amp; D10</f>
        <v>Stefanie Marbek</v>
      </c>
      <c r="F10" s="19" t="s">
        <v>697</v>
      </c>
      <c r="G10" s="182" t="s">
        <v>709</v>
      </c>
      <c r="H10" s="56">
        <v>38491</v>
      </c>
      <c r="I10" s="176" t="str">
        <f t="shared" si="4"/>
        <v>SM</v>
      </c>
      <c r="J10" s="199" t="s">
        <v>946</v>
      </c>
      <c r="K10" s="19">
        <f t="shared" si="5"/>
        <v>60</v>
      </c>
      <c r="L10" s="192">
        <f>K10/(K$26 -COUNTIF(M10:ZZ10, "x")) * 100</f>
        <v>92.307692307692307</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CY10">
        <v>1</v>
      </c>
      <c r="CZ10">
        <v>1</v>
      </c>
      <c r="DB10" s="7"/>
      <c r="DD10">
        <v>1</v>
      </c>
      <c r="DF10">
        <v>1</v>
      </c>
      <c r="DG10">
        <v>1</v>
      </c>
      <c r="DI10" s="7"/>
      <c r="DJ10">
        <v>1</v>
      </c>
      <c r="DK10">
        <v>1</v>
      </c>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A11 &amp; " " &amp; D11</f>
        <v>Lea Mehringer</v>
      </c>
      <c r="F11" s="19" t="s">
        <v>684</v>
      </c>
      <c r="G11" s="182" t="s">
        <v>707</v>
      </c>
      <c r="H11" s="56">
        <v>38655</v>
      </c>
      <c r="I11" s="176" t="str">
        <f t="shared" si="4"/>
        <v>LE</v>
      </c>
      <c r="J11" s="199" t="s">
        <v>946</v>
      </c>
      <c r="K11" s="19">
        <f t="shared" si="5"/>
        <v>46</v>
      </c>
      <c r="L11" s="192">
        <f>K11/(K$26 -COUNTIF(M11:ZZ11, "x")) * 100</f>
        <v>70.769230769230774</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CY11">
        <v>1</v>
      </c>
      <c r="DB11" s="7"/>
      <c r="DD11">
        <v>1</v>
      </c>
      <c r="DF11">
        <v>1</v>
      </c>
      <c r="DI11" s="7"/>
      <c r="DJ11">
        <v>1</v>
      </c>
      <c r="DK11">
        <v>1</v>
      </c>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A12 &amp; " " &amp; D12</f>
        <v>Celine Murnig</v>
      </c>
      <c r="F12" s="19"/>
      <c r="G12" s="182" t="s">
        <v>706</v>
      </c>
      <c r="H12" s="56">
        <v>37863</v>
      </c>
      <c r="I12" s="176" t="str">
        <f t="shared" si="4"/>
        <v>CM</v>
      </c>
      <c r="J12" s="199" t="s">
        <v>946</v>
      </c>
      <c r="K12" s="19">
        <f t="shared" si="5"/>
        <v>60</v>
      </c>
      <c r="L12" s="192">
        <f>K12/(K$26 -COUNTIF(M12:ZZ12, "x")) * 100</f>
        <v>92.307692307692307</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CZ12">
        <v>1</v>
      </c>
      <c r="DB12" s="7"/>
      <c r="DD12">
        <v>1</v>
      </c>
      <c r="DF12">
        <v>1</v>
      </c>
      <c r="DG12">
        <v>1</v>
      </c>
      <c r="DI12" s="7"/>
      <c r="DK12">
        <v>1</v>
      </c>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A13 &amp; " " &amp; D13</f>
        <v>Lea Murnig</v>
      </c>
      <c r="F13" s="19" t="s">
        <v>690</v>
      </c>
      <c r="G13" s="182" t="s">
        <v>710</v>
      </c>
      <c r="H13" s="56">
        <v>37863</v>
      </c>
      <c r="I13" s="176" t="str">
        <f t="shared" si="4"/>
        <v>LM</v>
      </c>
      <c r="J13" s="199" t="s">
        <v>946</v>
      </c>
      <c r="K13" s="19">
        <f t="shared" si="5"/>
        <v>55</v>
      </c>
      <c r="L13" s="192">
        <f>K13/(K$26 -COUNTIF(M13:ZZ13, "x")) * 100</f>
        <v>84.615384615384613</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CZ13">
        <v>1</v>
      </c>
      <c r="DB13" s="7"/>
      <c r="DD13">
        <v>1</v>
      </c>
      <c r="DI13" s="7"/>
      <c r="DK13">
        <v>1</v>
      </c>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A14 &amp; " " &amp; D14</f>
        <v>Yasmin Murnig</v>
      </c>
      <c r="F14" s="19" t="s">
        <v>693</v>
      </c>
      <c r="G14" s="182" t="s">
        <v>712</v>
      </c>
      <c r="H14" s="56">
        <v>38954</v>
      </c>
      <c r="I14" s="176" t="str">
        <f t="shared" si="4"/>
        <v>YM</v>
      </c>
      <c r="J14" s="199"/>
      <c r="K14" s="19">
        <f t="shared" si="5"/>
        <v>38</v>
      </c>
      <c r="L14" s="192">
        <f>K14/(K$26 -COUNTIF(M14:ZZ14,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CY14" t="s">
        <v>765</v>
      </c>
      <c r="CZ14" t="s">
        <v>765</v>
      </c>
      <c r="DB14" s="7"/>
      <c r="DD14" t="s">
        <v>765</v>
      </c>
      <c r="DF14" t="s">
        <v>765</v>
      </c>
      <c r="DG14" t="s">
        <v>765</v>
      </c>
      <c r="DI14" s="7"/>
      <c r="DJ14" t="s">
        <v>765</v>
      </c>
      <c r="DK14" t="s">
        <v>765</v>
      </c>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A15 &amp; " " &amp; D15</f>
        <v>Selina Popaj</v>
      </c>
      <c r="F15" s="19"/>
      <c r="G15" s="182" t="s">
        <v>708</v>
      </c>
      <c r="H15" s="56">
        <v>39155</v>
      </c>
      <c r="I15" s="176" t="str">
        <f t="shared" si="4"/>
        <v>SP</v>
      </c>
      <c r="J15" s="199"/>
      <c r="K15" s="19">
        <f t="shared" si="5"/>
        <v>22</v>
      </c>
      <c r="L15" s="192">
        <f>K15/(K$26 -COUNTIF(M15:ZZ15, "x")) * 100</f>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CY15" t="s">
        <v>765</v>
      </c>
      <c r="CZ15" t="s">
        <v>765</v>
      </c>
      <c r="DB15" s="7"/>
      <c r="DD15" t="s">
        <v>765</v>
      </c>
      <c r="DF15" t="s">
        <v>765</v>
      </c>
      <c r="DG15" t="s">
        <v>765</v>
      </c>
      <c r="DI15" s="7"/>
      <c r="DJ15" t="s">
        <v>765</v>
      </c>
      <c r="DK15" t="s">
        <v>765</v>
      </c>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A16 &amp; " " &amp; D16</f>
        <v>Valentina Probst</v>
      </c>
      <c r="F16" s="19" t="s">
        <v>694</v>
      </c>
      <c r="G16" s="182" t="s">
        <v>703</v>
      </c>
      <c r="H16" s="56">
        <v>37177</v>
      </c>
      <c r="I16" s="176" t="str">
        <f t="shared" si="4"/>
        <v>VP</v>
      </c>
      <c r="J16" s="199" t="s">
        <v>758</v>
      </c>
      <c r="K16" s="19">
        <f t="shared" si="5"/>
        <v>63</v>
      </c>
      <c r="L16" s="192">
        <f>K16/(K$26 -COUNTIF(M16:ZZ16, "x")) * 100</f>
        <v>96.92307692307692</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D16">
        <v>1</v>
      </c>
      <c r="DF16">
        <v>1</v>
      </c>
      <c r="DG16">
        <v>1</v>
      </c>
      <c r="DI16" s="7"/>
      <c r="DJ16">
        <v>1</v>
      </c>
      <c r="DK16">
        <v>1</v>
      </c>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A17 &amp; " " &amp; D17</f>
        <v>Stefanie Rückenbaum</v>
      </c>
      <c r="F17" s="19" t="s">
        <v>696</v>
      </c>
      <c r="G17" s="182" t="s">
        <v>702</v>
      </c>
      <c r="H17" s="56">
        <v>36870</v>
      </c>
      <c r="I17" s="176" t="str">
        <f t="shared" si="4"/>
        <v>SR</v>
      </c>
      <c r="J17" s="199" t="s">
        <v>758</v>
      </c>
      <c r="K17" s="19">
        <f t="shared" si="5"/>
        <v>59</v>
      </c>
      <c r="L17" s="192">
        <f>K17/(K$26 -COUNTIF(M17:ZZ17, "x")) * 100</f>
        <v>92.1875</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CY17">
        <v>1</v>
      </c>
      <c r="CZ17">
        <v>1</v>
      </c>
      <c r="DB17" s="7"/>
      <c r="DD17">
        <v>1</v>
      </c>
      <c r="DF17">
        <v>1</v>
      </c>
      <c r="DG17">
        <v>1</v>
      </c>
      <c r="DI17" s="7"/>
      <c r="DJ17">
        <v>1</v>
      </c>
      <c r="DK17">
        <v>1</v>
      </c>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A18 &amp; " " &amp; D18</f>
        <v>Theresa Scheitz</v>
      </c>
      <c r="F18" s="19" t="s">
        <v>695</v>
      </c>
      <c r="G18" s="182" t="s">
        <v>711</v>
      </c>
      <c r="H18" s="56">
        <v>38054</v>
      </c>
      <c r="I18" s="176" t="str">
        <f t="shared" si="4"/>
        <v>TS</v>
      </c>
      <c r="J18" s="199" t="s">
        <v>758</v>
      </c>
      <c r="K18" s="19">
        <f t="shared" si="5"/>
        <v>59</v>
      </c>
      <c r="L18" s="192">
        <f>K18/(K$26 -COUNTIF(M18:ZZ18, "x")) * 100</f>
        <v>90.769230769230774</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CZ18">
        <v>1</v>
      </c>
      <c r="DB18" s="7"/>
      <c r="DD18">
        <v>1</v>
      </c>
      <c r="DF18">
        <v>1</v>
      </c>
      <c r="DG18">
        <v>1</v>
      </c>
      <c r="DI18" s="7"/>
      <c r="DJ18">
        <v>1</v>
      </c>
      <c r="DK18">
        <v>1</v>
      </c>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A19 &amp; " " &amp; D19</f>
        <v>Ylva Völker</v>
      </c>
      <c r="F19" s="88" t="s">
        <v>692</v>
      </c>
      <c r="G19" s="183" t="s">
        <v>713</v>
      </c>
      <c r="H19" s="162">
        <v>39280</v>
      </c>
      <c r="I19" s="197" t="str">
        <f t="shared" si="4"/>
        <v>YV</v>
      </c>
      <c r="J19" s="200"/>
      <c r="K19" s="88">
        <f t="shared" si="5"/>
        <v>18</v>
      </c>
      <c r="L19" s="193">
        <f>K19/(K$26 -COUNTIF(M19:ZZ19, "x")) * 100</f>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CY19" t="s">
        <v>765</v>
      </c>
      <c r="CZ19" t="s">
        <v>765</v>
      </c>
      <c r="DB19" s="7"/>
      <c r="DD19" t="s">
        <v>765</v>
      </c>
      <c r="DF19" t="s">
        <v>765</v>
      </c>
      <c r="DG19" t="s">
        <v>765</v>
      </c>
      <c r="DI19" s="7"/>
      <c r="DJ19" t="s">
        <v>765</v>
      </c>
      <c r="DK19" t="s">
        <v>765</v>
      </c>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A20 &amp; " " &amp; D20</f>
        <v>Michael Witschnig</v>
      </c>
      <c r="F20" s="19"/>
      <c r="G20" s="182" t="s">
        <v>552</v>
      </c>
      <c r="H20" s="56"/>
      <c r="I20" s="176" t="str">
        <f t="shared" si="4"/>
        <v>MW</v>
      </c>
      <c r="J20" s="10" t="s">
        <v>758</v>
      </c>
      <c r="K20" s="10">
        <f t="shared" si="5"/>
        <v>54</v>
      </c>
      <c r="L20" s="192">
        <f>K20/K$26 * 100</f>
        <v>83.07692307692308</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v>1</v>
      </c>
      <c r="CZ20" s="140">
        <v>1</v>
      </c>
      <c r="DA20" s="140"/>
      <c r="DB20" s="165"/>
      <c r="DC20" s="140"/>
      <c r="DD20" s="140">
        <v>1</v>
      </c>
      <c r="DE20" s="140"/>
      <c r="DF20" s="140">
        <v>1</v>
      </c>
      <c r="DG20" s="140">
        <v>1</v>
      </c>
      <c r="DH20" s="140"/>
      <c r="DI20" s="165"/>
      <c r="DJ20" s="140">
        <v>1</v>
      </c>
      <c r="DK20" s="140">
        <v>1</v>
      </c>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A21 &amp; " " &amp; D21</f>
        <v>Melanie Götzhaber</v>
      </c>
      <c r="F21" s="19"/>
      <c r="G21" s="182" t="s">
        <v>782</v>
      </c>
      <c r="H21" s="56">
        <v>36872</v>
      </c>
      <c r="I21" s="176" t="str">
        <f t="shared" si="4"/>
        <v>MG</v>
      </c>
      <c r="J21" s="10" t="s">
        <v>794</v>
      </c>
      <c r="K21" s="10">
        <f t="shared" si="5"/>
        <v>31</v>
      </c>
      <c r="L21" s="192">
        <f>K21/K$26 * 100</f>
        <v>47.692307692307693</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148">
        <v>1</v>
      </c>
      <c r="DA21" s="34"/>
      <c r="DB21" s="7"/>
      <c r="DC21" s="34"/>
      <c r="DD21" s="148"/>
      <c r="DE21" s="34"/>
      <c r="DF21" s="34"/>
      <c r="DG21" s="34"/>
      <c r="DH21" s="34"/>
      <c r="DI21" s="7"/>
      <c r="DJ21" s="148">
        <v>1</v>
      </c>
      <c r="DK21" s="34">
        <v>1</v>
      </c>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x14ac:dyDescent="0.25">
      <c r="A22" s="10" t="s">
        <v>958</v>
      </c>
      <c r="B22" s="19" t="s">
        <v>960</v>
      </c>
      <c r="C22" s="19" t="s">
        <v>959</v>
      </c>
      <c r="D22" s="19" t="s">
        <v>961</v>
      </c>
      <c r="E22" s="19" t="str">
        <f>A22 &amp; " " &amp; D22</f>
        <v>Wolfgang Schmerlaib</v>
      </c>
      <c r="F22" s="19"/>
      <c r="G22" s="182"/>
      <c r="H22" s="56"/>
      <c r="I22" s="176" t="str">
        <f t="shared" si="4"/>
        <v>WS</v>
      </c>
      <c r="J22" s="10" t="s">
        <v>364</v>
      </c>
      <c r="K22" s="10">
        <f t="shared" ref="K22" si="6">SUM(M22:IU22)</f>
        <v>1</v>
      </c>
      <c r="L22" s="192">
        <f>K22/K$26 * 100</f>
        <v>1.5384615384615385</v>
      </c>
      <c r="M22" s="34"/>
      <c r="N22" s="34"/>
      <c r="O22" s="7"/>
      <c r="P22" s="34"/>
      <c r="Q22" s="34"/>
      <c r="R22" s="34"/>
      <c r="S22" s="34"/>
      <c r="T22" s="34"/>
      <c r="U22" s="34"/>
      <c r="V22" s="7"/>
      <c r="W22" s="34"/>
      <c r="X22" s="34"/>
      <c r="Y22" s="34"/>
      <c r="Z22" s="34"/>
      <c r="AA22" s="34"/>
      <c r="AB22" s="34"/>
      <c r="AC22" s="7"/>
      <c r="AD22" s="34"/>
      <c r="AE22" s="34"/>
      <c r="AF22" s="34"/>
      <c r="AG22" s="34"/>
      <c r="AH22" s="34"/>
      <c r="AI22" s="34"/>
      <c r="AJ22" s="7"/>
      <c r="AK22" s="34"/>
      <c r="AL22" s="34"/>
      <c r="AM22" s="34"/>
      <c r="AN22" s="34"/>
      <c r="AO22" s="34"/>
      <c r="AP22" s="34"/>
      <c r="AQ22" s="7"/>
      <c r="AR22" s="34"/>
      <c r="AS22" s="34"/>
      <c r="AT22" s="34"/>
      <c r="AU22" s="34"/>
      <c r="AV22" s="34"/>
      <c r="AW22" s="34"/>
      <c r="AX22" s="7"/>
      <c r="AY22" s="148"/>
      <c r="AZ22" s="148"/>
      <c r="BA22" s="34"/>
      <c r="BB22" s="148"/>
      <c r="BC22" s="148"/>
      <c r="BD22" s="34"/>
      <c r="BE22" s="7"/>
      <c r="BF22" s="148"/>
      <c r="BG22" s="148"/>
      <c r="BH22" s="34"/>
      <c r="BI22" s="148"/>
      <c r="BJ22" s="148"/>
      <c r="BK22" s="148"/>
      <c r="BL22" s="7"/>
      <c r="BM22" s="148"/>
      <c r="BN22" s="148"/>
      <c r="BO22" s="34"/>
      <c r="BP22" s="148"/>
      <c r="BQ22" s="148"/>
      <c r="BR22" s="34"/>
      <c r="BS22" s="7"/>
      <c r="BT22" s="148"/>
      <c r="BU22" s="148"/>
      <c r="BV22" s="34"/>
      <c r="BW22" s="148"/>
      <c r="BX22" s="34"/>
      <c r="BY22" s="34"/>
      <c r="BZ22" s="7"/>
      <c r="CA22" s="148"/>
      <c r="CB22" s="148"/>
      <c r="CC22" s="34"/>
      <c r="CD22" s="148"/>
      <c r="CE22" s="34"/>
      <c r="CF22" s="34"/>
      <c r="CG22" s="7"/>
      <c r="CH22" s="148"/>
      <c r="CI22" s="148"/>
      <c r="CJ22" s="34"/>
      <c r="CK22" s="148"/>
      <c r="CL22" s="34"/>
      <c r="CM22" s="34"/>
      <c r="CN22" s="7"/>
      <c r="CO22" s="148"/>
      <c r="CP22" s="148"/>
      <c r="CQ22" s="148"/>
      <c r="CR22" s="148"/>
      <c r="CS22" s="34"/>
      <c r="CT22" s="34"/>
      <c r="CU22" s="7"/>
      <c r="CV22" s="34"/>
      <c r="CW22" s="34"/>
      <c r="CX22" s="34"/>
      <c r="CY22" s="34"/>
      <c r="CZ22" s="148"/>
      <c r="DA22" s="34"/>
      <c r="DB22" s="7"/>
      <c r="DC22" s="34"/>
      <c r="DD22" s="148"/>
      <c r="DE22" s="34"/>
      <c r="DF22" s="34"/>
      <c r="DG22" s="34"/>
      <c r="DH22" s="34"/>
      <c r="DI22" s="7"/>
      <c r="DJ22" s="148"/>
      <c r="DK22" s="34">
        <v>1</v>
      </c>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ht="15.75" thickBot="1" x14ac:dyDescent="0.3">
      <c r="A23" s="10" t="s">
        <v>644</v>
      </c>
      <c r="B23" s="19" t="s">
        <v>23</v>
      </c>
      <c r="C23" s="19" t="s">
        <v>645</v>
      </c>
      <c r="D23" s="19" t="s">
        <v>646</v>
      </c>
      <c r="E23" s="19" t="str">
        <f>A23 &amp; " " &amp; D23</f>
        <v>Karl Gorton</v>
      </c>
      <c r="F23" s="19" t="s">
        <v>689</v>
      </c>
      <c r="G23" s="182" t="s">
        <v>716</v>
      </c>
      <c r="H23" s="56"/>
      <c r="I23" s="180" t="str">
        <f t="shared" si="4"/>
        <v>BG</v>
      </c>
      <c r="J23" s="10" t="s">
        <v>848</v>
      </c>
      <c r="K23" s="169">
        <f t="shared" si="5"/>
        <v>64</v>
      </c>
      <c r="L23" s="194">
        <f>K23/K$26 * 100</f>
        <v>98.461538461538467</v>
      </c>
      <c r="M23" s="34"/>
      <c r="N23" s="34"/>
      <c r="O23" s="7"/>
      <c r="P23" s="34"/>
      <c r="Q23" s="34"/>
      <c r="R23" s="34"/>
      <c r="S23" s="34"/>
      <c r="T23" s="160"/>
      <c r="U23" s="171">
        <v>1</v>
      </c>
      <c r="V23" s="167"/>
      <c r="W23" s="171">
        <v>1</v>
      </c>
      <c r="X23" s="171">
        <v>1</v>
      </c>
      <c r="Y23" s="160"/>
      <c r="Z23" s="160">
        <v>1</v>
      </c>
      <c r="AA23" s="160">
        <v>1</v>
      </c>
      <c r="AB23" s="160"/>
      <c r="AC23" s="167"/>
      <c r="AD23" s="185">
        <v>1</v>
      </c>
      <c r="AE23" s="148">
        <v>1</v>
      </c>
      <c r="AF23" s="34"/>
      <c r="AG23" s="148">
        <v>1</v>
      </c>
      <c r="AH23" s="148">
        <v>1</v>
      </c>
      <c r="AI23" s="148">
        <v>1</v>
      </c>
      <c r="AJ23" s="7">
        <v>1</v>
      </c>
      <c r="AK23" s="148">
        <v>1</v>
      </c>
      <c r="AL23" s="148">
        <v>1</v>
      </c>
      <c r="AM23" s="34"/>
      <c r="AN23" s="148">
        <v>1</v>
      </c>
      <c r="AO23" s="148">
        <v>1</v>
      </c>
      <c r="AP23" s="148">
        <v>1</v>
      </c>
      <c r="AQ23" s="7">
        <v>1</v>
      </c>
      <c r="AR23" s="148">
        <v>1</v>
      </c>
      <c r="AS23" s="148">
        <v>1</v>
      </c>
      <c r="AT23" s="34"/>
      <c r="AU23" s="148">
        <v>1</v>
      </c>
      <c r="AV23" s="148">
        <v>1</v>
      </c>
      <c r="AW23" s="148">
        <v>1</v>
      </c>
      <c r="AX23" s="7"/>
      <c r="AY23" s="148">
        <v>1</v>
      </c>
      <c r="AZ23" s="148">
        <v>1</v>
      </c>
      <c r="BA23" s="34"/>
      <c r="BB23" s="148">
        <v>1</v>
      </c>
      <c r="BC23" s="148">
        <v>1</v>
      </c>
      <c r="BD23" s="34"/>
      <c r="BE23" s="7"/>
      <c r="BF23" s="148">
        <v>1</v>
      </c>
      <c r="BG23" s="148">
        <v>1</v>
      </c>
      <c r="BH23" s="34"/>
      <c r="BI23" s="148">
        <v>1</v>
      </c>
      <c r="BJ23" s="148">
        <v>1</v>
      </c>
      <c r="BK23" s="148">
        <v>1</v>
      </c>
      <c r="BL23" s="7"/>
      <c r="BM23" s="148">
        <v>1</v>
      </c>
      <c r="BN23" s="148">
        <v>1</v>
      </c>
      <c r="BO23" s="34"/>
      <c r="BP23" s="148">
        <v>1</v>
      </c>
      <c r="BQ23" s="148">
        <v>1</v>
      </c>
      <c r="BR23" s="148">
        <v>1</v>
      </c>
      <c r="BS23" s="7">
        <v>1</v>
      </c>
      <c r="BT23" s="148">
        <v>1</v>
      </c>
      <c r="BU23" s="148">
        <v>1</v>
      </c>
      <c r="BV23" s="34"/>
      <c r="BW23" s="148">
        <v>1</v>
      </c>
      <c r="BX23" s="148">
        <v>1</v>
      </c>
      <c r="BY23" s="34"/>
      <c r="BZ23" s="7">
        <v>1</v>
      </c>
      <c r="CA23" s="148">
        <v>1</v>
      </c>
      <c r="CB23" s="148">
        <v>1</v>
      </c>
      <c r="CC23" s="34"/>
      <c r="CD23" s="148">
        <v>1</v>
      </c>
      <c r="CE23" s="148">
        <v>1</v>
      </c>
      <c r="CF23" s="148">
        <v>1</v>
      </c>
      <c r="CG23" s="7"/>
      <c r="CH23" s="148">
        <v>1</v>
      </c>
      <c r="CI23" s="148">
        <v>1</v>
      </c>
      <c r="CJ23" s="34"/>
      <c r="CK23" s="148">
        <v>1</v>
      </c>
      <c r="CL23" s="34"/>
      <c r="CM23" s="148">
        <v>1</v>
      </c>
      <c r="CN23" s="7"/>
      <c r="CO23" s="148">
        <v>1</v>
      </c>
      <c r="CP23" s="148">
        <v>1</v>
      </c>
      <c r="CQ23" s="148"/>
      <c r="CR23" s="148">
        <v>1</v>
      </c>
      <c r="CS23" s="34">
        <v>1</v>
      </c>
      <c r="CT23" s="34">
        <v>1</v>
      </c>
      <c r="CU23" s="7"/>
      <c r="CV23" s="34">
        <v>1</v>
      </c>
      <c r="CW23" s="34">
        <v>1</v>
      </c>
      <c r="CX23" s="34"/>
      <c r="CY23" s="148">
        <v>1</v>
      </c>
      <c r="CZ23" s="148">
        <v>1</v>
      </c>
      <c r="DA23" s="34"/>
      <c r="DB23" s="7"/>
      <c r="DC23" s="34"/>
      <c r="DD23" s="148">
        <v>1</v>
      </c>
      <c r="DE23" s="34"/>
      <c r="DF23" s="34">
        <v>1</v>
      </c>
      <c r="DG23" s="34">
        <v>1</v>
      </c>
      <c r="DH23" s="34"/>
      <c r="DI23" s="7"/>
      <c r="DJ23" s="148">
        <v>1</v>
      </c>
      <c r="DK23" s="34"/>
      <c r="DL23" s="34"/>
      <c r="DM23" s="34"/>
      <c r="DN23" s="34"/>
      <c r="DO23" s="34"/>
      <c r="DP23" s="7"/>
      <c r="DQ23" s="34"/>
      <c r="DR23" s="34"/>
      <c r="DS23" s="34"/>
      <c r="DT23" s="34"/>
      <c r="DU23" s="34"/>
      <c r="DV23" s="34"/>
      <c r="DW23" s="7"/>
      <c r="DX23" s="34"/>
      <c r="DY23" s="34"/>
      <c r="DZ23" s="34"/>
      <c r="EA23" s="34"/>
      <c r="EB23" s="34"/>
      <c r="EC23" s="34"/>
      <c r="ED23" s="7"/>
      <c r="EE23" s="34"/>
      <c r="EF23" s="34"/>
      <c r="EG23" s="34"/>
      <c r="EH23" s="34"/>
      <c r="EI23" s="34"/>
      <c r="EJ23" s="34"/>
      <c r="EK23" s="7"/>
      <c r="EL23" s="34"/>
      <c r="EM23" s="34"/>
      <c r="EN23" s="34"/>
      <c r="EO23" s="34"/>
      <c r="EP23" s="34"/>
      <c r="EQ23" s="34"/>
      <c r="ER23" s="7"/>
      <c r="ES23" s="34"/>
      <c r="ET23" s="34"/>
      <c r="EU23" s="34"/>
      <c r="EV23" s="34"/>
      <c r="EW23" s="34"/>
      <c r="EX23" s="34"/>
      <c r="EY23" s="7"/>
      <c r="EZ23" s="34"/>
      <c r="FA23" s="34"/>
      <c r="FB23" s="34"/>
      <c r="FC23" s="34"/>
      <c r="FD23" s="34"/>
      <c r="FE23" s="34"/>
      <c r="FF23" s="7"/>
      <c r="FG23" s="34"/>
      <c r="FH23" s="34"/>
      <c r="FI23" s="34"/>
      <c r="FJ23" s="34"/>
      <c r="FK23" s="34"/>
      <c r="FL23" s="34"/>
      <c r="FM23" s="7"/>
      <c r="FN23" s="34"/>
      <c r="FO23" s="34"/>
      <c r="FP23" s="34"/>
      <c r="FQ23" s="34"/>
      <c r="FR23" s="34"/>
      <c r="FS23" s="34"/>
      <c r="FT23" s="7"/>
      <c r="FU23" s="34"/>
      <c r="FV23" s="34"/>
      <c r="FW23" s="34"/>
      <c r="FX23" s="34"/>
      <c r="FY23" s="34"/>
      <c r="FZ23" s="34"/>
      <c r="GA23" s="7"/>
      <c r="GB23" s="34"/>
      <c r="GC23" s="34"/>
      <c r="GD23" s="34"/>
      <c r="GE23" s="34"/>
      <c r="GF23" s="34"/>
      <c r="GG23" s="34"/>
      <c r="GH23" s="7"/>
      <c r="GI23" s="34"/>
      <c r="GJ23" s="34"/>
      <c r="GK23" s="34"/>
      <c r="GL23" s="34"/>
      <c r="GM23" s="34"/>
      <c r="GN23" s="34"/>
      <c r="GO23" s="7"/>
      <c r="GP23" s="34"/>
      <c r="GQ23" s="34"/>
      <c r="GR23" s="34"/>
      <c r="GS23" s="34"/>
      <c r="GT23" s="34"/>
      <c r="GU23" s="34"/>
      <c r="GV23" s="7"/>
      <c r="GW23" s="34"/>
      <c r="GX23" s="34"/>
      <c r="GY23" s="34"/>
      <c r="GZ23" s="34"/>
      <c r="HA23" s="34"/>
      <c r="HB23" s="34"/>
      <c r="HC23" s="7"/>
      <c r="HD23" s="34"/>
      <c r="HE23" s="34"/>
      <c r="HF23" s="34"/>
      <c r="HG23" s="34"/>
      <c r="HH23" s="34"/>
      <c r="HI23" s="34"/>
      <c r="HJ23" s="7"/>
      <c r="HK23" s="34"/>
      <c r="HL23" s="34"/>
      <c r="HM23" s="34"/>
      <c r="HN23" s="34"/>
      <c r="HO23" s="34"/>
      <c r="HP23" s="34"/>
      <c r="HQ23" s="7"/>
      <c r="HR23" s="34"/>
      <c r="HS23" s="34"/>
      <c r="HT23" s="34"/>
      <c r="HU23" s="34"/>
      <c r="HV23" s="34"/>
      <c r="HW23" s="34"/>
      <c r="HX23" s="7"/>
      <c r="HY23" s="34"/>
      <c r="HZ23" s="34"/>
      <c r="IA23" s="34"/>
      <c r="IB23" s="34"/>
      <c r="IC23" s="34"/>
      <c r="ID23" s="34"/>
      <c r="IE23" s="7"/>
      <c r="IF23" s="34"/>
      <c r="IG23" s="34"/>
      <c r="IH23" s="34"/>
      <c r="II23" s="34"/>
      <c r="IJ23" s="34"/>
      <c r="IK23" s="34"/>
      <c r="IL23" s="7"/>
      <c r="IM23" s="34"/>
      <c r="IN23" s="34"/>
      <c r="IO23" s="34"/>
      <c r="IP23" s="34"/>
      <c r="IQ23" s="34"/>
      <c r="IR23" s="34"/>
      <c r="IS23" s="7"/>
      <c r="IT23" s="34"/>
      <c r="IU23" s="34"/>
      <c r="IV23" s="34"/>
    </row>
    <row r="24" spans="1:267" x14ac:dyDescent="0.25">
      <c r="A24" s="221" t="s">
        <v>647</v>
      </c>
      <c r="B24" s="222"/>
      <c r="C24" s="222"/>
      <c r="D24" s="222"/>
      <c r="E24" s="222"/>
      <c r="F24" s="222"/>
      <c r="G24" s="222"/>
      <c r="H24" s="223"/>
      <c r="I24" s="181" t="str">
        <f>"#1|" &amp; A24</f>
        <v>#1|Spielerinnen</v>
      </c>
      <c r="J24" s="177"/>
      <c r="K24" s="188">
        <f>SUM(K3:K19) / (17)</f>
        <v>50.529411764705884</v>
      </c>
      <c r="L24" s="187">
        <f>K24/K$26 * 100</f>
        <v>77.737556561085981</v>
      </c>
      <c r="M24" s="150">
        <v>12</v>
      </c>
      <c r="N24" s="150">
        <v>7</v>
      </c>
      <c r="O24" s="166"/>
      <c r="P24" s="186" t="str">
        <f>IF(SUM(P3:P19) &gt; 0, SUM(P3:P19), "")</f>
        <v/>
      </c>
      <c r="Q24" s="150" t="str">
        <f t="shared" ref="Q24:V24" si="7">IF(SUM(Q3:Q19) &gt; 0, SUM(Q3:Q19), "")</f>
        <v/>
      </c>
      <c r="R24" s="150" t="str">
        <f t="shared" si="7"/>
        <v/>
      </c>
      <c r="S24" s="150" t="str">
        <f t="shared" si="7"/>
        <v/>
      </c>
      <c r="T24" s="150" t="str">
        <f t="shared" si="7"/>
        <v/>
      </c>
      <c r="U24" s="150">
        <f t="shared" si="7"/>
        <v>15</v>
      </c>
      <c r="V24" s="166" t="str">
        <f t="shared" si="7"/>
        <v/>
      </c>
      <c r="W24" s="186">
        <f>IF(SUM(W3:W19) &gt; 0, SUM(W3:W19), "")</f>
        <v>12</v>
      </c>
      <c r="X24" s="150">
        <f t="shared" ref="X24:AC24" si="8">IF(SUM(X3:X19) &gt; 0, SUM(X3:X19), "")</f>
        <v>14</v>
      </c>
      <c r="Y24" s="150" t="str">
        <f t="shared" si="8"/>
        <v/>
      </c>
      <c r="Z24" s="150">
        <f t="shared" si="8"/>
        <v>13</v>
      </c>
      <c r="AA24" s="150">
        <f t="shared" si="8"/>
        <v>15</v>
      </c>
      <c r="AB24" s="150" t="str">
        <f t="shared" si="8"/>
        <v/>
      </c>
      <c r="AC24" s="166" t="str">
        <f t="shared" si="8"/>
        <v/>
      </c>
      <c r="AD24" s="186">
        <f>IF(SUM(AD3:AD19) &gt; 0, SUM(AD3:AD19), "")</f>
        <v>17</v>
      </c>
      <c r="AE24" s="150">
        <f t="shared" ref="AE24:AJ24" si="9">IF(SUM(AE3:AE19) &gt; 0, SUM(AE3:AE19), "")</f>
        <v>14</v>
      </c>
      <c r="AF24" s="150" t="str">
        <f t="shared" si="9"/>
        <v/>
      </c>
      <c r="AG24" s="150">
        <f t="shared" si="9"/>
        <v>13</v>
      </c>
      <c r="AH24" s="150">
        <f t="shared" si="9"/>
        <v>15</v>
      </c>
      <c r="AI24" s="150">
        <f t="shared" si="9"/>
        <v>17</v>
      </c>
      <c r="AJ24" s="166">
        <f t="shared" si="9"/>
        <v>17</v>
      </c>
      <c r="AK24" s="186">
        <f>IF(SUM(AK3:AK19) &gt; 0, SUM(AK3:AK19), "")</f>
        <v>16</v>
      </c>
      <c r="AL24" s="150">
        <f t="shared" ref="AL24:AQ24" si="10">IF(SUM(AL3:AL19) &gt; 0, SUM(AL3:AL19), "")</f>
        <v>17</v>
      </c>
      <c r="AM24" s="150" t="str">
        <f t="shared" si="10"/>
        <v/>
      </c>
      <c r="AN24" s="150">
        <f t="shared" si="10"/>
        <v>15</v>
      </c>
      <c r="AO24" s="150">
        <f t="shared" si="10"/>
        <v>13</v>
      </c>
      <c r="AP24" s="150">
        <f t="shared" si="10"/>
        <v>17</v>
      </c>
      <c r="AQ24" s="166">
        <f t="shared" si="10"/>
        <v>14</v>
      </c>
      <c r="AR24" s="186">
        <f>IF(SUM(AR3:AR19) &gt; 0, SUM(AR3:AR19), "")</f>
        <v>14</v>
      </c>
      <c r="AS24" s="150">
        <f t="shared" ref="AS24:AX24" si="11">IF(SUM(AS3:AS19) &gt; 0, SUM(AS3:AS19), "")</f>
        <v>16</v>
      </c>
      <c r="AT24" s="150" t="str">
        <f t="shared" si="11"/>
        <v/>
      </c>
      <c r="AU24" s="150">
        <f t="shared" si="11"/>
        <v>16</v>
      </c>
      <c r="AV24" s="150">
        <f t="shared" si="11"/>
        <v>15</v>
      </c>
      <c r="AW24" s="150">
        <f t="shared" si="11"/>
        <v>16</v>
      </c>
      <c r="AX24" s="166" t="str">
        <f t="shared" si="11"/>
        <v/>
      </c>
      <c r="AY24" s="186">
        <f>IF(SUM(AY3:AY19) &gt; 0, SUM(AY3:AY19), "")</f>
        <v>15</v>
      </c>
      <c r="AZ24" s="150">
        <f t="shared" ref="AZ24:BE24" si="12">IF(SUM(AZ3:AZ19) &gt; 0, SUM(AZ3:AZ19), "")</f>
        <v>13</v>
      </c>
      <c r="BA24" s="150" t="str">
        <f t="shared" si="12"/>
        <v/>
      </c>
      <c r="BB24" s="150">
        <f t="shared" si="12"/>
        <v>14</v>
      </c>
      <c r="BC24" s="150">
        <f t="shared" si="12"/>
        <v>11</v>
      </c>
      <c r="BD24" s="150" t="str">
        <f t="shared" si="12"/>
        <v/>
      </c>
      <c r="BE24" s="166" t="str">
        <f t="shared" si="12"/>
        <v/>
      </c>
      <c r="BF24" s="186">
        <f>IF(SUM(BF3:BF19) &gt; 0, SUM(BF3:BF19), "")</f>
        <v>14</v>
      </c>
      <c r="BG24" s="150">
        <f t="shared" ref="BG24:BL24" si="13">IF(SUM(BG3:BG19) &gt; 0, SUM(BG3:BG19), "")</f>
        <v>15</v>
      </c>
      <c r="BH24" s="150" t="str">
        <f t="shared" si="13"/>
        <v/>
      </c>
      <c r="BI24" s="150">
        <f t="shared" si="13"/>
        <v>15</v>
      </c>
      <c r="BJ24" s="150">
        <f t="shared" si="13"/>
        <v>14</v>
      </c>
      <c r="BK24" s="150">
        <f t="shared" si="13"/>
        <v>14</v>
      </c>
      <c r="BL24" s="166" t="str">
        <f t="shared" si="13"/>
        <v/>
      </c>
      <c r="BM24" s="186">
        <f>IF(SUM(BM3:BM19) &gt; 0, SUM(BM3:BM19), "")</f>
        <v>15</v>
      </c>
      <c r="BN24" s="150">
        <f t="shared" ref="BN24:BS24" si="14">IF(SUM(BN3:BN19) &gt; 0, SUM(BN3:BN19), "")</f>
        <v>16</v>
      </c>
      <c r="BO24" s="150" t="str">
        <f t="shared" si="14"/>
        <v/>
      </c>
      <c r="BP24" s="150">
        <f t="shared" si="14"/>
        <v>13</v>
      </c>
      <c r="BQ24" s="150">
        <f t="shared" si="14"/>
        <v>12</v>
      </c>
      <c r="BR24" s="150">
        <f t="shared" si="14"/>
        <v>14</v>
      </c>
      <c r="BS24" s="166">
        <f t="shared" si="14"/>
        <v>13</v>
      </c>
      <c r="BT24" s="186">
        <f>IF(SUM(BT3:BT19) &gt; 0, SUM(BT3:BT19), "")</f>
        <v>11</v>
      </c>
      <c r="BU24" s="150">
        <f t="shared" ref="BU24:BZ24" si="15">IF(SUM(BU3:BU19) &gt; 0, SUM(BU3:BU19), "")</f>
        <v>14</v>
      </c>
      <c r="BV24" s="150" t="str">
        <f t="shared" si="15"/>
        <v/>
      </c>
      <c r="BW24" s="150">
        <f t="shared" si="15"/>
        <v>11</v>
      </c>
      <c r="BX24" s="150">
        <f t="shared" si="15"/>
        <v>12</v>
      </c>
      <c r="BY24" s="150" t="str">
        <f t="shared" si="15"/>
        <v/>
      </c>
      <c r="BZ24" s="166">
        <f t="shared" si="15"/>
        <v>11</v>
      </c>
      <c r="CA24" s="186">
        <f>IF(SUM(CA3:CA19) &gt; 0, SUM(CA3:CA19), "")</f>
        <v>12</v>
      </c>
      <c r="CB24" s="150">
        <f t="shared" ref="CB24:CG24" si="16">IF(SUM(CB3:CB19) &gt; 0, SUM(CB3:CB19), "")</f>
        <v>11</v>
      </c>
      <c r="CC24" s="150" t="str">
        <f t="shared" si="16"/>
        <v/>
      </c>
      <c r="CD24" s="150">
        <f t="shared" si="16"/>
        <v>12</v>
      </c>
      <c r="CE24" s="150">
        <f t="shared" si="16"/>
        <v>13</v>
      </c>
      <c r="CF24" s="150">
        <f t="shared" si="16"/>
        <v>12</v>
      </c>
      <c r="CG24" s="166" t="str">
        <f t="shared" si="16"/>
        <v/>
      </c>
      <c r="CH24" s="186">
        <f>IF(SUM(CH3:CH19) &gt; 0, SUM(CH3:CH19), "")</f>
        <v>10</v>
      </c>
      <c r="CI24" s="150">
        <f t="shared" ref="CI24:CN24" si="17">IF(SUM(CI3:CI19) &gt; 0, SUM(CI3:CI19), "")</f>
        <v>12</v>
      </c>
      <c r="CJ24" s="150" t="str">
        <f t="shared" si="17"/>
        <v/>
      </c>
      <c r="CK24" s="150">
        <f t="shared" si="17"/>
        <v>13</v>
      </c>
      <c r="CL24" s="150" t="str">
        <f t="shared" si="17"/>
        <v/>
      </c>
      <c r="CM24" s="150">
        <f t="shared" si="17"/>
        <v>11</v>
      </c>
      <c r="CN24" s="166" t="str">
        <f t="shared" si="17"/>
        <v/>
      </c>
      <c r="CO24" s="186">
        <f>IF(SUM(CO3:CO19) &gt; 0, SUM(CO3:CO19), "")</f>
        <v>12</v>
      </c>
      <c r="CP24" s="150">
        <f t="shared" ref="CP24:CU24" si="18">IF(SUM(CP3:CP19) &gt; 0, SUM(CP3:CP19), "")</f>
        <v>9</v>
      </c>
      <c r="CQ24" s="150">
        <f t="shared" si="18"/>
        <v>5</v>
      </c>
      <c r="CR24" s="150">
        <f t="shared" si="18"/>
        <v>9</v>
      </c>
      <c r="CS24" s="150">
        <f t="shared" si="18"/>
        <v>9</v>
      </c>
      <c r="CT24" s="150">
        <f t="shared" si="18"/>
        <v>12</v>
      </c>
      <c r="CU24" s="166" t="str">
        <f t="shared" si="18"/>
        <v/>
      </c>
      <c r="CV24" s="186">
        <f>IF(SUM(CV3:CV19) &gt; 0, SUM(CV3:CV19), "")</f>
        <v>10</v>
      </c>
      <c r="CW24" s="150">
        <f t="shared" ref="CW24:DB24" si="19">IF(SUM(CW3:CW19) &gt; 0, SUM(CW3:CW19), "")</f>
        <v>12</v>
      </c>
      <c r="CX24" s="150" t="str">
        <f t="shared" si="19"/>
        <v/>
      </c>
      <c r="CY24" s="150">
        <f t="shared" si="19"/>
        <v>8</v>
      </c>
      <c r="CZ24" s="150">
        <f t="shared" si="19"/>
        <v>11</v>
      </c>
      <c r="DA24" s="150" t="str">
        <f t="shared" si="19"/>
        <v/>
      </c>
      <c r="DB24" s="166" t="str">
        <f t="shared" si="19"/>
        <v/>
      </c>
      <c r="DC24" s="186" t="str">
        <f>IF(SUM(DC3:DC19) &gt; 0, SUM(DC3:DC19), "")</f>
        <v/>
      </c>
      <c r="DD24" s="150">
        <f t="shared" ref="DD24:DI24" si="20">IF(SUM(DD3:DD19) &gt; 0, SUM(DD3:DD19), "")</f>
        <v>12</v>
      </c>
      <c r="DE24" s="150" t="str">
        <f t="shared" si="20"/>
        <v/>
      </c>
      <c r="DF24" s="150">
        <f t="shared" si="20"/>
        <v>11</v>
      </c>
      <c r="DG24" s="150">
        <f t="shared" si="20"/>
        <v>11</v>
      </c>
      <c r="DH24" s="150" t="str">
        <f t="shared" si="20"/>
        <v/>
      </c>
      <c r="DI24" s="166" t="str">
        <f t="shared" si="20"/>
        <v/>
      </c>
      <c r="DJ24" s="186">
        <f>IF(SUM(DJ3:DJ19) &gt; 0, SUM(DJ3:DJ19), "")</f>
        <v>11</v>
      </c>
      <c r="DK24" s="150">
        <f t="shared" ref="DK24:DP24" si="21">IF(SUM(DK3:DK19) &gt; 0, SUM(DK3:DK19), "")</f>
        <v>13</v>
      </c>
      <c r="DL24" s="150" t="str">
        <f t="shared" si="21"/>
        <v/>
      </c>
      <c r="DM24" s="150" t="str">
        <f t="shared" si="21"/>
        <v/>
      </c>
      <c r="DN24" s="150" t="str">
        <f t="shared" si="21"/>
        <v/>
      </c>
      <c r="DO24" s="150" t="str">
        <f t="shared" si="21"/>
        <v/>
      </c>
      <c r="DP24" s="166" t="str">
        <f t="shared" si="21"/>
        <v/>
      </c>
      <c r="DQ24" s="186" t="str">
        <f>IF(SUM(DQ3:DQ19) &gt; 0, SUM(DQ3:DQ19), "")</f>
        <v/>
      </c>
      <c r="DR24" s="150" t="str">
        <f t="shared" ref="DR24:DW24" si="22">IF(SUM(DR3:DR19) &gt; 0, SUM(DR3:DR19), "")</f>
        <v/>
      </c>
      <c r="DS24" s="150" t="str">
        <f t="shared" si="22"/>
        <v/>
      </c>
      <c r="DT24" s="150" t="str">
        <f t="shared" si="22"/>
        <v/>
      </c>
      <c r="DU24" s="150" t="str">
        <f t="shared" si="22"/>
        <v/>
      </c>
      <c r="DV24" s="150" t="str">
        <f t="shared" si="22"/>
        <v/>
      </c>
      <c r="DW24" s="166" t="str">
        <f t="shared" si="22"/>
        <v/>
      </c>
      <c r="DX24" s="186" t="str">
        <f>IF(SUM(DX3:DX19) &gt; 0, SUM(DX3:DX19), "")</f>
        <v/>
      </c>
      <c r="DY24" s="150" t="str">
        <f t="shared" ref="DY24:ED24" si="23">IF(SUM(DY3:DY19) &gt; 0, SUM(DY3:DY19), "")</f>
        <v/>
      </c>
      <c r="DZ24" s="150" t="str">
        <f t="shared" si="23"/>
        <v/>
      </c>
      <c r="EA24" s="150" t="str">
        <f t="shared" si="23"/>
        <v/>
      </c>
      <c r="EB24" s="150" t="str">
        <f t="shared" si="23"/>
        <v/>
      </c>
      <c r="EC24" s="150" t="str">
        <f t="shared" si="23"/>
        <v/>
      </c>
      <c r="ED24" s="166" t="str">
        <f t="shared" si="23"/>
        <v/>
      </c>
      <c r="EE24" s="186" t="str">
        <f>IF(SUM(EE3:EE19) &gt; 0, SUM(EE3:EE19), "")</f>
        <v/>
      </c>
      <c r="EF24" s="150" t="str">
        <f t="shared" ref="EF24:EK24" si="24">IF(SUM(EF3:EF19) &gt; 0, SUM(EF3:EF19), "")</f>
        <v/>
      </c>
      <c r="EG24" s="150" t="str">
        <f t="shared" si="24"/>
        <v/>
      </c>
      <c r="EH24" s="150" t="str">
        <f t="shared" si="24"/>
        <v/>
      </c>
      <c r="EI24" s="150" t="str">
        <f t="shared" si="24"/>
        <v/>
      </c>
      <c r="EJ24" s="150" t="str">
        <f t="shared" si="24"/>
        <v/>
      </c>
      <c r="EK24" s="166" t="str">
        <f t="shared" si="24"/>
        <v/>
      </c>
      <c r="EL24" s="186" t="str">
        <f>IF(SUM(EL3:EL19) &gt; 0, SUM(EL3:EL19), "")</f>
        <v/>
      </c>
      <c r="EM24" s="150" t="str">
        <f t="shared" ref="EM24:ER24" si="25">IF(SUM(EM3:EM19) &gt; 0, SUM(EM3:EM19), "")</f>
        <v/>
      </c>
      <c r="EN24" s="150" t="str">
        <f t="shared" si="25"/>
        <v/>
      </c>
      <c r="EO24" s="150" t="str">
        <f t="shared" si="25"/>
        <v/>
      </c>
      <c r="EP24" s="150" t="str">
        <f t="shared" si="25"/>
        <v/>
      </c>
      <c r="EQ24" s="150" t="str">
        <f t="shared" si="25"/>
        <v/>
      </c>
      <c r="ER24" s="166" t="str">
        <f t="shared" si="25"/>
        <v/>
      </c>
      <c r="ES24" s="186" t="str">
        <f>IF(SUM(ES3:ES19) &gt; 0, SUM(ES3:ES19), "")</f>
        <v/>
      </c>
      <c r="ET24" s="150" t="str">
        <f t="shared" ref="ET24:EY24" si="26">IF(SUM(ET3:ET19) &gt; 0, SUM(ET3:ET19), "")</f>
        <v/>
      </c>
      <c r="EU24" s="150" t="str">
        <f t="shared" si="26"/>
        <v/>
      </c>
      <c r="EV24" s="150" t="str">
        <f t="shared" si="26"/>
        <v/>
      </c>
      <c r="EW24" s="150" t="str">
        <f t="shared" si="26"/>
        <v/>
      </c>
      <c r="EX24" s="150" t="str">
        <f t="shared" si="26"/>
        <v/>
      </c>
      <c r="EY24" s="166" t="str">
        <f t="shared" si="26"/>
        <v/>
      </c>
      <c r="EZ24" s="186" t="str">
        <f>IF(SUM(EZ3:EZ19) &gt; 0, SUM(EZ3:EZ19), "")</f>
        <v/>
      </c>
      <c r="FA24" s="150" t="str">
        <f t="shared" ref="FA24:FF24" si="27">IF(SUM(FA3:FA19) &gt; 0, SUM(FA3:FA19), "")</f>
        <v/>
      </c>
      <c r="FB24" s="150" t="str">
        <f t="shared" si="27"/>
        <v/>
      </c>
      <c r="FC24" s="150" t="str">
        <f t="shared" si="27"/>
        <v/>
      </c>
      <c r="FD24" s="150" t="str">
        <f t="shared" si="27"/>
        <v/>
      </c>
      <c r="FE24" s="150" t="str">
        <f t="shared" si="27"/>
        <v/>
      </c>
      <c r="FF24" s="166" t="str">
        <f t="shared" si="27"/>
        <v/>
      </c>
      <c r="FG24" s="186" t="str">
        <f>IF(SUM(FG3:FG19) &gt; 0, SUM(FG3:FG19), "")</f>
        <v/>
      </c>
      <c r="FH24" s="150" t="str">
        <f t="shared" ref="FH24:FM24" si="28">IF(SUM(FH3:FH19) &gt; 0, SUM(FH3:FH19), "")</f>
        <v/>
      </c>
      <c r="FI24" s="150" t="str">
        <f t="shared" si="28"/>
        <v/>
      </c>
      <c r="FJ24" s="150" t="str">
        <f t="shared" si="28"/>
        <v/>
      </c>
      <c r="FK24" s="150" t="str">
        <f t="shared" si="28"/>
        <v/>
      </c>
      <c r="FL24" s="150" t="str">
        <f t="shared" si="28"/>
        <v/>
      </c>
      <c r="FM24" s="166" t="str">
        <f t="shared" si="28"/>
        <v/>
      </c>
      <c r="FN24" s="186" t="str">
        <f>IF(SUM(FN3:FN19) &gt; 0, SUM(FN3:FN19), "")</f>
        <v/>
      </c>
      <c r="FO24" s="150" t="str">
        <f t="shared" ref="FO24:FT24" si="29">IF(SUM(FO3:FO19) &gt; 0, SUM(FO3:FO19), "")</f>
        <v/>
      </c>
      <c r="FP24" s="150" t="str">
        <f t="shared" si="29"/>
        <v/>
      </c>
      <c r="FQ24" s="150" t="str">
        <f t="shared" si="29"/>
        <v/>
      </c>
      <c r="FR24" s="150" t="str">
        <f t="shared" si="29"/>
        <v/>
      </c>
      <c r="FS24" s="150" t="str">
        <f t="shared" si="29"/>
        <v/>
      </c>
      <c r="FT24" s="166" t="str">
        <f t="shared" si="29"/>
        <v/>
      </c>
      <c r="FU24" s="186" t="str">
        <f>IF(SUM(FU3:FU19) &gt; 0, SUM(FU3:FU19), "")</f>
        <v/>
      </c>
      <c r="FV24" s="150" t="str">
        <f t="shared" ref="FV24:GA24" si="30">IF(SUM(FV3:FV19) &gt; 0, SUM(FV3:FV19), "")</f>
        <v/>
      </c>
      <c r="FW24" s="150" t="str">
        <f t="shared" si="30"/>
        <v/>
      </c>
      <c r="FX24" s="150" t="str">
        <f t="shared" si="30"/>
        <v/>
      </c>
      <c r="FY24" s="150" t="str">
        <f t="shared" si="30"/>
        <v/>
      </c>
      <c r="FZ24" s="150" t="str">
        <f t="shared" si="30"/>
        <v/>
      </c>
      <c r="GA24" s="166" t="str">
        <f t="shared" si="30"/>
        <v/>
      </c>
      <c r="GB24" s="186" t="str">
        <f>IF(SUM(GB3:GB19) &gt; 0, SUM(GB3:GB19), "")</f>
        <v/>
      </c>
      <c r="GC24" s="150" t="str">
        <f t="shared" ref="GC24:GH24" si="31">IF(SUM(GC3:GC19) &gt; 0, SUM(GC3:GC19), "")</f>
        <v/>
      </c>
      <c r="GD24" s="150" t="str">
        <f t="shared" si="31"/>
        <v/>
      </c>
      <c r="GE24" s="150" t="str">
        <f t="shared" si="31"/>
        <v/>
      </c>
      <c r="GF24" s="150" t="str">
        <f t="shared" si="31"/>
        <v/>
      </c>
      <c r="GG24" s="150" t="str">
        <f t="shared" si="31"/>
        <v/>
      </c>
      <c r="GH24" s="166" t="str">
        <f t="shared" si="31"/>
        <v/>
      </c>
      <c r="GI24" s="186" t="str">
        <f>IF(SUM(GI3:GI19) &gt; 0, SUM(GI3:GI19), "")</f>
        <v/>
      </c>
      <c r="GJ24" s="150" t="str">
        <f t="shared" ref="GJ24:GO24" si="32">IF(SUM(GJ3:GJ19) &gt; 0, SUM(GJ3:GJ19), "")</f>
        <v/>
      </c>
      <c r="GK24" s="150" t="str">
        <f t="shared" si="32"/>
        <v/>
      </c>
      <c r="GL24" s="150" t="str">
        <f t="shared" si="32"/>
        <v/>
      </c>
      <c r="GM24" s="150" t="str">
        <f t="shared" si="32"/>
        <v/>
      </c>
      <c r="GN24" s="150" t="str">
        <f t="shared" si="32"/>
        <v/>
      </c>
      <c r="GO24" s="166" t="str">
        <f t="shared" si="32"/>
        <v/>
      </c>
      <c r="GP24" s="186" t="str">
        <f>IF(SUM(GP3:GP19) &gt; 0, SUM(GP3:GP19), "")</f>
        <v/>
      </c>
      <c r="GQ24" s="150" t="str">
        <f t="shared" ref="GQ24:GV24" si="33">IF(SUM(GQ3:GQ19) &gt; 0, SUM(GQ3:GQ19), "")</f>
        <v/>
      </c>
      <c r="GR24" s="150" t="str">
        <f t="shared" si="33"/>
        <v/>
      </c>
      <c r="GS24" s="150" t="str">
        <f t="shared" si="33"/>
        <v/>
      </c>
      <c r="GT24" s="150" t="str">
        <f t="shared" si="33"/>
        <v/>
      </c>
      <c r="GU24" s="150" t="str">
        <f t="shared" si="33"/>
        <v/>
      </c>
      <c r="GV24" s="166" t="str">
        <f t="shared" si="33"/>
        <v/>
      </c>
      <c r="GW24" s="186" t="str">
        <f>IF(SUM(GW3:GW19) &gt; 0, SUM(GW3:GW19), "")</f>
        <v/>
      </c>
      <c r="GX24" s="150" t="str">
        <f t="shared" ref="GX24:HC24" si="34">IF(SUM(GX3:GX19) &gt; 0, SUM(GX3:GX19), "")</f>
        <v/>
      </c>
      <c r="GY24" s="150" t="str">
        <f t="shared" si="34"/>
        <v/>
      </c>
      <c r="GZ24" s="150" t="str">
        <f t="shared" si="34"/>
        <v/>
      </c>
      <c r="HA24" s="150" t="str">
        <f t="shared" si="34"/>
        <v/>
      </c>
      <c r="HB24" s="150" t="str">
        <f t="shared" si="34"/>
        <v/>
      </c>
      <c r="HC24" s="166" t="str">
        <f t="shared" si="34"/>
        <v/>
      </c>
      <c r="HD24" s="186" t="str">
        <f>IF(SUM(HD3:HD19) &gt; 0, SUM(HD3:HD19), "")</f>
        <v/>
      </c>
      <c r="HE24" s="150" t="str">
        <f t="shared" ref="HE24:HJ24" si="35">IF(SUM(HE3:HE19) &gt; 0, SUM(HE3:HE19), "")</f>
        <v/>
      </c>
      <c r="HF24" s="150" t="str">
        <f t="shared" si="35"/>
        <v/>
      </c>
      <c r="HG24" s="150" t="str">
        <f t="shared" si="35"/>
        <v/>
      </c>
      <c r="HH24" s="150" t="str">
        <f t="shared" si="35"/>
        <v/>
      </c>
      <c r="HI24" s="150" t="str">
        <f t="shared" si="35"/>
        <v/>
      </c>
      <c r="HJ24" s="166" t="str">
        <f t="shared" si="35"/>
        <v/>
      </c>
      <c r="HK24" s="186" t="str">
        <f>IF(SUM(HK3:HK19) &gt; 0, SUM(HK3:HK19), "")</f>
        <v/>
      </c>
      <c r="HL24" s="150" t="str">
        <f t="shared" ref="HL24:HQ24" si="36">IF(SUM(HL3:HL19) &gt; 0, SUM(HL3:HL19), "")</f>
        <v/>
      </c>
      <c r="HM24" s="150" t="str">
        <f t="shared" si="36"/>
        <v/>
      </c>
      <c r="HN24" s="150" t="str">
        <f t="shared" si="36"/>
        <v/>
      </c>
      <c r="HO24" s="150" t="str">
        <f t="shared" si="36"/>
        <v/>
      </c>
      <c r="HP24" s="150" t="str">
        <f t="shared" si="36"/>
        <v/>
      </c>
      <c r="HQ24" s="166" t="str">
        <f t="shared" si="36"/>
        <v/>
      </c>
      <c r="HR24" s="186" t="str">
        <f>IF(SUM(HR3:HR19) &gt; 0, SUM(HR3:HR19), "")</f>
        <v/>
      </c>
      <c r="HS24" s="150" t="str">
        <f t="shared" ref="HS24:HX24" si="37">IF(SUM(HS3:HS19) &gt; 0, SUM(HS3:HS19), "")</f>
        <v/>
      </c>
      <c r="HT24" s="150" t="str">
        <f t="shared" si="37"/>
        <v/>
      </c>
      <c r="HU24" s="150" t="str">
        <f t="shared" si="37"/>
        <v/>
      </c>
      <c r="HV24" s="150" t="str">
        <f t="shared" si="37"/>
        <v/>
      </c>
      <c r="HW24" s="150" t="str">
        <f t="shared" si="37"/>
        <v/>
      </c>
      <c r="HX24" s="166" t="str">
        <f t="shared" si="37"/>
        <v/>
      </c>
      <c r="HY24" s="186" t="str">
        <f>IF(SUM(HY3:HY19) &gt; 0, SUM(HY3:HY19), "")</f>
        <v/>
      </c>
      <c r="HZ24" s="150" t="str">
        <f t="shared" ref="HZ24:IE24" si="38">IF(SUM(HZ3:HZ19) &gt; 0, SUM(HZ3:HZ19), "")</f>
        <v/>
      </c>
      <c r="IA24" s="150" t="str">
        <f t="shared" si="38"/>
        <v/>
      </c>
      <c r="IB24" s="150" t="str">
        <f t="shared" si="38"/>
        <v/>
      </c>
      <c r="IC24" s="150" t="str">
        <f t="shared" si="38"/>
        <v/>
      </c>
      <c r="ID24" s="150" t="str">
        <f t="shared" si="38"/>
        <v/>
      </c>
      <c r="IE24" s="166" t="str">
        <f t="shared" si="38"/>
        <v/>
      </c>
      <c r="IF24" s="186" t="str">
        <f>IF(SUM(IF3:IF19) &gt; 0, SUM(IF3:IF19), "")</f>
        <v/>
      </c>
      <c r="IG24" s="150" t="str">
        <f t="shared" ref="IG24:IL24" si="39">IF(SUM(IG3:IG19) &gt; 0, SUM(IG3:IG19), "")</f>
        <v/>
      </c>
      <c r="IH24" s="150" t="str">
        <f t="shared" si="39"/>
        <v/>
      </c>
      <c r="II24" s="150" t="str">
        <f t="shared" si="39"/>
        <v/>
      </c>
      <c r="IJ24" s="150" t="str">
        <f t="shared" si="39"/>
        <v/>
      </c>
      <c r="IK24" s="150" t="str">
        <f t="shared" si="39"/>
        <v/>
      </c>
      <c r="IL24" s="166" t="str">
        <f t="shared" si="39"/>
        <v/>
      </c>
      <c r="IM24" s="186" t="str">
        <f>IF(SUM(IM3:IM19) &gt; 0, SUM(IM3:IM19), "")</f>
        <v/>
      </c>
      <c r="IN24" s="150" t="str">
        <f t="shared" ref="IN24:IS24" si="40">IF(SUM(IN3:IN19) &gt; 0, SUM(IN3:IN19), "")</f>
        <v/>
      </c>
      <c r="IO24" s="150" t="str">
        <f t="shared" si="40"/>
        <v/>
      </c>
      <c r="IP24" s="150" t="str">
        <f t="shared" si="40"/>
        <v/>
      </c>
      <c r="IQ24" s="150" t="str">
        <f t="shared" si="40"/>
        <v/>
      </c>
      <c r="IR24" s="150" t="str">
        <f t="shared" si="40"/>
        <v/>
      </c>
      <c r="IS24" s="166" t="str">
        <f t="shared" si="40"/>
        <v/>
      </c>
      <c r="IT24" s="186" t="str">
        <f>IF(SUM(IT3:IT19) &gt; 0, SUM(IT3:IT19), "")</f>
        <v/>
      </c>
      <c r="IU24" s="150" t="str">
        <f t="shared" ref="IU24:IZ24" si="41">IF(SUM(IU3:IU19) &gt; 0, SUM(IU3:IU19), "")</f>
        <v/>
      </c>
      <c r="IV24" s="150" t="str">
        <f t="shared" si="41"/>
        <v/>
      </c>
      <c r="IW24" s="150" t="str">
        <f t="shared" si="41"/>
        <v/>
      </c>
      <c r="IX24" s="150" t="str">
        <f t="shared" si="41"/>
        <v/>
      </c>
      <c r="IY24" s="150" t="str">
        <f t="shared" si="41"/>
        <v/>
      </c>
      <c r="IZ24" s="166" t="str">
        <f t="shared" si="41"/>
        <v/>
      </c>
      <c r="JA24" s="186" t="str">
        <f>IF(SUM(JA3:JA19) &gt; 0, SUM(JA3:JA19), "")</f>
        <v/>
      </c>
      <c r="JB24" s="150" t="str">
        <f t="shared" ref="JB24:JG24" si="42">IF(SUM(JB3:JB19) &gt; 0, SUM(JB3:JB19), "")</f>
        <v/>
      </c>
      <c r="JC24" s="150" t="str">
        <f t="shared" si="42"/>
        <v/>
      </c>
      <c r="JD24" s="150" t="str">
        <f t="shared" si="42"/>
        <v/>
      </c>
      <c r="JE24" s="150" t="str">
        <f t="shared" si="42"/>
        <v/>
      </c>
      <c r="JF24" s="150" t="str">
        <f t="shared" si="42"/>
        <v/>
      </c>
      <c r="JG24" s="166" t="str">
        <f t="shared" si="42"/>
        <v/>
      </c>
    </row>
    <row r="25" spans="1:267" ht="15.75" thickBot="1" x14ac:dyDescent="0.3">
      <c r="A25" s="224" t="s">
        <v>728</v>
      </c>
      <c r="B25" s="225"/>
      <c r="C25" s="225"/>
      <c r="D25" s="225"/>
      <c r="E25" s="225"/>
      <c r="F25" s="225"/>
      <c r="G25" s="225"/>
      <c r="H25" s="226"/>
      <c r="I25" s="180" t="str">
        <f>"#2|" &amp; A25</f>
        <v>#2|Alle</v>
      </c>
      <c r="J25" s="178"/>
      <c r="K25" s="189">
        <f>SUM(K3:K23) / 19</f>
        <v>53.10526315789474</v>
      </c>
      <c r="L25" s="190">
        <f>K25/K$26 * 100</f>
        <v>81.700404858299606</v>
      </c>
      <c r="M25" s="160"/>
      <c r="N25" s="160"/>
      <c r="O25" s="167"/>
      <c r="P25" s="173" t="str">
        <f>IF(SUM(P3:P23) &gt; 0, SUM(P3:P23), "")</f>
        <v/>
      </c>
      <c r="Q25" s="160" t="str">
        <f t="shared" ref="Q25:V25" si="43">IF(SUM(Q3:Q23) &gt; 0, SUM(Q3:Q23), "")</f>
        <v/>
      </c>
      <c r="R25" s="160" t="str">
        <f t="shared" si="43"/>
        <v/>
      </c>
      <c r="S25" s="160" t="str">
        <f t="shared" si="43"/>
        <v/>
      </c>
      <c r="T25" s="160" t="str">
        <f t="shared" si="43"/>
        <v/>
      </c>
      <c r="U25" s="160">
        <f t="shared" si="43"/>
        <v>17</v>
      </c>
      <c r="V25" s="167" t="str">
        <f t="shared" si="43"/>
        <v/>
      </c>
      <c r="W25" s="173">
        <f>IF(SUM(W3:W23) &gt; 0, SUM(W3:W23), "")</f>
        <v>14</v>
      </c>
      <c r="X25" s="160">
        <f t="shared" ref="X25:AC25" si="44">IF(SUM(X3:X23) &gt; 0, SUM(X3:X23), "")</f>
        <v>16</v>
      </c>
      <c r="Y25" s="160" t="str">
        <f t="shared" si="44"/>
        <v/>
      </c>
      <c r="Z25" s="160">
        <f t="shared" si="44"/>
        <v>14</v>
      </c>
      <c r="AA25" s="160">
        <f t="shared" si="44"/>
        <v>16</v>
      </c>
      <c r="AB25" s="160" t="str">
        <f t="shared" si="44"/>
        <v/>
      </c>
      <c r="AC25" s="167" t="str">
        <f t="shared" si="44"/>
        <v/>
      </c>
      <c r="AD25" s="173">
        <f>IF(SUM(AD3:AD23) &gt; 0, SUM(AD3:AD23), "")</f>
        <v>19</v>
      </c>
      <c r="AE25" s="160">
        <f t="shared" ref="AE25:AJ25" si="45">IF(SUM(AE3:AE23) &gt; 0, SUM(AE3:AE23), "")</f>
        <v>16</v>
      </c>
      <c r="AF25" s="160" t="str">
        <f t="shared" si="45"/>
        <v/>
      </c>
      <c r="AG25" s="160">
        <f t="shared" si="45"/>
        <v>14</v>
      </c>
      <c r="AH25" s="160">
        <f t="shared" si="45"/>
        <v>17</v>
      </c>
      <c r="AI25" s="160">
        <f t="shared" si="45"/>
        <v>19</v>
      </c>
      <c r="AJ25" s="167">
        <f t="shared" si="45"/>
        <v>19</v>
      </c>
      <c r="AK25" s="173">
        <f>IF(SUM(AK3:AK23) &gt; 0, SUM(AK3:AK23), "")</f>
        <v>18</v>
      </c>
      <c r="AL25" s="160">
        <f t="shared" ref="AL25:AQ25" si="46">IF(SUM(AL3:AL23) &gt; 0, SUM(AL3:AL23), "")</f>
        <v>19</v>
      </c>
      <c r="AM25" s="160" t="str">
        <f t="shared" si="46"/>
        <v/>
      </c>
      <c r="AN25" s="160">
        <f t="shared" si="46"/>
        <v>17</v>
      </c>
      <c r="AO25" s="160">
        <f t="shared" si="46"/>
        <v>15</v>
      </c>
      <c r="AP25" s="160">
        <f t="shared" si="46"/>
        <v>19</v>
      </c>
      <c r="AQ25" s="167">
        <f t="shared" si="46"/>
        <v>16</v>
      </c>
      <c r="AR25" s="173">
        <f>IF(SUM(AR3:AR23) &gt; 0, SUM(AR3:AR23), "")</f>
        <v>16</v>
      </c>
      <c r="AS25" s="160">
        <f t="shared" ref="AS25:AX25" si="47">IF(SUM(AS3:AS23) &gt; 0, SUM(AS3:AS23), "")</f>
        <v>18</v>
      </c>
      <c r="AT25" s="160" t="str">
        <f t="shared" si="47"/>
        <v/>
      </c>
      <c r="AU25" s="160">
        <f t="shared" si="47"/>
        <v>18</v>
      </c>
      <c r="AV25" s="160">
        <f t="shared" si="47"/>
        <v>18</v>
      </c>
      <c r="AW25" s="160">
        <f t="shared" si="47"/>
        <v>18</v>
      </c>
      <c r="AX25" s="167" t="str">
        <f t="shared" si="47"/>
        <v/>
      </c>
      <c r="AY25" s="173">
        <f>IF(SUM(AY3:AY23) &gt; 0, SUM(AY3:AY23), "")</f>
        <v>18</v>
      </c>
      <c r="AZ25" s="160">
        <f t="shared" ref="AZ25:BE25" si="48">IF(SUM(AZ3:AZ23) &gt; 0, SUM(AZ3:AZ23), "")</f>
        <v>16</v>
      </c>
      <c r="BA25" s="160" t="str">
        <f t="shared" si="48"/>
        <v/>
      </c>
      <c r="BB25" s="160">
        <f t="shared" si="48"/>
        <v>17</v>
      </c>
      <c r="BC25" s="160">
        <f t="shared" si="48"/>
        <v>14</v>
      </c>
      <c r="BD25" s="160" t="str">
        <f t="shared" si="48"/>
        <v/>
      </c>
      <c r="BE25" s="167" t="str">
        <f t="shared" si="48"/>
        <v/>
      </c>
      <c r="BF25" s="173">
        <f>IF(SUM(BF3:BF23) &gt; 0, SUM(BF3:BF23), "")</f>
        <v>17</v>
      </c>
      <c r="BG25" s="160">
        <f t="shared" ref="BG25:BL25" si="49">IF(SUM(BG3:BG23) &gt; 0, SUM(BG3:BG23), "")</f>
        <v>18</v>
      </c>
      <c r="BH25" s="160" t="str">
        <f t="shared" si="49"/>
        <v/>
      </c>
      <c r="BI25" s="160">
        <f t="shared" si="49"/>
        <v>17</v>
      </c>
      <c r="BJ25" s="160">
        <f t="shared" si="49"/>
        <v>16</v>
      </c>
      <c r="BK25" s="160">
        <f t="shared" si="49"/>
        <v>17</v>
      </c>
      <c r="BL25" s="167" t="str">
        <f t="shared" si="49"/>
        <v/>
      </c>
      <c r="BM25" s="173">
        <f>IF(SUM(BM3:BM23) &gt; 0, SUM(BM3:BM23), "")</f>
        <v>18</v>
      </c>
      <c r="BN25" s="160">
        <f t="shared" ref="BN25:BS25" si="50">IF(SUM(BN3:BN23) &gt; 0, SUM(BN3:BN23), "")</f>
        <v>19</v>
      </c>
      <c r="BO25" s="160" t="str">
        <f t="shared" si="50"/>
        <v/>
      </c>
      <c r="BP25" s="160">
        <f t="shared" si="50"/>
        <v>16</v>
      </c>
      <c r="BQ25" s="160">
        <f t="shared" si="50"/>
        <v>15</v>
      </c>
      <c r="BR25" s="160">
        <f t="shared" si="50"/>
        <v>16</v>
      </c>
      <c r="BS25" s="167">
        <f t="shared" si="50"/>
        <v>14</v>
      </c>
      <c r="BT25" s="173">
        <f>IF(SUM(BT3:BT23) &gt; 0, SUM(BT3:BT23), "")</f>
        <v>14</v>
      </c>
      <c r="BU25" s="160">
        <f t="shared" ref="BU25:BZ25" si="51">IF(SUM(BU3:BU23) &gt; 0, SUM(BU3:BU23), "")</f>
        <v>17</v>
      </c>
      <c r="BV25" s="160" t="str">
        <f t="shared" si="51"/>
        <v/>
      </c>
      <c r="BW25" s="160">
        <f t="shared" si="51"/>
        <v>14</v>
      </c>
      <c r="BX25" s="160">
        <f t="shared" si="51"/>
        <v>14</v>
      </c>
      <c r="BY25" s="160" t="str">
        <f t="shared" si="51"/>
        <v/>
      </c>
      <c r="BZ25" s="167">
        <f t="shared" si="51"/>
        <v>13</v>
      </c>
      <c r="CA25" s="173">
        <f>IF(SUM(CA3:CA23) &gt; 0, SUM(CA3:CA23), "")</f>
        <v>15</v>
      </c>
      <c r="CB25" s="160">
        <f t="shared" ref="CB25:CG25" si="52">IF(SUM(CB3:CB23) &gt; 0, SUM(CB3:CB23), "")</f>
        <v>13</v>
      </c>
      <c r="CC25" s="160" t="str">
        <f t="shared" si="52"/>
        <v/>
      </c>
      <c r="CD25" s="160">
        <f t="shared" si="52"/>
        <v>15</v>
      </c>
      <c r="CE25" s="160">
        <f t="shared" si="52"/>
        <v>15</v>
      </c>
      <c r="CF25" s="160">
        <f t="shared" si="52"/>
        <v>13</v>
      </c>
      <c r="CG25" s="167" t="str">
        <f t="shared" si="52"/>
        <v/>
      </c>
      <c r="CH25" s="173">
        <f>IF(SUM(CH3:CH23) &gt; 0, SUM(CH3:CH23), "")</f>
        <v>13</v>
      </c>
      <c r="CI25" s="160">
        <f t="shared" ref="CI25:CN25" si="53">IF(SUM(CI3:CI23) &gt; 0, SUM(CI3:CI23), "")</f>
        <v>15</v>
      </c>
      <c r="CJ25" s="160" t="str">
        <f t="shared" si="53"/>
        <v/>
      </c>
      <c r="CK25" s="160">
        <f t="shared" si="53"/>
        <v>16</v>
      </c>
      <c r="CL25" s="160" t="str">
        <f t="shared" si="53"/>
        <v/>
      </c>
      <c r="CM25" s="160">
        <f t="shared" si="53"/>
        <v>13</v>
      </c>
      <c r="CN25" s="167" t="str">
        <f t="shared" si="53"/>
        <v/>
      </c>
      <c r="CO25" s="173">
        <f>IF(SUM(CO3:CO23) &gt; 0, SUM(CO3:CO23), "")</f>
        <v>15</v>
      </c>
      <c r="CP25" s="160">
        <f t="shared" ref="CP25:CU25" si="54">IF(SUM(CP3:CP23) &gt; 0, SUM(CP3:CP23), "")</f>
        <v>12</v>
      </c>
      <c r="CQ25" s="160">
        <f t="shared" si="54"/>
        <v>5</v>
      </c>
      <c r="CR25" s="160">
        <f t="shared" si="54"/>
        <v>12</v>
      </c>
      <c r="CS25" s="160">
        <f t="shared" si="54"/>
        <v>11</v>
      </c>
      <c r="CT25" s="160">
        <f t="shared" si="54"/>
        <v>13</v>
      </c>
      <c r="CU25" s="167" t="str">
        <f t="shared" si="54"/>
        <v/>
      </c>
      <c r="CV25" s="173">
        <f>IF(SUM(CV3:CV23) &gt; 0, SUM(CV3:CV23), "")</f>
        <v>12</v>
      </c>
      <c r="CW25" s="160">
        <f t="shared" ref="CW25:DB25" si="55">IF(SUM(CW3:CW23) &gt; 0, SUM(CW3:CW23), "")</f>
        <v>14</v>
      </c>
      <c r="CX25" s="160" t="str">
        <f t="shared" si="55"/>
        <v/>
      </c>
      <c r="CY25" s="160">
        <f t="shared" si="55"/>
        <v>10</v>
      </c>
      <c r="CZ25" s="160">
        <f t="shared" si="55"/>
        <v>14</v>
      </c>
      <c r="DA25" s="160" t="str">
        <f t="shared" si="55"/>
        <v/>
      </c>
      <c r="DB25" s="167" t="str">
        <f t="shared" si="55"/>
        <v/>
      </c>
      <c r="DC25" s="173" t="str">
        <f>IF(SUM(DC3:DC23) &gt; 0, SUM(DC3:DC23), "")</f>
        <v/>
      </c>
      <c r="DD25" s="160">
        <f t="shared" ref="DD25:DI25" si="56">IF(SUM(DD3:DD23) &gt; 0, SUM(DD3:DD23), "")</f>
        <v>14</v>
      </c>
      <c r="DE25" s="160" t="str">
        <f t="shared" si="56"/>
        <v/>
      </c>
      <c r="DF25" s="160">
        <f t="shared" si="56"/>
        <v>13</v>
      </c>
      <c r="DG25" s="160">
        <f t="shared" si="56"/>
        <v>13</v>
      </c>
      <c r="DH25" s="160" t="str">
        <f t="shared" si="56"/>
        <v/>
      </c>
      <c r="DI25" s="167" t="str">
        <f t="shared" si="56"/>
        <v/>
      </c>
      <c r="DJ25" s="173">
        <f>IF(SUM(DJ3:DJ23) &gt; 0, SUM(DJ3:DJ23), "")</f>
        <v>14</v>
      </c>
      <c r="DK25" s="160">
        <f t="shared" ref="DK25:DP25" si="57">IF(SUM(DK3:DK23) &gt; 0, SUM(DK3:DK23), "")</f>
        <v>16</v>
      </c>
      <c r="DL25" s="160" t="str">
        <f t="shared" si="57"/>
        <v/>
      </c>
      <c r="DM25" s="160" t="str">
        <f t="shared" si="57"/>
        <v/>
      </c>
      <c r="DN25" s="160" t="str">
        <f t="shared" si="57"/>
        <v/>
      </c>
      <c r="DO25" s="160" t="str">
        <f t="shared" si="57"/>
        <v/>
      </c>
      <c r="DP25" s="167" t="str">
        <f t="shared" si="57"/>
        <v/>
      </c>
      <c r="DQ25" s="173" t="str">
        <f>IF(SUM(DQ3:DQ23) &gt; 0, SUM(DQ3:DQ23), "")</f>
        <v/>
      </c>
      <c r="DR25" s="160" t="str">
        <f t="shared" ref="DR25:DW25" si="58">IF(SUM(DR3:DR23) &gt; 0, SUM(DR3:DR23), "")</f>
        <v/>
      </c>
      <c r="DS25" s="160" t="str">
        <f t="shared" si="58"/>
        <v/>
      </c>
      <c r="DT25" s="160" t="str">
        <f t="shared" si="58"/>
        <v/>
      </c>
      <c r="DU25" s="160" t="str">
        <f t="shared" si="58"/>
        <v/>
      </c>
      <c r="DV25" s="160" t="str">
        <f t="shared" si="58"/>
        <v/>
      </c>
      <c r="DW25" s="167" t="str">
        <f t="shared" si="58"/>
        <v/>
      </c>
      <c r="DX25" s="173" t="str">
        <f>IF(SUM(DX3:DX23) &gt; 0, SUM(DX3:DX23), "")</f>
        <v/>
      </c>
      <c r="DY25" s="160" t="str">
        <f t="shared" ref="DY25:ED25" si="59">IF(SUM(DY3:DY23) &gt; 0, SUM(DY3:DY23), "")</f>
        <v/>
      </c>
      <c r="DZ25" s="160" t="str">
        <f t="shared" si="59"/>
        <v/>
      </c>
      <c r="EA25" s="160" t="str">
        <f t="shared" si="59"/>
        <v/>
      </c>
      <c r="EB25" s="160" t="str">
        <f t="shared" si="59"/>
        <v/>
      </c>
      <c r="EC25" s="160" t="str">
        <f t="shared" si="59"/>
        <v/>
      </c>
      <c r="ED25" s="167" t="str">
        <f t="shared" si="59"/>
        <v/>
      </c>
      <c r="EE25" s="173" t="str">
        <f>IF(SUM(EE3:EE23) &gt; 0, SUM(EE3:EE23), "")</f>
        <v/>
      </c>
      <c r="EF25" s="160" t="str">
        <f t="shared" ref="EF25:EK25" si="60">IF(SUM(EF3:EF23) &gt; 0, SUM(EF3:EF23), "")</f>
        <v/>
      </c>
      <c r="EG25" s="160" t="str">
        <f t="shared" si="60"/>
        <v/>
      </c>
      <c r="EH25" s="160" t="str">
        <f t="shared" si="60"/>
        <v/>
      </c>
      <c r="EI25" s="160" t="str">
        <f t="shared" si="60"/>
        <v/>
      </c>
      <c r="EJ25" s="160" t="str">
        <f t="shared" si="60"/>
        <v/>
      </c>
      <c r="EK25" s="167" t="str">
        <f t="shared" si="60"/>
        <v/>
      </c>
      <c r="EL25" s="173" t="str">
        <f>IF(SUM(EL3:EL23) &gt; 0, SUM(EL3:EL23), "")</f>
        <v/>
      </c>
      <c r="EM25" s="160" t="str">
        <f t="shared" ref="EM25:ER25" si="61">IF(SUM(EM3:EM23) &gt; 0, SUM(EM3:EM23), "")</f>
        <v/>
      </c>
      <c r="EN25" s="160" t="str">
        <f t="shared" si="61"/>
        <v/>
      </c>
      <c r="EO25" s="160" t="str">
        <f t="shared" si="61"/>
        <v/>
      </c>
      <c r="EP25" s="160" t="str">
        <f t="shared" si="61"/>
        <v/>
      </c>
      <c r="EQ25" s="160" t="str">
        <f t="shared" si="61"/>
        <v/>
      </c>
      <c r="ER25" s="167" t="str">
        <f t="shared" si="61"/>
        <v/>
      </c>
      <c r="ES25" s="173" t="str">
        <f>IF(SUM(ES3:ES23) &gt; 0, SUM(ES3:ES23), "")</f>
        <v/>
      </c>
      <c r="ET25" s="160" t="str">
        <f t="shared" ref="ET25:EY25" si="62">IF(SUM(ET3:ET23) &gt; 0, SUM(ET3:ET23), "")</f>
        <v/>
      </c>
      <c r="EU25" s="160" t="str">
        <f t="shared" si="62"/>
        <v/>
      </c>
      <c r="EV25" s="160" t="str">
        <f t="shared" si="62"/>
        <v/>
      </c>
      <c r="EW25" s="160" t="str">
        <f t="shared" si="62"/>
        <v/>
      </c>
      <c r="EX25" s="160" t="str">
        <f t="shared" si="62"/>
        <v/>
      </c>
      <c r="EY25" s="167" t="str">
        <f t="shared" si="62"/>
        <v/>
      </c>
      <c r="EZ25" s="173" t="str">
        <f>IF(SUM(EZ3:EZ23) &gt; 0, SUM(EZ3:EZ23), "")</f>
        <v/>
      </c>
      <c r="FA25" s="160" t="str">
        <f t="shared" ref="FA25:FF25" si="63">IF(SUM(FA3:FA23) &gt; 0, SUM(FA3:FA23), "")</f>
        <v/>
      </c>
      <c r="FB25" s="160" t="str">
        <f t="shared" si="63"/>
        <v/>
      </c>
      <c r="FC25" s="160" t="str">
        <f t="shared" si="63"/>
        <v/>
      </c>
      <c r="FD25" s="160" t="str">
        <f t="shared" si="63"/>
        <v/>
      </c>
      <c r="FE25" s="160" t="str">
        <f t="shared" si="63"/>
        <v/>
      </c>
      <c r="FF25" s="167" t="str">
        <f t="shared" si="63"/>
        <v/>
      </c>
      <c r="FG25" s="173" t="str">
        <f>IF(SUM(FG3:FG23) &gt; 0, SUM(FG3:FG23), "")</f>
        <v/>
      </c>
      <c r="FH25" s="160" t="str">
        <f t="shared" ref="FH25:FM25" si="64">IF(SUM(FH3:FH23) &gt; 0, SUM(FH3:FH23), "")</f>
        <v/>
      </c>
      <c r="FI25" s="160" t="str">
        <f t="shared" si="64"/>
        <v/>
      </c>
      <c r="FJ25" s="160" t="str">
        <f t="shared" si="64"/>
        <v/>
      </c>
      <c r="FK25" s="160" t="str">
        <f t="shared" si="64"/>
        <v/>
      </c>
      <c r="FL25" s="160" t="str">
        <f t="shared" si="64"/>
        <v/>
      </c>
      <c r="FM25" s="167" t="str">
        <f t="shared" si="64"/>
        <v/>
      </c>
      <c r="FN25" s="173" t="str">
        <f>IF(SUM(FN3:FN23) &gt; 0, SUM(FN3:FN23), "")</f>
        <v/>
      </c>
      <c r="FO25" s="160" t="str">
        <f t="shared" ref="FO25:FT25" si="65">IF(SUM(FO3:FO23) &gt; 0, SUM(FO3:FO23), "")</f>
        <v/>
      </c>
      <c r="FP25" s="160" t="str">
        <f t="shared" si="65"/>
        <v/>
      </c>
      <c r="FQ25" s="160" t="str">
        <f t="shared" si="65"/>
        <v/>
      </c>
      <c r="FR25" s="160" t="str">
        <f t="shared" si="65"/>
        <v/>
      </c>
      <c r="FS25" s="160" t="str">
        <f t="shared" si="65"/>
        <v/>
      </c>
      <c r="FT25" s="167" t="str">
        <f t="shared" si="65"/>
        <v/>
      </c>
      <c r="FU25" s="173" t="str">
        <f>IF(SUM(FU3:FU23) &gt; 0, SUM(FU3:FU23), "")</f>
        <v/>
      </c>
      <c r="FV25" s="160" t="str">
        <f t="shared" ref="FV25:GA25" si="66">IF(SUM(FV3:FV23) &gt; 0, SUM(FV3:FV23), "")</f>
        <v/>
      </c>
      <c r="FW25" s="160" t="str">
        <f t="shared" si="66"/>
        <v/>
      </c>
      <c r="FX25" s="160" t="str">
        <f t="shared" si="66"/>
        <v/>
      </c>
      <c r="FY25" s="160" t="str">
        <f t="shared" si="66"/>
        <v/>
      </c>
      <c r="FZ25" s="160" t="str">
        <f t="shared" si="66"/>
        <v/>
      </c>
      <c r="GA25" s="167" t="str">
        <f t="shared" si="66"/>
        <v/>
      </c>
      <c r="GB25" s="173" t="str">
        <f>IF(SUM(GB3:GB23) &gt; 0, SUM(GB3:GB23), "")</f>
        <v/>
      </c>
      <c r="GC25" s="160" t="str">
        <f t="shared" ref="GC25:GH25" si="67">IF(SUM(GC3:GC23) &gt; 0, SUM(GC3:GC23), "")</f>
        <v/>
      </c>
      <c r="GD25" s="160" t="str">
        <f t="shared" si="67"/>
        <v/>
      </c>
      <c r="GE25" s="160" t="str">
        <f t="shared" si="67"/>
        <v/>
      </c>
      <c r="GF25" s="160" t="str">
        <f t="shared" si="67"/>
        <v/>
      </c>
      <c r="GG25" s="160" t="str">
        <f t="shared" si="67"/>
        <v/>
      </c>
      <c r="GH25" s="167" t="str">
        <f t="shared" si="67"/>
        <v/>
      </c>
      <c r="GI25" s="173" t="str">
        <f>IF(SUM(GI3:GI23) &gt; 0, SUM(GI3:GI23), "")</f>
        <v/>
      </c>
      <c r="GJ25" s="160" t="str">
        <f t="shared" ref="GJ25:GO25" si="68">IF(SUM(GJ3:GJ23) &gt; 0, SUM(GJ3:GJ23), "")</f>
        <v/>
      </c>
      <c r="GK25" s="160" t="str">
        <f t="shared" si="68"/>
        <v/>
      </c>
      <c r="GL25" s="160" t="str">
        <f t="shared" si="68"/>
        <v/>
      </c>
      <c r="GM25" s="160" t="str">
        <f t="shared" si="68"/>
        <v/>
      </c>
      <c r="GN25" s="160" t="str">
        <f t="shared" si="68"/>
        <v/>
      </c>
      <c r="GO25" s="167" t="str">
        <f t="shared" si="68"/>
        <v/>
      </c>
      <c r="GP25" s="173" t="str">
        <f>IF(SUM(GP3:GP23) &gt; 0, SUM(GP3:GP23), "")</f>
        <v/>
      </c>
      <c r="GQ25" s="160" t="str">
        <f t="shared" ref="GQ25:GV25" si="69">IF(SUM(GQ3:GQ23) &gt; 0, SUM(GQ3:GQ23), "")</f>
        <v/>
      </c>
      <c r="GR25" s="160" t="str">
        <f t="shared" si="69"/>
        <v/>
      </c>
      <c r="GS25" s="160" t="str">
        <f t="shared" si="69"/>
        <v/>
      </c>
      <c r="GT25" s="160" t="str">
        <f t="shared" si="69"/>
        <v/>
      </c>
      <c r="GU25" s="160" t="str">
        <f t="shared" si="69"/>
        <v/>
      </c>
      <c r="GV25" s="167" t="str">
        <f t="shared" si="69"/>
        <v/>
      </c>
      <c r="GW25" s="173" t="str">
        <f>IF(SUM(GW3:GW23) &gt; 0, SUM(GW3:GW23), "")</f>
        <v/>
      </c>
      <c r="GX25" s="160" t="str">
        <f t="shared" ref="GX25:HC25" si="70">IF(SUM(GX3:GX23) &gt; 0, SUM(GX3:GX23), "")</f>
        <v/>
      </c>
      <c r="GY25" s="160" t="str">
        <f t="shared" si="70"/>
        <v/>
      </c>
      <c r="GZ25" s="160" t="str">
        <f t="shared" si="70"/>
        <v/>
      </c>
      <c r="HA25" s="160" t="str">
        <f t="shared" si="70"/>
        <v/>
      </c>
      <c r="HB25" s="160" t="str">
        <f t="shared" si="70"/>
        <v/>
      </c>
      <c r="HC25" s="167" t="str">
        <f t="shared" si="70"/>
        <v/>
      </c>
      <c r="HD25" s="173" t="str">
        <f>IF(SUM(HD3:HD23) &gt; 0, SUM(HD3:HD23), "")</f>
        <v/>
      </c>
      <c r="HE25" s="160" t="str">
        <f t="shared" ref="HE25:HJ25" si="71">IF(SUM(HE3:HE23) &gt; 0, SUM(HE3:HE23), "")</f>
        <v/>
      </c>
      <c r="HF25" s="160" t="str">
        <f t="shared" si="71"/>
        <v/>
      </c>
      <c r="HG25" s="160" t="str">
        <f t="shared" si="71"/>
        <v/>
      </c>
      <c r="HH25" s="160" t="str">
        <f t="shared" si="71"/>
        <v/>
      </c>
      <c r="HI25" s="160" t="str">
        <f t="shared" si="71"/>
        <v/>
      </c>
      <c r="HJ25" s="167" t="str">
        <f t="shared" si="71"/>
        <v/>
      </c>
      <c r="HK25" s="173" t="str">
        <f>IF(SUM(HK3:HK23) &gt; 0, SUM(HK3:HK23), "")</f>
        <v/>
      </c>
      <c r="HL25" s="160" t="str">
        <f t="shared" ref="HL25:HQ25" si="72">IF(SUM(HL3:HL23) &gt; 0, SUM(HL3:HL23), "")</f>
        <v/>
      </c>
      <c r="HM25" s="160" t="str">
        <f t="shared" si="72"/>
        <v/>
      </c>
      <c r="HN25" s="160" t="str">
        <f t="shared" si="72"/>
        <v/>
      </c>
      <c r="HO25" s="160" t="str">
        <f t="shared" si="72"/>
        <v/>
      </c>
      <c r="HP25" s="160" t="str">
        <f t="shared" si="72"/>
        <v/>
      </c>
      <c r="HQ25" s="167" t="str">
        <f t="shared" si="72"/>
        <v/>
      </c>
      <c r="HR25" s="173" t="str">
        <f>IF(SUM(HR3:HR23) &gt; 0, SUM(HR3:HR23), "")</f>
        <v/>
      </c>
      <c r="HS25" s="160" t="str">
        <f t="shared" ref="HS25:HX25" si="73">IF(SUM(HS3:HS23) &gt; 0, SUM(HS3:HS23), "")</f>
        <v/>
      </c>
      <c r="HT25" s="160" t="str">
        <f t="shared" si="73"/>
        <v/>
      </c>
      <c r="HU25" s="160" t="str">
        <f t="shared" si="73"/>
        <v/>
      </c>
      <c r="HV25" s="160" t="str">
        <f t="shared" si="73"/>
        <v/>
      </c>
      <c r="HW25" s="160" t="str">
        <f t="shared" si="73"/>
        <v/>
      </c>
      <c r="HX25" s="167" t="str">
        <f t="shared" si="73"/>
        <v/>
      </c>
      <c r="HY25" s="173" t="str">
        <f>IF(SUM(HY3:HY23) &gt; 0, SUM(HY3:HY23), "")</f>
        <v/>
      </c>
      <c r="HZ25" s="160" t="str">
        <f t="shared" ref="HZ25:IE25" si="74">IF(SUM(HZ3:HZ23) &gt; 0, SUM(HZ3:HZ23), "")</f>
        <v/>
      </c>
      <c r="IA25" s="160" t="str">
        <f t="shared" si="74"/>
        <v/>
      </c>
      <c r="IB25" s="160" t="str">
        <f t="shared" si="74"/>
        <v/>
      </c>
      <c r="IC25" s="160" t="str">
        <f t="shared" si="74"/>
        <v/>
      </c>
      <c r="ID25" s="160" t="str">
        <f t="shared" si="74"/>
        <v/>
      </c>
      <c r="IE25" s="167" t="str">
        <f t="shared" si="74"/>
        <v/>
      </c>
      <c r="IF25" s="173" t="str">
        <f>IF(SUM(IF3:IF23) &gt; 0, SUM(IF3:IF23), "")</f>
        <v/>
      </c>
      <c r="IG25" s="160" t="str">
        <f t="shared" ref="IG25:IL25" si="75">IF(SUM(IG3:IG23) &gt; 0, SUM(IG3:IG23), "")</f>
        <v/>
      </c>
      <c r="IH25" s="160" t="str">
        <f t="shared" si="75"/>
        <v/>
      </c>
      <c r="II25" s="160" t="str">
        <f t="shared" si="75"/>
        <v/>
      </c>
      <c r="IJ25" s="160" t="str">
        <f t="shared" si="75"/>
        <v/>
      </c>
      <c r="IK25" s="160" t="str">
        <f t="shared" si="75"/>
        <v/>
      </c>
      <c r="IL25" s="167" t="str">
        <f t="shared" si="75"/>
        <v/>
      </c>
      <c r="IM25" s="173" t="str">
        <f>IF(SUM(IM3:IM23) &gt; 0, SUM(IM3:IM23), "")</f>
        <v/>
      </c>
      <c r="IN25" s="160" t="str">
        <f t="shared" ref="IN25:IS25" si="76">IF(SUM(IN3:IN23) &gt; 0, SUM(IN3:IN23), "")</f>
        <v/>
      </c>
      <c r="IO25" s="160" t="str">
        <f t="shared" si="76"/>
        <v/>
      </c>
      <c r="IP25" s="160" t="str">
        <f t="shared" si="76"/>
        <v/>
      </c>
      <c r="IQ25" s="160" t="str">
        <f t="shared" si="76"/>
        <v/>
      </c>
      <c r="IR25" s="160" t="str">
        <f t="shared" si="76"/>
        <v/>
      </c>
      <c r="IS25" s="167" t="str">
        <f t="shared" si="76"/>
        <v/>
      </c>
      <c r="IT25" s="173" t="str">
        <f>IF(SUM(IT3:IT23) &gt; 0, SUM(IT3:IT23), "")</f>
        <v/>
      </c>
      <c r="IU25" s="160" t="str">
        <f t="shared" ref="IU25:IZ25" si="77">IF(SUM(IU3:IU23) &gt; 0, SUM(IU3:IU23), "")</f>
        <v/>
      </c>
      <c r="IV25" s="160" t="str">
        <f t="shared" si="77"/>
        <v/>
      </c>
      <c r="IW25" s="160" t="str">
        <f t="shared" si="77"/>
        <v/>
      </c>
      <c r="IX25" s="160" t="str">
        <f t="shared" si="77"/>
        <v/>
      </c>
      <c r="IY25" s="160" t="str">
        <f t="shared" si="77"/>
        <v/>
      </c>
      <c r="IZ25" s="167" t="str">
        <f t="shared" si="77"/>
        <v/>
      </c>
      <c r="JA25" s="173" t="str">
        <f>IF(SUM(JA3:JA23) &gt; 0, SUM(JA3:JA23), "")</f>
        <v/>
      </c>
      <c r="JB25" s="160" t="str">
        <f t="shared" ref="JB25:JG25" si="78">IF(SUM(JB3:JB23) &gt; 0, SUM(JB3:JB23), "")</f>
        <v/>
      </c>
      <c r="JC25" s="160" t="str">
        <f t="shared" si="78"/>
        <v/>
      </c>
      <c r="JD25" s="160" t="str">
        <f t="shared" si="78"/>
        <v/>
      </c>
      <c r="JE25" s="160" t="str">
        <f t="shared" si="78"/>
        <v/>
      </c>
      <c r="JF25" s="160" t="str">
        <f t="shared" si="78"/>
        <v/>
      </c>
      <c r="JG25" s="167" t="str">
        <f t="shared" si="78"/>
        <v/>
      </c>
    </row>
    <row r="26" spans="1:267" ht="15.75" thickBot="1" x14ac:dyDescent="0.3">
      <c r="A26" s="110" t="s">
        <v>18</v>
      </c>
      <c r="B26" s="16" t="s">
        <v>648</v>
      </c>
      <c r="C26" s="16" t="s">
        <v>648</v>
      </c>
      <c r="D26" s="16" t="s">
        <v>648</v>
      </c>
      <c r="E26" s="16"/>
      <c r="F26" s="16"/>
      <c r="G26" s="16"/>
      <c r="H26" s="17" t="s">
        <v>648</v>
      </c>
      <c r="I26" s="179"/>
      <c r="J26" s="184" t="s">
        <v>648</v>
      </c>
      <c r="K26" s="179">
        <f t="shared" ref="K26" si="79">SUM(M26:IU26)</f>
        <v>65</v>
      </c>
      <c r="L26" s="172" t="s">
        <v>648</v>
      </c>
      <c r="M26" s="170"/>
      <c r="N26" s="170"/>
      <c r="O26" s="172"/>
      <c r="P26" s="170"/>
      <c r="Q26" s="170"/>
      <c r="R26" s="170"/>
      <c r="S26" s="170"/>
      <c r="T26" s="168"/>
      <c r="U26" s="168">
        <v>1</v>
      </c>
      <c r="V26" s="172"/>
      <c r="W26" s="168">
        <v>1</v>
      </c>
      <c r="X26" s="168">
        <v>1</v>
      </c>
      <c r="Y26" s="168"/>
      <c r="Z26" s="168">
        <v>1</v>
      </c>
      <c r="AA26" s="168">
        <v>1</v>
      </c>
      <c r="AB26" s="168"/>
      <c r="AC26" s="172"/>
      <c r="AD26" s="170">
        <v>1</v>
      </c>
      <c r="AE26" s="170">
        <v>1</v>
      </c>
      <c r="AF26" s="170"/>
      <c r="AG26" s="170">
        <v>1</v>
      </c>
      <c r="AH26" s="170">
        <v>1</v>
      </c>
      <c r="AI26" s="170">
        <v>1</v>
      </c>
      <c r="AJ26" s="172">
        <v>1</v>
      </c>
      <c r="AK26" s="170">
        <v>1</v>
      </c>
      <c r="AL26" s="170">
        <v>1</v>
      </c>
      <c r="AM26" s="170"/>
      <c r="AN26" s="170">
        <v>1</v>
      </c>
      <c r="AO26" s="170">
        <v>1</v>
      </c>
      <c r="AP26" s="170">
        <v>1</v>
      </c>
      <c r="AQ26" s="172">
        <v>1</v>
      </c>
      <c r="AR26" s="170">
        <v>1</v>
      </c>
      <c r="AS26" s="170">
        <v>1</v>
      </c>
      <c r="AT26" s="170"/>
      <c r="AU26" s="170">
        <v>1</v>
      </c>
      <c r="AV26" s="170">
        <v>1</v>
      </c>
      <c r="AW26" s="170">
        <v>1</v>
      </c>
      <c r="AX26" s="172"/>
      <c r="AY26" s="170">
        <v>1</v>
      </c>
      <c r="AZ26" s="170">
        <v>1</v>
      </c>
      <c r="BA26" s="170"/>
      <c r="BB26" s="170">
        <v>1</v>
      </c>
      <c r="BC26" s="170">
        <v>1</v>
      </c>
      <c r="BD26" s="170"/>
      <c r="BE26" s="172"/>
      <c r="BF26" s="170">
        <v>1</v>
      </c>
      <c r="BG26" s="170">
        <v>1</v>
      </c>
      <c r="BH26" s="170"/>
      <c r="BI26" s="170">
        <v>1</v>
      </c>
      <c r="BJ26" s="170">
        <v>1</v>
      </c>
      <c r="BK26" s="170">
        <v>1</v>
      </c>
      <c r="BL26" s="172"/>
      <c r="BM26" s="170">
        <v>1</v>
      </c>
      <c r="BN26" s="170">
        <v>1</v>
      </c>
      <c r="BO26" s="170"/>
      <c r="BP26" s="170">
        <v>1</v>
      </c>
      <c r="BQ26" s="170">
        <v>1</v>
      </c>
      <c r="BR26" s="170">
        <v>1</v>
      </c>
      <c r="BS26" s="172">
        <v>1</v>
      </c>
      <c r="BT26" s="170">
        <v>1</v>
      </c>
      <c r="BU26" s="170">
        <v>1</v>
      </c>
      <c r="BV26" s="170"/>
      <c r="BW26" s="170">
        <v>1</v>
      </c>
      <c r="BX26" s="170">
        <v>1</v>
      </c>
      <c r="BY26" s="170"/>
      <c r="BZ26" s="172">
        <v>1</v>
      </c>
      <c r="CA26" s="170">
        <v>1</v>
      </c>
      <c r="CB26" s="170">
        <v>1</v>
      </c>
      <c r="CC26" s="170"/>
      <c r="CD26" s="170">
        <v>1</v>
      </c>
      <c r="CE26" s="170">
        <v>1</v>
      </c>
      <c r="CF26" s="170">
        <v>1</v>
      </c>
      <c r="CG26" s="172"/>
      <c r="CH26" s="170">
        <v>1</v>
      </c>
      <c r="CI26" s="170">
        <v>1</v>
      </c>
      <c r="CJ26" s="170"/>
      <c r="CK26" s="170">
        <v>1</v>
      </c>
      <c r="CL26" s="170"/>
      <c r="CM26" s="170">
        <v>1</v>
      </c>
      <c r="CN26" s="172"/>
      <c r="CO26" s="170">
        <v>1</v>
      </c>
      <c r="CP26" s="170">
        <v>1</v>
      </c>
      <c r="CQ26" s="170"/>
      <c r="CR26" s="170">
        <v>1</v>
      </c>
      <c r="CS26" s="170">
        <v>1</v>
      </c>
      <c r="CT26" s="170">
        <v>1</v>
      </c>
      <c r="CU26" s="172"/>
      <c r="CV26" s="170">
        <v>1</v>
      </c>
      <c r="CW26" s="170">
        <v>1</v>
      </c>
      <c r="CX26" s="170"/>
      <c r="CY26" s="170">
        <v>1</v>
      </c>
      <c r="CZ26" s="170">
        <v>1</v>
      </c>
      <c r="DA26" s="170"/>
      <c r="DB26" s="172"/>
      <c r="DC26" s="170"/>
      <c r="DD26" s="170">
        <v>1</v>
      </c>
      <c r="DE26" s="170"/>
      <c r="DF26" s="170">
        <v>1</v>
      </c>
      <c r="DG26" s="170">
        <v>1</v>
      </c>
      <c r="DH26" s="170"/>
      <c r="DI26" s="172"/>
      <c r="DJ26" s="170">
        <v>1</v>
      </c>
      <c r="DK26" s="170">
        <v>1</v>
      </c>
      <c r="DL26" s="170"/>
      <c r="DM26" s="170"/>
      <c r="DN26" s="170"/>
      <c r="DO26" s="170"/>
      <c r="DP26" s="172"/>
      <c r="DQ26" s="170"/>
      <c r="DR26" s="170"/>
      <c r="DS26" s="170"/>
      <c r="DT26" s="170"/>
      <c r="DU26" s="170"/>
      <c r="DV26" s="170"/>
      <c r="DW26" s="172"/>
      <c r="DX26" s="170"/>
      <c r="DY26" s="170"/>
      <c r="DZ26" s="170"/>
      <c r="EA26" s="170"/>
      <c r="EB26" s="170"/>
      <c r="EC26" s="170"/>
      <c r="ED26" s="172"/>
      <c r="EE26" s="170"/>
      <c r="EF26" s="170"/>
      <c r="EG26" s="170"/>
      <c r="EH26" s="170"/>
      <c r="EI26" s="170"/>
      <c r="EJ26" s="170"/>
      <c r="EK26" s="172"/>
      <c r="EL26" s="170"/>
      <c r="EM26" s="170"/>
      <c r="EN26" s="170"/>
      <c r="EO26" s="170"/>
      <c r="EP26" s="170"/>
      <c r="EQ26" s="170"/>
      <c r="ER26" s="172"/>
      <c r="ES26" s="170"/>
      <c r="ET26" s="170"/>
      <c r="EU26" s="170"/>
      <c r="EV26" s="170"/>
      <c r="EW26" s="170"/>
      <c r="EX26" s="170"/>
      <c r="EY26" s="172"/>
      <c r="EZ26" s="170"/>
      <c r="FA26" s="170"/>
      <c r="FB26" s="170"/>
      <c r="FC26" s="170"/>
      <c r="FD26" s="170"/>
      <c r="FE26" s="170"/>
      <c r="FF26" s="172"/>
      <c r="FG26" s="170"/>
      <c r="FH26" s="170"/>
      <c r="FI26" s="170"/>
      <c r="FJ26" s="170"/>
      <c r="FK26" s="170"/>
      <c r="FL26" s="170"/>
      <c r="FM26" s="172"/>
      <c r="FN26" s="170"/>
      <c r="FO26" s="170"/>
      <c r="FP26" s="170"/>
      <c r="FQ26" s="170"/>
      <c r="FR26" s="170"/>
      <c r="FS26" s="170"/>
      <c r="FT26" s="172"/>
      <c r="FU26" s="170"/>
      <c r="FV26" s="170"/>
      <c r="FW26" s="170"/>
      <c r="FX26" s="170"/>
      <c r="FY26" s="170"/>
      <c r="FZ26" s="170"/>
      <c r="GA26" s="172"/>
      <c r="GB26" s="170"/>
      <c r="GC26" s="170"/>
      <c r="GD26" s="170"/>
      <c r="GE26" s="170"/>
      <c r="GF26" s="170"/>
      <c r="GG26" s="170"/>
      <c r="GH26" s="172"/>
      <c r="GI26" s="170"/>
      <c r="GJ26" s="170"/>
      <c r="GK26" s="170"/>
      <c r="GL26" s="170"/>
      <c r="GM26" s="170"/>
      <c r="GN26" s="170"/>
      <c r="GO26" s="172"/>
      <c r="GP26" s="170"/>
      <c r="GQ26" s="170"/>
      <c r="GR26" s="170"/>
      <c r="GS26" s="170"/>
      <c r="GT26" s="170"/>
      <c r="GU26" s="170"/>
      <c r="GV26" s="172"/>
      <c r="GW26" s="170"/>
      <c r="GX26" s="170"/>
      <c r="GY26" s="170"/>
      <c r="GZ26" s="170"/>
      <c r="HA26" s="170"/>
      <c r="HB26" s="170"/>
      <c r="HC26" s="172"/>
      <c r="HD26" s="170"/>
      <c r="HE26" s="170"/>
      <c r="HF26" s="170"/>
      <c r="HG26" s="170"/>
      <c r="HH26" s="170"/>
      <c r="HI26" s="170"/>
      <c r="HJ26" s="172"/>
      <c r="HK26" s="170"/>
      <c r="HL26" s="170"/>
      <c r="HM26" s="170"/>
      <c r="HN26" s="170"/>
      <c r="HO26" s="170"/>
      <c r="HP26" s="170"/>
      <c r="HQ26" s="172"/>
      <c r="HR26" s="170"/>
      <c r="HS26" s="170"/>
      <c r="HT26" s="170"/>
      <c r="HU26" s="170"/>
      <c r="HV26" s="170"/>
      <c r="HW26" s="170"/>
      <c r="HX26" s="172"/>
      <c r="HY26" s="170"/>
      <c r="HZ26" s="170"/>
      <c r="IA26" s="170"/>
      <c r="IB26" s="170"/>
      <c r="IC26" s="170"/>
      <c r="ID26" s="170"/>
      <c r="IE26" s="172"/>
      <c r="IF26" s="170"/>
      <c r="IG26" s="170"/>
      <c r="IH26" s="170"/>
      <c r="II26" s="170"/>
      <c r="IJ26" s="170"/>
      <c r="IK26" s="170"/>
      <c r="IL26" s="172"/>
      <c r="IM26" s="170"/>
      <c r="IN26" s="170"/>
      <c r="IO26" s="170"/>
      <c r="IP26" s="170"/>
      <c r="IQ26" s="170"/>
      <c r="IR26" s="170"/>
      <c r="IS26" s="172"/>
      <c r="IT26" s="170"/>
      <c r="IU26" s="170"/>
      <c r="IV26" s="34"/>
    </row>
    <row r="28" spans="1:267" x14ac:dyDescent="0.25">
      <c r="C28" t="s">
        <v>722</v>
      </c>
      <c r="D28" t="s">
        <v>723</v>
      </c>
      <c r="H28" t="s">
        <v>750</v>
      </c>
      <c r="M28" t="s">
        <v>753</v>
      </c>
      <c r="U28" t="s">
        <v>650</v>
      </c>
      <c r="AI28" t="s">
        <v>650</v>
      </c>
      <c r="AP28" t="s">
        <v>650</v>
      </c>
      <c r="AV28" t="s">
        <v>778</v>
      </c>
      <c r="BC28" t="s">
        <v>778</v>
      </c>
      <c r="BJ28" t="s">
        <v>778</v>
      </c>
      <c r="BQ28" t="s">
        <v>778</v>
      </c>
      <c r="BZ28" t="s">
        <v>840</v>
      </c>
      <c r="CF28" t="s">
        <v>847</v>
      </c>
      <c r="CL28" t="s">
        <v>862</v>
      </c>
    </row>
    <row r="29" spans="1:267" x14ac:dyDescent="0.25">
      <c r="C29" t="s">
        <v>673</v>
      </c>
      <c r="D29" t="s">
        <v>741</v>
      </c>
      <c r="N29" s="142" t="s">
        <v>799</v>
      </c>
      <c r="X29" t="s">
        <v>651</v>
      </c>
      <c r="BC29" t="s">
        <v>793</v>
      </c>
      <c r="CB29" t="s">
        <v>847</v>
      </c>
    </row>
    <row r="30" spans="1:267" x14ac:dyDescent="0.25">
      <c r="C30" t="s">
        <v>674</v>
      </c>
      <c r="D30" t="s">
        <v>724</v>
      </c>
      <c r="O30" t="s">
        <v>800</v>
      </c>
      <c r="Z30" t="s">
        <v>655</v>
      </c>
    </row>
    <row r="31" spans="1:267" x14ac:dyDescent="0.25">
      <c r="C31" t="s">
        <v>675</v>
      </c>
      <c r="D31" t="s">
        <v>725</v>
      </c>
      <c r="M31">
        <v>12</v>
      </c>
      <c r="N31">
        <v>12</v>
      </c>
      <c r="O31">
        <v>10</v>
      </c>
    </row>
    <row r="32" spans="1:267" x14ac:dyDescent="0.25">
      <c r="C32" t="s">
        <v>676</v>
      </c>
      <c r="D32" t="s">
        <v>726</v>
      </c>
      <c r="M32">
        <v>6</v>
      </c>
      <c r="N32">
        <v>4</v>
      </c>
      <c r="O32">
        <v>6</v>
      </c>
      <c r="Q32" s="175"/>
      <c r="R32" s="45"/>
      <c r="S32" s="45"/>
      <c r="T32" s="45"/>
      <c r="U32" s="45"/>
    </row>
    <row r="33" spans="1:140" x14ac:dyDescent="0.25">
      <c r="C33" t="s">
        <v>678</v>
      </c>
      <c r="D33" t="s">
        <v>727</v>
      </c>
      <c r="Q33" s="45"/>
      <c r="R33" s="45"/>
      <c r="S33" s="45"/>
    </row>
    <row r="34" spans="1:140" x14ac:dyDescent="0.25">
      <c r="B34" t="s">
        <v>46</v>
      </c>
      <c r="C34" t="s">
        <v>670</v>
      </c>
      <c r="D34" t="s">
        <v>672</v>
      </c>
      <c r="H34" s="44" t="s">
        <v>673</v>
      </c>
      <c r="I34" s="142" t="s">
        <v>680</v>
      </c>
      <c r="J34" s="44" t="s">
        <v>674</v>
      </c>
      <c r="K34" s="44" t="s">
        <v>675</v>
      </c>
      <c r="L34" s="44" t="s">
        <v>676</v>
      </c>
      <c r="M34" s="44" t="s">
        <v>678</v>
      </c>
      <c r="N34" s="44" t="s">
        <v>679</v>
      </c>
    </row>
    <row r="35" spans="1:140" x14ac:dyDescent="0.25">
      <c r="A35" t="s">
        <v>667</v>
      </c>
      <c r="B35">
        <v>1</v>
      </c>
      <c r="C35">
        <f>B35</f>
        <v>1</v>
      </c>
      <c r="D35">
        <f t="shared" ref="D35:D38" si="80">C35</f>
        <v>1</v>
      </c>
      <c r="H35">
        <f>D35</f>
        <v>1</v>
      </c>
      <c r="I35" s="142" t="s">
        <v>680</v>
      </c>
      <c r="J35">
        <f>H35</f>
        <v>1</v>
      </c>
      <c r="K35">
        <f t="shared" ref="K35:N39" si="81">J35</f>
        <v>1</v>
      </c>
      <c r="L35">
        <f t="shared" si="81"/>
        <v>1</v>
      </c>
      <c r="M35">
        <f t="shared" si="81"/>
        <v>1</v>
      </c>
      <c r="N35">
        <f t="shared" si="81"/>
        <v>1</v>
      </c>
      <c r="Q35" s="45"/>
    </row>
    <row r="36" spans="1:140" x14ac:dyDescent="0.25">
      <c r="A36" t="s">
        <v>668</v>
      </c>
      <c r="B36">
        <v>2</v>
      </c>
      <c r="C36">
        <f>B36</f>
        <v>2</v>
      </c>
      <c r="D36">
        <f t="shared" si="80"/>
        <v>2</v>
      </c>
      <c r="H36">
        <f>D36</f>
        <v>2</v>
      </c>
      <c r="I36" s="142" t="s">
        <v>680</v>
      </c>
      <c r="J36">
        <f>H36</f>
        <v>2</v>
      </c>
      <c r="K36">
        <f t="shared" si="81"/>
        <v>2</v>
      </c>
      <c r="L36">
        <f t="shared" si="81"/>
        <v>2</v>
      </c>
      <c r="M36">
        <f t="shared" si="81"/>
        <v>2</v>
      </c>
      <c r="N36">
        <f t="shared" si="81"/>
        <v>2</v>
      </c>
      <c r="Q36" s="45"/>
    </row>
    <row r="37" spans="1:140" x14ac:dyDescent="0.25">
      <c r="A37" t="s">
        <v>200</v>
      </c>
      <c r="B37">
        <v>3</v>
      </c>
      <c r="C37">
        <f>B37</f>
        <v>3</v>
      </c>
      <c r="D37">
        <f t="shared" si="80"/>
        <v>3</v>
      </c>
      <c r="H37">
        <f>D37</f>
        <v>3</v>
      </c>
      <c r="I37" s="142" t="s">
        <v>680</v>
      </c>
      <c r="J37">
        <f>H37</f>
        <v>3</v>
      </c>
      <c r="K37">
        <f t="shared" si="81"/>
        <v>3</v>
      </c>
      <c r="L37">
        <f t="shared" si="81"/>
        <v>3</v>
      </c>
      <c r="M37">
        <f t="shared" si="81"/>
        <v>3</v>
      </c>
      <c r="N37">
        <f t="shared" si="81"/>
        <v>3</v>
      </c>
    </row>
    <row r="38" spans="1:140" x14ac:dyDescent="0.25">
      <c r="A38" t="s">
        <v>201</v>
      </c>
      <c r="B38">
        <v>23</v>
      </c>
      <c r="C38">
        <f>B38</f>
        <v>23</v>
      </c>
      <c r="D38">
        <f t="shared" si="80"/>
        <v>23</v>
      </c>
      <c r="H38">
        <f>D38</f>
        <v>23</v>
      </c>
      <c r="I38" s="142" t="s">
        <v>680</v>
      </c>
      <c r="J38">
        <f>H38</f>
        <v>23</v>
      </c>
      <c r="K38">
        <f t="shared" si="81"/>
        <v>23</v>
      </c>
      <c r="L38">
        <f t="shared" si="81"/>
        <v>23</v>
      </c>
      <c r="M38">
        <f t="shared" si="81"/>
        <v>23</v>
      </c>
      <c r="N38">
        <f t="shared" si="81"/>
        <v>23</v>
      </c>
      <c r="Q38" s="45"/>
    </row>
    <row r="39" spans="1:140" x14ac:dyDescent="0.25">
      <c r="A39" t="s">
        <v>717</v>
      </c>
      <c r="B39" t="s">
        <v>671</v>
      </c>
      <c r="C39" t="str">
        <f>$B39</f>
        <v>I</v>
      </c>
      <c r="D39" t="str">
        <f>$B39</f>
        <v>I</v>
      </c>
      <c r="H39" t="str">
        <f>D39</f>
        <v>I</v>
      </c>
      <c r="I39" s="142" t="s">
        <v>680</v>
      </c>
      <c r="J39" t="str">
        <f>H39</f>
        <v>I</v>
      </c>
      <c r="K39" t="str">
        <f t="shared" si="81"/>
        <v>I</v>
      </c>
      <c r="L39" t="str">
        <f t="shared" si="81"/>
        <v>I</v>
      </c>
      <c r="M39" t="str">
        <f t="shared" si="81"/>
        <v>I</v>
      </c>
      <c r="N39" t="str">
        <f t="shared" si="81"/>
        <v>I</v>
      </c>
    </row>
    <row r="40" spans="1:140" x14ac:dyDescent="0.25">
      <c r="A40" t="s">
        <v>205</v>
      </c>
      <c r="B40" t="s">
        <v>625</v>
      </c>
      <c r="C40" t="s">
        <v>625</v>
      </c>
      <c r="D40" t="s">
        <v>43</v>
      </c>
      <c r="H40" t="s">
        <v>740</v>
      </c>
      <c r="I40" s="142" t="s">
        <v>680</v>
      </c>
      <c r="J40" t="s">
        <v>742</v>
      </c>
      <c r="K40" s="44" t="s">
        <v>744</v>
      </c>
      <c r="L40" t="s">
        <v>746</v>
      </c>
      <c r="M40" t="s">
        <v>748</v>
      </c>
      <c r="N40" t="s">
        <v>292</v>
      </c>
      <c r="EJ40" t="s">
        <v>677</v>
      </c>
    </row>
    <row r="41" spans="1:140" x14ac:dyDescent="0.25">
      <c r="A41" t="s">
        <v>732</v>
      </c>
      <c r="C41" t="s">
        <v>57</v>
      </c>
      <c r="D41" t="str">
        <f t="shared" ref="D41:N41" si="82">C41</f>
        <v>J</v>
      </c>
      <c r="E41" t="str">
        <f t="shared" si="82"/>
        <v>J</v>
      </c>
      <c r="F41" t="str">
        <f t="shared" si="82"/>
        <v>J</v>
      </c>
      <c r="G41" t="str">
        <f t="shared" si="82"/>
        <v>J</v>
      </c>
      <c r="H41" t="str">
        <f>G41</f>
        <v>J</v>
      </c>
      <c r="I41" t="str">
        <f t="shared" si="82"/>
        <v>J</v>
      </c>
      <c r="J41" t="str">
        <f t="shared" si="82"/>
        <v>J</v>
      </c>
      <c r="K41" t="str">
        <f t="shared" si="82"/>
        <v>J</v>
      </c>
      <c r="L41" t="str">
        <f t="shared" si="82"/>
        <v>J</v>
      </c>
      <c r="M41" t="str">
        <f t="shared" si="82"/>
        <v>J</v>
      </c>
      <c r="N41" t="str">
        <f t="shared" si="82"/>
        <v>J</v>
      </c>
    </row>
    <row r="42" spans="1:140" x14ac:dyDescent="0.25">
      <c r="A42" t="s">
        <v>733</v>
      </c>
      <c r="B42" t="s">
        <v>404</v>
      </c>
      <c r="E42">
        <f t="shared" ref="E42:I42" si="83">D42</f>
        <v>0</v>
      </c>
      <c r="F42">
        <f t="shared" si="83"/>
        <v>0</v>
      </c>
      <c r="G42">
        <f t="shared" si="83"/>
        <v>0</v>
      </c>
      <c r="I42">
        <f t="shared" si="83"/>
        <v>0</v>
      </c>
      <c r="J42"/>
      <c r="K42"/>
      <c r="L42"/>
    </row>
    <row r="43" spans="1:140" x14ac:dyDescent="0.25">
      <c r="A43" t="s">
        <v>734</v>
      </c>
      <c r="B43" t="s">
        <v>52</v>
      </c>
      <c r="E43">
        <f t="shared" ref="E43:I43" si="84">D43</f>
        <v>0</v>
      </c>
      <c r="F43">
        <f t="shared" si="84"/>
        <v>0</v>
      </c>
      <c r="G43">
        <f t="shared" si="84"/>
        <v>0</v>
      </c>
      <c r="I43">
        <f t="shared" si="84"/>
        <v>0</v>
      </c>
      <c r="J43"/>
      <c r="K43"/>
      <c r="L43"/>
    </row>
    <row r="44" spans="1:140" x14ac:dyDescent="0.25">
      <c r="A44" t="s">
        <v>206</v>
      </c>
      <c r="B44" t="str">
        <f>FindEnd(M26:IU26)</f>
        <v>DP</v>
      </c>
      <c r="C44" t="s">
        <v>720</v>
      </c>
      <c r="D44" t="s">
        <v>721</v>
      </c>
      <c r="H44" t="s">
        <v>153</v>
      </c>
      <c r="I44" s="142" t="s">
        <v>680</v>
      </c>
      <c r="J44" t="s">
        <v>743</v>
      </c>
      <c r="K44" s="44" t="s">
        <v>745</v>
      </c>
      <c r="L44" t="s">
        <v>747</v>
      </c>
      <c r="M44" t="s">
        <v>749</v>
      </c>
      <c r="N44" t="s">
        <v>751</v>
      </c>
    </row>
    <row r="45" spans="1:140" x14ac:dyDescent="0.25">
      <c r="A45" t="s">
        <v>681</v>
      </c>
      <c r="B45">
        <f>B38+1</f>
        <v>24</v>
      </c>
      <c r="C45">
        <f>B45</f>
        <v>24</v>
      </c>
      <c r="D45">
        <f>C45</f>
        <v>24</v>
      </c>
      <c r="H45">
        <f>D45</f>
        <v>24</v>
      </c>
      <c r="I45" s="142" t="s">
        <v>680</v>
      </c>
      <c r="J45">
        <f>H45</f>
        <v>24</v>
      </c>
      <c r="K45">
        <f t="shared" ref="K45:N47" si="85">J45</f>
        <v>24</v>
      </c>
      <c r="L45">
        <f t="shared" si="85"/>
        <v>24</v>
      </c>
      <c r="M45">
        <f t="shared" si="85"/>
        <v>24</v>
      </c>
      <c r="N45">
        <f t="shared" si="85"/>
        <v>24</v>
      </c>
    </row>
    <row r="46" spans="1:140" x14ac:dyDescent="0.25">
      <c r="A46" t="s">
        <v>682</v>
      </c>
      <c r="B46">
        <f>B45+1</f>
        <v>25</v>
      </c>
      <c r="C46">
        <f>B46</f>
        <v>25</v>
      </c>
      <c r="D46">
        <f>C46</f>
        <v>25</v>
      </c>
      <c r="H46">
        <f>D46</f>
        <v>25</v>
      </c>
      <c r="I46" s="142" t="s">
        <v>680</v>
      </c>
      <c r="J46">
        <f>H46</f>
        <v>25</v>
      </c>
      <c r="K46">
        <f t="shared" si="85"/>
        <v>25</v>
      </c>
      <c r="L46">
        <f t="shared" si="85"/>
        <v>25</v>
      </c>
      <c r="M46">
        <f t="shared" si="85"/>
        <v>25</v>
      </c>
      <c r="N46">
        <f t="shared" si="85"/>
        <v>25</v>
      </c>
    </row>
    <row r="47" spans="1:140" x14ac:dyDescent="0.25">
      <c r="A47" t="s">
        <v>669</v>
      </c>
      <c r="B47" t="s">
        <v>962</v>
      </c>
      <c r="C47" t="str">
        <f>B47</f>
        <v>K26</v>
      </c>
      <c r="D47" t="str">
        <f t="shared" ref="D47:J47" si="86">C47</f>
        <v>K26</v>
      </c>
      <c r="E47" t="str">
        <f t="shared" si="86"/>
        <v>K26</v>
      </c>
      <c r="F47" t="str">
        <f t="shared" si="86"/>
        <v>K26</v>
      </c>
      <c r="G47" t="str">
        <f t="shared" si="86"/>
        <v>K26</v>
      </c>
      <c r="H47" t="str">
        <f t="shared" si="86"/>
        <v>K26</v>
      </c>
      <c r="I47" t="str">
        <f t="shared" si="86"/>
        <v>K26</v>
      </c>
      <c r="J47" t="str">
        <f t="shared" si="86"/>
        <v>K26</v>
      </c>
      <c r="K47" t="str">
        <f t="shared" si="85"/>
        <v>K26</v>
      </c>
      <c r="L47" t="str">
        <f t="shared" si="85"/>
        <v>K26</v>
      </c>
      <c r="M47" t="str">
        <f t="shared" ref="M47" si="87">L47</f>
        <v>K26</v>
      </c>
      <c r="N47" t="str">
        <f t="shared" ref="N47" si="88">M47</f>
        <v>K26</v>
      </c>
    </row>
    <row r="48" spans="1:140" x14ac:dyDescent="0.25">
      <c r="A48" t="s">
        <v>658</v>
      </c>
      <c r="C48">
        <f>B46 + 3</f>
        <v>28</v>
      </c>
      <c r="D48">
        <f>C48</f>
        <v>28</v>
      </c>
      <c r="H48">
        <f>D48</f>
        <v>28</v>
      </c>
      <c r="I48" s="142" t="s">
        <v>680</v>
      </c>
      <c r="J48">
        <f>H48</f>
        <v>28</v>
      </c>
      <c r="K48">
        <f t="shared" ref="K48:N49" si="89">J48</f>
        <v>28</v>
      </c>
      <c r="L48">
        <f t="shared" si="89"/>
        <v>28</v>
      </c>
      <c r="M48">
        <f t="shared" si="89"/>
        <v>28</v>
      </c>
      <c r="N48">
        <f t="shared" si="89"/>
        <v>28</v>
      </c>
    </row>
    <row r="49" spans="1:14" x14ac:dyDescent="0.25">
      <c r="A49" t="s">
        <v>659</v>
      </c>
      <c r="C49">
        <f>C48+2</f>
        <v>30</v>
      </c>
      <c r="D49">
        <f>C49</f>
        <v>30</v>
      </c>
      <c r="H49">
        <f>D49</f>
        <v>30</v>
      </c>
      <c r="I49" s="142" t="s">
        <v>680</v>
      </c>
      <c r="J49">
        <f>H49</f>
        <v>30</v>
      </c>
      <c r="K49">
        <f t="shared" si="89"/>
        <v>30</v>
      </c>
      <c r="L49">
        <f t="shared" si="89"/>
        <v>30</v>
      </c>
      <c r="M49">
        <f t="shared" si="89"/>
        <v>30</v>
      </c>
      <c r="N49">
        <f t="shared" si="89"/>
        <v>30</v>
      </c>
    </row>
    <row r="52" spans="1:14" x14ac:dyDescent="0.25">
      <c r="B52">
        <v>3</v>
      </c>
    </row>
    <row r="53" spans="1:14" x14ac:dyDescent="0.25">
      <c r="B53">
        <v>22</v>
      </c>
    </row>
    <row r="54" spans="1:14" x14ac:dyDescent="0.25">
      <c r="A54" t="s">
        <v>752</v>
      </c>
      <c r="B54" t="s">
        <v>736</v>
      </c>
    </row>
    <row r="55" spans="1:14" x14ac:dyDescent="0.25">
      <c r="A55" t="s">
        <v>717</v>
      </c>
      <c r="B55" t="s">
        <v>737</v>
      </c>
    </row>
    <row r="56" spans="1:14" x14ac:dyDescent="0.25">
      <c r="A56" t="s">
        <v>718</v>
      </c>
      <c r="B56" t="s">
        <v>738</v>
      </c>
    </row>
    <row r="57" spans="1:14" x14ac:dyDescent="0.25">
      <c r="A57" t="s">
        <v>719</v>
      </c>
      <c r="B57" t="s">
        <v>739</v>
      </c>
    </row>
  </sheetData>
  <dataConsolidate/>
  <mergeCells count="7">
    <mergeCell ref="K1:K2"/>
    <mergeCell ref="L1:L2"/>
    <mergeCell ref="I1:I2"/>
    <mergeCell ref="A24:H24"/>
    <mergeCell ref="A25:H25"/>
    <mergeCell ref="A1:H2"/>
    <mergeCell ref="J1:J2"/>
  </mergeCells>
  <pageMargins left="0.7" right="0.7" top="0.78740157499999996" bottom="0.78740157499999996" header="0.3" footer="0.3"/>
  <pageSetup paperSize="9" orientation="portrait" r:id="rId1"/>
  <ignoredErrors>
    <ignoredError sqref="W24:X24 AD24 U24 AE24:AR24 AS24:AV24 AW24:BB24 BC24:BG24 BK24 BM24:BN24 BP24:BR24 BT24:BU24 BW24:BX24"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57"/>
  <sheetViews>
    <sheetView workbookViewId="0">
      <selection activeCell="B10" sqref="B10"/>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823</v>
      </c>
    </row>
    <row r="2" spans="1:4" x14ac:dyDescent="0.25">
      <c r="A2" s="72"/>
      <c r="B2" s="73"/>
    </row>
    <row r="3" spans="1:4" x14ac:dyDescent="0.25">
      <c r="A3" s="72"/>
      <c r="B3" s="73"/>
    </row>
    <row r="4" spans="1:4" x14ac:dyDescent="0.25">
      <c r="A4" s="72"/>
      <c r="B4" s="73"/>
    </row>
    <row r="5" spans="1:4" x14ac:dyDescent="0.25">
      <c r="A5" s="72"/>
      <c r="B5" s="73"/>
    </row>
    <row r="6" spans="1:4" x14ac:dyDescent="0.25">
      <c r="A6" s="72"/>
      <c r="B6" s="73"/>
    </row>
    <row r="7" spans="1:4" x14ac:dyDescent="0.25">
      <c r="A7" s="72"/>
      <c r="B7" s="73"/>
    </row>
    <row r="8" spans="1:4" x14ac:dyDescent="0.25">
      <c r="A8" s="75">
        <v>44299</v>
      </c>
      <c r="B8" s="74" t="s">
        <v>964</v>
      </c>
    </row>
    <row r="9" spans="1:4" x14ac:dyDescent="0.25">
      <c r="A9" s="72"/>
      <c r="B9" s="73" t="s">
        <v>965</v>
      </c>
    </row>
    <row r="10" spans="1:4" x14ac:dyDescent="0.25">
      <c r="A10" s="75">
        <v>44298</v>
      </c>
      <c r="B10" s="74" t="s">
        <v>934</v>
      </c>
    </row>
    <row r="11" spans="1:4" ht="45" x14ac:dyDescent="0.25">
      <c r="A11" s="72"/>
      <c r="B11" s="76" t="s">
        <v>963</v>
      </c>
    </row>
    <row r="12" spans="1:4" x14ac:dyDescent="0.25">
      <c r="A12" s="72"/>
      <c r="B12" s="73"/>
    </row>
    <row r="13" spans="1:4" x14ac:dyDescent="0.25">
      <c r="A13" s="75">
        <v>44295</v>
      </c>
      <c r="B13" s="74" t="s">
        <v>952</v>
      </c>
      <c r="C13" s="74"/>
      <c r="D13" s="74" t="s">
        <v>953</v>
      </c>
    </row>
    <row r="14" spans="1:4" ht="30" x14ac:dyDescent="0.25">
      <c r="A14" s="72"/>
      <c r="B14" s="76" t="s">
        <v>955</v>
      </c>
      <c r="D14" s="1" t="s">
        <v>954</v>
      </c>
    </row>
    <row r="15" spans="1:4" x14ac:dyDescent="0.25">
      <c r="A15" s="75">
        <v>44294</v>
      </c>
      <c r="B15" s="74" t="s">
        <v>950</v>
      </c>
      <c r="C15" s="74"/>
      <c r="D15" s="74" t="s">
        <v>951</v>
      </c>
    </row>
    <row r="16" spans="1:4" ht="105" x14ac:dyDescent="0.25">
      <c r="A16" s="72"/>
      <c r="B16" s="76" t="s">
        <v>956</v>
      </c>
      <c r="D16" s="1" t="s">
        <v>957</v>
      </c>
    </row>
    <row r="17" spans="1:4" x14ac:dyDescent="0.25">
      <c r="A17" s="75">
        <v>37353</v>
      </c>
      <c r="B17" s="73"/>
      <c r="D17" s="74" t="s">
        <v>948</v>
      </c>
    </row>
    <row r="18" spans="1:4" ht="75" x14ac:dyDescent="0.25">
      <c r="A18" s="72"/>
      <c r="B18" s="73"/>
      <c r="D18" s="1" t="s">
        <v>949</v>
      </c>
    </row>
    <row r="19" spans="1:4" x14ac:dyDescent="0.25">
      <c r="A19" s="75">
        <v>44292</v>
      </c>
      <c r="B19" s="74" t="s">
        <v>934</v>
      </c>
      <c r="C19" s="74"/>
      <c r="D19" s="74" t="s">
        <v>936</v>
      </c>
    </row>
    <row r="20" spans="1:4" ht="165" x14ac:dyDescent="0.25">
      <c r="A20" s="72"/>
      <c r="B20" s="76" t="s">
        <v>944</v>
      </c>
      <c r="D20" s="1" t="s">
        <v>943</v>
      </c>
    </row>
    <row r="21" spans="1:4" x14ac:dyDescent="0.25">
      <c r="A21" s="72"/>
      <c r="B21" s="73"/>
    </row>
    <row r="22" spans="1:4" x14ac:dyDescent="0.25">
      <c r="A22" s="75">
        <v>44288</v>
      </c>
      <c r="B22" s="74" t="s">
        <v>934</v>
      </c>
      <c r="C22" s="74"/>
      <c r="D22" s="74" t="s">
        <v>940</v>
      </c>
    </row>
    <row r="23" spans="1:4" ht="105" x14ac:dyDescent="0.25">
      <c r="A23" s="72"/>
      <c r="B23" s="76" t="s">
        <v>942</v>
      </c>
      <c r="D23" s="1" t="s">
        <v>941</v>
      </c>
    </row>
    <row r="24" spans="1:4" x14ac:dyDescent="0.25">
      <c r="A24" s="75">
        <v>44287</v>
      </c>
      <c r="B24" s="74" t="s">
        <v>936</v>
      </c>
      <c r="C24" s="74"/>
      <c r="D24" s="74" t="s">
        <v>937</v>
      </c>
    </row>
    <row r="25" spans="1:4" ht="105" x14ac:dyDescent="0.25">
      <c r="A25" s="72"/>
      <c r="B25" s="76" t="s">
        <v>939</v>
      </c>
      <c r="D25" s="1" t="s">
        <v>938</v>
      </c>
    </row>
    <row r="26" spans="1:4" x14ac:dyDescent="0.25">
      <c r="A26" s="75">
        <v>44285</v>
      </c>
      <c r="B26" s="74" t="s">
        <v>934</v>
      </c>
      <c r="C26" s="74"/>
      <c r="D26" s="74" t="s">
        <v>932</v>
      </c>
    </row>
    <row r="27" spans="1:4" ht="60" x14ac:dyDescent="0.25">
      <c r="A27" s="72"/>
      <c r="B27" s="76" t="s">
        <v>935</v>
      </c>
      <c r="D27" s="1" t="s">
        <v>933</v>
      </c>
    </row>
    <row r="28" spans="1:4" x14ac:dyDescent="0.25">
      <c r="A28" s="75">
        <v>44284</v>
      </c>
      <c r="B28" s="74" t="s">
        <v>928</v>
      </c>
    </row>
    <row r="29" spans="1:4" ht="105" x14ac:dyDescent="0.25">
      <c r="A29" s="72"/>
      <c r="B29" s="76" t="s">
        <v>929</v>
      </c>
    </row>
    <row r="30" spans="1:4" x14ac:dyDescent="0.25">
      <c r="A30" s="72"/>
      <c r="B30" s="73"/>
    </row>
    <row r="31" spans="1:4" x14ac:dyDescent="0.25">
      <c r="A31" s="75">
        <v>44283</v>
      </c>
      <c r="B31" s="74"/>
      <c r="C31" s="74"/>
      <c r="D31" s="74" t="s">
        <v>772</v>
      </c>
    </row>
    <row r="32" spans="1:4" ht="45" x14ac:dyDescent="0.25">
      <c r="A32" s="72"/>
      <c r="B32" s="73"/>
      <c r="D32" s="1" t="s">
        <v>927</v>
      </c>
    </row>
    <row r="33" spans="1:4" x14ac:dyDescent="0.25">
      <c r="A33" s="75">
        <v>44282</v>
      </c>
      <c r="B33" s="74" t="s">
        <v>602</v>
      </c>
      <c r="C33" s="74"/>
      <c r="D33" s="74" t="s">
        <v>571</v>
      </c>
    </row>
    <row r="34" spans="1:4" ht="75" x14ac:dyDescent="0.25">
      <c r="A34" s="72"/>
      <c r="B34" s="76" t="s">
        <v>925</v>
      </c>
      <c r="D34" s="1" t="s">
        <v>926</v>
      </c>
    </row>
    <row r="35" spans="1:4" x14ac:dyDescent="0.25">
      <c r="A35" s="75">
        <v>44281</v>
      </c>
      <c r="B35" s="74" t="s">
        <v>891</v>
      </c>
      <c r="C35" s="74"/>
      <c r="D35" s="74" t="s">
        <v>892</v>
      </c>
    </row>
    <row r="36" spans="1:4" ht="60" x14ac:dyDescent="0.25">
      <c r="A36" s="72"/>
      <c r="B36" s="76" t="s">
        <v>893</v>
      </c>
      <c r="D36" s="1" t="s">
        <v>890</v>
      </c>
    </row>
    <row r="37" spans="1:4" x14ac:dyDescent="0.25">
      <c r="A37" s="75">
        <v>44280</v>
      </c>
      <c r="B37" s="74" t="s">
        <v>881</v>
      </c>
      <c r="C37" s="74"/>
      <c r="D37" s="74" t="s">
        <v>807</v>
      </c>
    </row>
    <row r="38" spans="1:4" ht="60" x14ac:dyDescent="0.25">
      <c r="A38" s="72"/>
      <c r="B38" s="76" t="s">
        <v>894</v>
      </c>
      <c r="D38" s="1" t="s">
        <v>889</v>
      </c>
    </row>
    <row r="39" spans="1:4" x14ac:dyDescent="0.25">
      <c r="A39" s="75">
        <v>44279</v>
      </c>
      <c r="B39" s="74" t="s">
        <v>833</v>
      </c>
      <c r="C39" s="74"/>
      <c r="D39" s="74" t="s">
        <v>888</v>
      </c>
    </row>
    <row r="40" spans="1:4" x14ac:dyDescent="0.25">
      <c r="A40" s="72"/>
      <c r="B40" s="73" t="s">
        <v>886</v>
      </c>
      <c r="D40" t="s">
        <v>887</v>
      </c>
    </row>
    <row r="41" spans="1:4" x14ac:dyDescent="0.25">
      <c r="A41" s="75">
        <v>44278</v>
      </c>
      <c r="B41" s="74" t="s">
        <v>881</v>
      </c>
      <c r="C41" s="74"/>
      <c r="D41" s="74" t="s">
        <v>883</v>
      </c>
    </row>
    <row r="42" spans="1:4" ht="135" x14ac:dyDescent="0.25">
      <c r="A42" s="72"/>
      <c r="B42" s="76" t="s">
        <v>882</v>
      </c>
      <c r="D42" s="1" t="s">
        <v>884</v>
      </c>
    </row>
    <row r="43" spans="1:4" x14ac:dyDescent="0.25">
      <c r="A43" s="75">
        <v>44277</v>
      </c>
      <c r="B43" s="74" t="s">
        <v>842</v>
      </c>
    </row>
    <row r="44" spans="1:4" ht="90" x14ac:dyDescent="0.25">
      <c r="A44" s="72"/>
      <c r="B44" s="76" t="s">
        <v>880</v>
      </c>
    </row>
    <row r="45" spans="1:4" x14ac:dyDescent="0.25">
      <c r="A45" s="72"/>
      <c r="B45" s="73"/>
    </row>
    <row r="46" spans="1:4" x14ac:dyDescent="0.25">
      <c r="A46" s="75">
        <v>44275</v>
      </c>
      <c r="B46" s="75" t="s">
        <v>864</v>
      </c>
    </row>
    <row r="47" spans="1:4" ht="30" x14ac:dyDescent="0.25">
      <c r="A47" s="72"/>
      <c r="B47" s="76" t="s">
        <v>865</v>
      </c>
    </row>
    <row r="48" spans="1:4" x14ac:dyDescent="0.25">
      <c r="A48" s="75">
        <v>44274</v>
      </c>
      <c r="B48" s="73"/>
      <c r="C48" s="74"/>
      <c r="D48" s="74" t="s">
        <v>807</v>
      </c>
    </row>
    <row r="49" spans="1:4" ht="90" x14ac:dyDescent="0.25">
      <c r="A49" s="72"/>
      <c r="B49" s="73"/>
      <c r="D49" s="1" t="s">
        <v>863</v>
      </c>
    </row>
    <row r="50" spans="1:4" x14ac:dyDescent="0.25">
      <c r="A50" s="75">
        <v>44273</v>
      </c>
      <c r="B50" s="74" t="s">
        <v>663</v>
      </c>
      <c r="C50" s="74"/>
      <c r="D50" s="74" t="s">
        <v>837</v>
      </c>
    </row>
    <row r="51" spans="1:4" ht="90" x14ac:dyDescent="0.25">
      <c r="A51" s="72"/>
      <c r="B51" s="76" t="s">
        <v>859</v>
      </c>
      <c r="D51" s="1" t="s">
        <v>858</v>
      </c>
    </row>
    <row r="52" spans="1:4" x14ac:dyDescent="0.25">
      <c r="A52" s="75">
        <v>44271</v>
      </c>
      <c r="B52" s="74" t="s">
        <v>842</v>
      </c>
      <c r="C52" s="74"/>
      <c r="D52" s="74" t="s">
        <v>833</v>
      </c>
    </row>
    <row r="53" spans="1:4" ht="60" x14ac:dyDescent="0.25">
      <c r="A53" s="72"/>
      <c r="B53" s="76" t="s">
        <v>861</v>
      </c>
      <c r="D53" s="1" t="s">
        <v>857</v>
      </c>
    </row>
    <row r="54" spans="1:4" x14ac:dyDescent="0.25">
      <c r="A54" s="75">
        <v>44270</v>
      </c>
      <c r="B54" s="74" t="s">
        <v>849</v>
      </c>
      <c r="C54" s="74"/>
      <c r="D54" s="74" t="s">
        <v>851</v>
      </c>
    </row>
    <row r="55" spans="1:4" ht="60" x14ac:dyDescent="0.25">
      <c r="A55" s="72"/>
      <c r="B55" s="76" t="s">
        <v>860</v>
      </c>
      <c r="D55" s="76" t="s">
        <v>852</v>
      </c>
    </row>
    <row r="56" spans="1:4" x14ac:dyDescent="0.25">
      <c r="A56" s="72"/>
      <c r="B56" s="73"/>
    </row>
    <row r="57" spans="1:4" x14ac:dyDescent="0.25">
      <c r="A57" s="75">
        <v>44268</v>
      </c>
      <c r="B57" s="74" t="s">
        <v>602</v>
      </c>
    </row>
    <row r="58" spans="1:4" ht="45" x14ac:dyDescent="0.25">
      <c r="A58" s="72"/>
      <c r="B58" s="76" t="s">
        <v>850</v>
      </c>
    </row>
    <row r="59" spans="1:4" x14ac:dyDescent="0.25">
      <c r="A59" s="75">
        <v>44267</v>
      </c>
      <c r="B59" s="74" t="s">
        <v>602</v>
      </c>
      <c r="C59" s="74"/>
      <c r="D59" s="74" t="s">
        <v>807</v>
      </c>
    </row>
    <row r="60" spans="1:4" ht="60" x14ac:dyDescent="0.25">
      <c r="A60" s="72"/>
      <c r="B60" s="76" t="s">
        <v>854</v>
      </c>
      <c r="D60" s="1" t="s">
        <v>853</v>
      </c>
    </row>
    <row r="61" spans="1:4" x14ac:dyDescent="0.25">
      <c r="A61" s="75">
        <v>44266</v>
      </c>
      <c r="B61" s="74" t="s">
        <v>849</v>
      </c>
      <c r="C61" s="74"/>
      <c r="D61" s="74" t="s">
        <v>837</v>
      </c>
    </row>
    <row r="62" spans="1:4" ht="60" x14ac:dyDescent="0.25">
      <c r="A62" s="72"/>
      <c r="B62" s="76" t="s">
        <v>855</v>
      </c>
      <c r="D62" s="76" t="s">
        <v>856</v>
      </c>
    </row>
    <row r="63" spans="1:4" x14ac:dyDescent="0.25">
      <c r="A63" s="75">
        <v>44264</v>
      </c>
      <c r="B63" s="74" t="s">
        <v>844</v>
      </c>
      <c r="C63" s="74"/>
      <c r="D63" s="74" t="s">
        <v>812</v>
      </c>
    </row>
    <row r="64" spans="1:4" ht="60" x14ac:dyDescent="0.25">
      <c r="A64" s="72"/>
      <c r="B64" s="73" t="s">
        <v>846</v>
      </c>
      <c r="D64" s="1" t="s">
        <v>845</v>
      </c>
    </row>
    <row r="65" spans="1:4" x14ac:dyDescent="0.25">
      <c r="A65" s="75">
        <v>44263</v>
      </c>
      <c r="B65" s="74" t="s">
        <v>842</v>
      </c>
    </row>
    <row r="66" spans="1:4" ht="45" x14ac:dyDescent="0.25">
      <c r="A66" s="72"/>
      <c r="B66" s="76" t="s">
        <v>843</v>
      </c>
    </row>
    <row r="67" spans="1:4" x14ac:dyDescent="0.25">
      <c r="A67" s="72"/>
      <c r="B67" s="73"/>
    </row>
    <row r="68" spans="1:4" x14ac:dyDescent="0.25">
      <c r="A68" s="75">
        <v>44260</v>
      </c>
      <c r="B68" s="74" t="s">
        <v>772</v>
      </c>
      <c r="C68" s="74"/>
      <c r="D68" s="74" t="s">
        <v>837</v>
      </c>
    </row>
    <row r="69" spans="1:4" ht="75" x14ac:dyDescent="0.25">
      <c r="A69" s="72"/>
      <c r="B69" s="76" t="s">
        <v>839</v>
      </c>
      <c r="D69" s="1" t="s">
        <v>838</v>
      </c>
    </row>
    <row r="70" spans="1:4" x14ac:dyDescent="0.25">
      <c r="A70" s="75">
        <v>44259</v>
      </c>
      <c r="B70" s="74" t="s">
        <v>664</v>
      </c>
      <c r="C70" s="74"/>
      <c r="D70" s="74" t="s">
        <v>833</v>
      </c>
    </row>
    <row r="71" spans="1:4" ht="60" x14ac:dyDescent="0.25">
      <c r="A71" s="72"/>
      <c r="B71" s="76" t="s">
        <v>836</v>
      </c>
      <c r="D71" s="1" t="s">
        <v>835</v>
      </c>
    </row>
    <row r="72" spans="1:4" x14ac:dyDescent="0.25">
      <c r="A72" s="75">
        <v>44257</v>
      </c>
      <c r="B72" s="74" t="s">
        <v>768</v>
      </c>
      <c r="C72" s="74"/>
      <c r="D72" s="74" t="s">
        <v>833</v>
      </c>
    </row>
    <row r="73" spans="1:4" ht="105" x14ac:dyDescent="0.25">
      <c r="A73" s="72"/>
      <c r="B73" s="76" t="s">
        <v>831</v>
      </c>
      <c r="D73" s="1" t="s">
        <v>834</v>
      </c>
    </row>
    <row r="74" spans="1:4" x14ac:dyDescent="0.25">
      <c r="A74" s="75">
        <v>44256</v>
      </c>
      <c r="B74" s="74" t="s">
        <v>664</v>
      </c>
    </row>
    <row r="75" spans="1:4" ht="45" x14ac:dyDescent="0.25">
      <c r="A75" s="72"/>
      <c r="B75" s="76" t="s">
        <v>832</v>
      </c>
    </row>
    <row r="76" spans="1:4" x14ac:dyDescent="0.25">
      <c r="A76" s="75">
        <v>44255</v>
      </c>
      <c r="B76" s="74" t="s">
        <v>829</v>
      </c>
    </row>
    <row r="77" spans="1:4" ht="60" x14ac:dyDescent="0.25">
      <c r="A77" s="72"/>
      <c r="B77" s="76" t="s">
        <v>830</v>
      </c>
    </row>
    <row r="78" spans="1:4" x14ac:dyDescent="0.25">
      <c r="A78" s="75">
        <v>44254</v>
      </c>
      <c r="B78" s="74" t="s">
        <v>828</v>
      </c>
    </row>
    <row r="79" spans="1:4" ht="75" x14ac:dyDescent="0.25">
      <c r="A79" s="72"/>
      <c r="B79" s="76" t="s">
        <v>827</v>
      </c>
    </row>
    <row r="80" spans="1:4" x14ac:dyDescent="0.25">
      <c r="A80" s="75">
        <v>44253</v>
      </c>
      <c r="B80" s="74" t="s">
        <v>608</v>
      </c>
      <c r="C80" s="74"/>
      <c r="D80" s="74" t="s">
        <v>812</v>
      </c>
    </row>
    <row r="81" spans="1:4" ht="60" x14ac:dyDescent="0.25">
      <c r="A81" s="72"/>
      <c r="B81" s="76" t="s">
        <v>824</v>
      </c>
      <c r="D81" s="1" t="s">
        <v>820</v>
      </c>
    </row>
    <row r="82" spans="1:4" x14ac:dyDescent="0.25">
      <c r="A82" s="75">
        <v>44252</v>
      </c>
      <c r="B82" s="74" t="s">
        <v>663</v>
      </c>
      <c r="C82" s="74"/>
      <c r="D82" s="74" t="s">
        <v>812</v>
      </c>
    </row>
    <row r="83" spans="1:4" ht="75" x14ac:dyDescent="0.25">
      <c r="A83" s="72"/>
      <c r="B83" s="76" t="s">
        <v>822</v>
      </c>
      <c r="D83" s="1" t="s">
        <v>821</v>
      </c>
    </row>
    <row r="84" spans="1:4" x14ac:dyDescent="0.25">
      <c r="A84" s="75">
        <v>44250</v>
      </c>
      <c r="B84" s="74" t="s">
        <v>729</v>
      </c>
      <c r="C84" s="74"/>
      <c r="D84" s="74" t="s">
        <v>812</v>
      </c>
    </row>
    <row r="85" spans="1:4" ht="90" x14ac:dyDescent="0.25">
      <c r="A85" s="72"/>
      <c r="B85" s="76" t="s">
        <v>817</v>
      </c>
      <c r="D85" s="1" t="s">
        <v>819</v>
      </c>
    </row>
    <row r="86" spans="1:4" x14ac:dyDescent="0.25">
      <c r="A86" s="75">
        <v>44249</v>
      </c>
      <c r="B86" s="74" t="s">
        <v>815</v>
      </c>
    </row>
    <row r="87" spans="1:4" ht="60" x14ac:dyDescent="0.25">
      <c r="A87" s="72"/>
      <c r="B87" s="76" t="s">
        <v>816</v>
      </c>
    </row>
    <row r="88" spans="1:4" x14ac:dyDescent="0.25">
      <c r="A88" s="75">
        <v>44247</v>
      </c>
      <c r="B88" s="74" t="s">
        <v>608</v>
      </c>
      <c r="C88" s="74"/>
      <c r="D88" s="74" t="s">
        <v>812</v>
      </c>
    </row>
    <row r="89" spans="1:4" ht="105" x14ac:dyDescent="0.25">
      <c r="A89" s="72"/>
      <c r="B89" s="76" t="s">
        <v>814</v>
      </c>
      <c r="D89" s="1" t="s">
        <v>818</v>
      </c>
    </row>
    <row r="90" spans="1:4" x14ac:dyDescent="0.25">
      <c r="A90" s="75">
        <v>44246</v>
      </c>
      <c r="B90" s="74" t="s">
        <v>810</v>
      </c>
      <c r="C90" s="74"/>
      <c r="D90" s="74" t="s">
        <v>812</v>
      </c>
    </row>
    <row r="91" spans="1:4" ht="90" x14ac:dyDescent="0.25">
      <c r="A91" s="72"/>
      <c r="B91" s="76" t="s">
        <v>811</v>
      </c>
      <c r="D91" s="1" t="s">
        <v>813</v>
      </c>
    </row>
    <row r="92" spans="1:4" x14ac:dyDescent="0.25">
      <c r="A92" s="75">
        <v>44245</v>
      </c>
      <c r="B92" s="74" t="s">
        <v>768</v>
      </c>
      <c r="C92" s="74"/>
      <c r="D92" s="74" t="s">
        <v>807</v>
      </c>
    </row>
    <row r="93" spans="1:4" ht="120" x14ac:dyDescent="0.25">
      <c r="A93" s="72"/>
      <c r="B93" s="76" t="s">
        <v>808</v>
      </c>
      <c r="D93" s="76" t="s">
        <v>809</v>
      </c>
    </row>
    <row r="94" spans="1:4" x14ac:dyDescent="0.25">
      <c r="A94" s="75">
        <v>44243</v>
      </c>
      <c r="B94" s="74" t="s">
        <v>763</v>
      </c>
    </row>
    <row r="95" spans="1:4" ht="150" x14ac:dyDescent="0.25">
      <c r="A95" s="72"/>
      <c r="B95" s="76" t="s">
        <v>802</v>
      </c>
    </row>
    <row r="96" spans="1:4" x14ac:dyDescent="0.25">
      <c r="A96" s="75">
        <v>44242</v>
      </c>
      <c r="B96" s="74" t="s">
        <v>663</v>
      </c>
    </row>
    <row r="97" spans="1:2" ht="105" x14ac:dyDescent="0.25">
      <c r="A97" s="72"/>
      <c r="B97" s="76" t="s">
        <v>801</v>
      </c>
    </row>
    <row r="98" spans="1:2" x14ac:dyDescent="0.25">
      <c r="A98" s="72"/>
      <c r="B98" s="76"/>
    </row>
    <row r="99" spans="1:2" x14ac:dyDescent="0.25">
      <c r="A99" s="75">
        <v>44239</v>
      </c>
      <c r="B99" s="74" t="s">
        <v>664</v>
      </c>
    </row>
    <row r="100" spans="1:2" ht="90" x14ac:dyDescent="0.25">
      <c r="A100" s="72"/>
      <c r="B100" s="76" t="s">
        <v>796</v>
      </c>
    </row>
    <row r="101" spans="1:2" x14ac:dyDescent="0.25">
      <c r="A101" s="75">
        <v>44238</v>
      </c>
      <c r="B101" s="74" t="s">
        <v>663</v>
      </c>
    </row>
    <row r="102" spans="1:2" ht="75" x14ac:dyDescent="0.25">
      <c r="A102" s="72"/>
      <c r="B102" s="76" t="s">
        <v>795</v>
      </c>
    </row>
    <row r="103" spans="1:2" x14ac:dyDescent="0.25">
      <c r="A103" s="75">
        <v>44236</v>
      </c>
      <c r="B103" s="74" t="s">
        <v>663</v>
      </c>
    </row>
    <row r="104" spans="1:2" ht="75" x14ac:dyDescent="0.25">
      <c r="A104" s="72"/>
      <c r="B104" s="76" t="s">
        <v>792</v>
      </c>
    </row>
    <row r="105" spans="1:2" x14ac:dyDescent="0.25">
      <c r="A105" s="75">
        <v>44235</v>
      </c>
      <c r="B105" s="74" t="s">
        <v>763</v>
      </c>
    </row>
    <row r="106" spans="1:2" ht="60" x14ac:dyDescent="0.25">
      <c r="A106" s="72"/>
      <c r="B106" s="76" t="s">
        <v>791</v>
      </c>
    </row>
    <row r="107" spans="1:2" x14ac:dyDescent="0.25">
      <c r="A107" s="72"/>
      <c r="B107" s="73"/>
    </row>
    <row r="108" spans="1:2" x14ac:dyDescent="0.25">
      <c r="A108" s="75">
        <v>44233</v>
      </c>
      <c r="B108" s="74" t="s">
        <v>789</v>
      </c>
    </row>
    <row r="109" spans="1:2" x14ac:dyDescent="0.25">
      <c r="A109" s="72"/>
      <c r="B109" s="73" t="s">
        <v>790</v>
      </c>
    </row>
    <row r="110" spans="1:2" x14ac:dyDescent="0.25">
      <c r="A110" s="75">
        <v>44232</v>
      </c>
      <c r="B110" s="74" t="s">
        <v>763</v>
      </c>
    </row>
    <row r="111" spans="1:2" ht="60" x14ac:dyDescent="0.25">
      <c r="A111" s="72"/>
      <c r="B111" s="76" t="s">
        <v>788</v>
      </c>
    </row>
    <row r="112" spans="1:2" x14ac:dyDescent="0.25">
      <c r="A112" s="75">
        <v>44231</v>
      </c>
      <c r="B112" s="74" t="s">
        <v>763</v>
      </c>
    </row>
    <row r="113" spans="1:2" ht="90" x14ac:dyDescent="0.25">
      <c r="A113" s="72"/>
      <c r="B113" s="76" t="s">
        <v>781</v>
      </c>
    </row>
    <row r="114" spans="1:2" x14ac:dyDescent="0.25">
      <c r="A114" s="75">
        <v>44229</v>
      </c>
      <c r="B114" s="74" t="s">
        <v>763</v>
      </c>
    </row>
    <row r="115" spans="1:2" ht="75" x14ac:dyDescent="0.25">
      <c r="A115" s="72"/>
      <c r="B115" s="76" t="s">
        <v>780</v>
      </c>
    </row>
    <row r="116" spans="1:2" x14ac:dyDescent="0.25">
      <c r="A116" s="75">
        <v>44228</v>
      </c>
      <c r="B116" s="74" t="s">
        <v>663</v>
      </c>
    </row>
    <row r="117" spans="1:2" ht="45" x14ac:dyDescent="0.25">
      <c r="A117" s="72"/>
      <c r="B117" s="76" t="s">
        <v>779</v>
      </c>
    </row>
    <row r="118" spans="1:2" x14ac:dyDescent="0.25">
      <c r="A118" s="72"/>
      <c r="B118" s="73"/>
    </row>
    <row r="119" spans="1:2" x14ac:dyDescent="0.25">
      <c r="A119" s="75">
        <v>44227</v>
      </c>
      <c r="B119" s="74" t="s">
        <v>772</v>
      </c>
    </row>
    <row r="120" spans="1:2" ht="60" x14ac:dyDescent="0.25">
      <c r="A120" s="72"/>
      <c r="B120" s="76" t="s">
        <v>773</v>
      </c>
    </row>
    <row r="121" spans="1:2" x14ac:dyDescent="0.25">
      <c r="A121" s="75">
        <v>44226</v>
      </c>
      <c r="B121" s="74" t="s">
        <v>767</v>
      </c>
    </row>
    <row r="122" spans="1:2" x14ac:dyDescent="0.25">
      <c r="A122" s="72"/>
      <c r="B122" s="73" t="s">
        <v>771</v>
      </c>
    </row>
    <row r="123" spans="1:2" x14ac:dyDescent="0.25">
      <c r="A123" s="75">
        <v>44225</v>
      </c>
      <c r="B123" s="74" t="s">
        <v>608</v>
      </c>
    </row>
    <row r="124" spans="1:2" ht="105" x14ac:dyDescent="0.25">
      <c r="A124" s="72"/>
      <c r="B124" s="76" t="s">
        <v>770</v>
      </c>
    </row>
    <row r="125" spans="1:2" x14ac:dyDescent="0.25">
      <c r="A125" s="75">
        <v>44224</v>
      </c>
      <c r="B125" s="74" t="s">
        <v>768</v>
      </c>
    </row>
    <row r="126" spans="1:2" ht="45" x14ac:dyDescent="0.25">
      <c r="A126" s="72"/>
      <c r="B126" s="76" t="s">
        <v>769</v>
      </c>
    </row>
    <row r="127" spans="1:2" x14ac:dyDescent="0.25">
      <c r="A127" s="75">
        <v>44222</v>
      </c>
      <c r="B127" s="74" t="s">
        <v>729</v>
      </c>
    </row>
    <row r="128" spans="1:2" ht="135" x14ac:dyDescent="0.25">
      <c r="A128" s="72"/>
      <c r="B128" s="76" t="s">
        <v>766</v>
      </c>
    </row>
    <row r="129" spans="1:2" x14ac:dyDescent="0.25">
      <c r="A129" s="75">
        <v>44221</v>
      </c>
      <c r="B129" s="74" t="s">
        <v>763</v>
      </c>
    </row>
    <row r="130" spans="1:2" x14ac:dyDescent="0.25">
      <c r="B130" t="s">
        <v>764</v>
      </c>
    </row>
    <row r="131" spans="1:2" x14ac:dyDescent="0.25">
      <c r="A131" s="72"/>
      <c r="B131" s="73"/>
    </row>
    <row r="132" spans="1:2" x14ac:dyDescent="0.25">
      <c r="A132" s="75">
        <v>44220</v>
      </c>
      <c r="B132" s="74" t="s">
        <v>755</v>
      </c>
    </row>
    <row r="133" spans="1:2" ht="75" x14ac:dyDescent="0.25">
      <c r="A133" s="72"/>
      <c r="B133" s="76" t="s">
        <v>761</v>
      </c>
    </row>
    <row r="134" spans="1:2" x14ac:dyDescent="0.25">
      <c r="A134" s="75">
        <v>44219</v>
      </c>
      <c r="B134" s="74" t="s">
        <v>762</v>
      </c>
    </row>
    <row r="135" spans="1:2" x14ac:dyDescent="0.25">
      <c r="A135" s="72"/>
      <c r="B135" s="73" t="s">
        <v>760</v>
      </c>
    </row>
    <row r="136" spans="1:2" x14ac:dyDescent="0.25">
      <c r="A136" s="75">
        <v>44218</v>
      </c>
      <c r="B136" s="74" t="s">
        <v>755</v>
      </c>
    </row>
    <row r="137" spans="1:2" ht="60" x14ac:dyDescent="0.25">
      <c r="A137" s="72"/>
      <c r="B137" s="76" t="s">
        <v>756</v>
      </c>
    </row>
    <row r="138" spans="1:2" x14ac:dyDescent="0.25">
      <c r="A138" s="75">
        <v>44217</v>
      </c>
      <c r="B138" s="74" t="s">
        <v>664</v>
      </c>
    </row>
    <row r="139" spans="1:2" ht="60" x14ac:dyDescent="0.25">
      <c r="A139" s="72"/>
      <c r="B139" s="76" t="s">
        <v>754</v>
      </c>
    </row>
    <row r="140" spans="1:2" x14ac:dyDescent="0.25">
      <c r="A140" s="75">
        <v>44215</v>
      </c>
      <c r="B140" s="74" t="s">
        <v>663</v>
      </c>
    </row>
    <row r="141" spans="1:2" ht="135" x14ac:dyDescent="0.25">
      <c r="A141" s="72"/>
      <c r="B141" s="76" t="s">
        <v>735</v>
      </c>
    </row>
    <row r="142" spans="1:2" x14ac:dyDescent="0.25">
      <c r="A142" s="75">
        <v>44214</v>
      </c>
      <c r="B142" s="74" t="s">
        <v>729</v>
      </c>
    </row>
    <row r="143" spans="1:2" ht="105" x14ac:dyDescent="0.25">
      <c r="A143" s="72"/>
      <c r="B143" s="76" t="s">
        <v>730</v>
      </c>
    </row>
    <row r="144" spans="1:2" x14ac:dyDescent="0.25">
      <c r="A144" s="72"/>
      <c r="B144" s="73"/>
    </row>
    <row r="145" spans="1:2" x14ac:dyDescent="0.25">
      <c r="A145" s="75">
        <v>44211</v>
      </c>
      <c r="B145" s="74" t="s">
        <v>663</v>
      </c>
    </row>
    <row r="146" spans="1:2" ht="105" x14ac:dyDescent="0.25">
      <c r="A146" s="72"/>
      <c r="B146" s="76" t="s">
        <v>665</v>
      </c>
    </row>
    <row r="147" spans="1:2" x14ac:dyDescent="0.25">
      <c r="A147" s="75">
        <v>44210</v>
      </c>
      <c r="B147" s="74" t="s">
        <v>664</v>
      </c>
    </row>
    <row r="148" spans="1:2" ht="75" x14ac:dyDescent="0.25">
      <c r="A148" s="72"/>
      <c r="B148" s="76" t="s">
        <v>654</v>
      </c>
    </row>
    <row r="149" spans="1:2" x14ac:dyDescent="0.25">
      <c r="A149" s="75">
        <v>44208</v>
      </c>
      <c r="B149" s="74" t="s">
        <v>660</v>
      </c>
    </row>
    <row r="150" spans="1:2" ht="75" x14ac:dyDescent="0.25">
      <c r="A150" s="72"/>
      <c r="B150" s="76" t="s">
        <v>666</v>
      </c>
    </row>
    <row r="151" spans="1:2" x14ac:dyDescent="0.25">
      <c r="A151" s="75">
        <v>44207</v>
      </c>
      <c r="B151" s="74" t="s">
        <v>661</v>
      </c>
    </row>
    <row r="152" spans="1:2" ht="45" x14ac:dyDescent="0.25">
      <c r="A152" s="72"/>
      <c r="B152" s="76" t="s">
        <v>653</v>
      </c>
    </row>
    <row r="153" spans="1:2" x14ac:dyDescent="0.25">
      <c r="A153" s="72"/>
      <c r="B153" s="73"/>
    </row>
    <row r="154" spans="1:2" x14ac:dyDescent="0.25">
      <c r="A154" s="75">
        <v>44205</v>
      </c>
      <c r="B154" s="74" t="s">
        <v>662</v>
      </c>
    </row>
    <row r="155" spans="1:2" ht="60" x14ac:dyDescent="0.25">
      <c r="A155" s="72"/>
      <c r="B155" s="76" t="s">
        <v>652</v>
      </c>
    </row>
    <row r="156" spans="1:2" x14ac:dyDescent="0.25">
      <c r="A156" s="72"/>
      <c r="B156" s="73"/>
    </row>
    <row r="157" spans="1:2" x14ac:dyDescent="0.25">
      <c r="A157" s="72"/>
      <c r="B157"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803</v>
      </c>
      <c r="J29" s="8" t="s">
        <v>73</v>
      </c>
      <c r="K29" s="8" t="s">
        <v>106</v>
      </c>
    </row>
    <row r="30" spans="1:11" x14ac:dyDescent="0.25">
      <c r="A30">
        <v>1</v>
      </c>
      <c r="B30" s="8" t="s">
        <v>236</v>
      </c>
      <c r="C30" s="8" t="s">
        <v>237</v>
      </c>
      <c r="D30" s="8" t="s">
        <v>238</v>
      </c>
      <c r="E30" s="8" t="s">
        <v>239</v>
      </c>
      <c r="F30" s="18">
        <v>39425</v>
      </c>
      <c r="G30" s="196">
        <v>18</v>
      </c>
      <c r="H30" s="8" t="s">
        <v>803</v>
      </c>
      <c r="J30" s="8" t="s">
        <v>236</v>
      </c>
      <c r="K30" s="8" t="s">
        <v>239</v>
      </c>
    </row>
    <row r="31" spans="1:11" x14ac:dyDescent="0.25">
      <c r="A31">
        <v>1</v>
      </c>
      <c r="B31" s="8" t="s">
        <v>92</v>
      </c>
      <c r="C31" s="8"/>
      <c r="D31" s="8" t="s">
        <v>91</v>
      </c>
      <c r="E31" s="8" t="s">
        <v>90</v>
      </c>
      <c r="F31" s="18">
        <v>39507</v>
      </c>
      <c r="G31" s="196">
        <v>18</v>
      </c>
      <c r="H31" s="8" t="s">
        <v>803</v>
      </c>
      <c r="J31" s="8" t="s">
        <v>92</v>
      </c>
      <c r="K31" s="8" t="s">
        <v>90</v>
      </c>
    </row>
    <row r="32" spans="1:11" x14ac:dyDescent="0.25">
      <c r="A32">
        <v>1</v>
      </c>
      <c r="B32" s="8" t="s">
        <v>134</v>
      </c>
      <c r="C32" s="8" t="s">
        <v>133</v>
      </c>
      <c r="D32" s="8" t="s">
        <v>235</v>
      </c>
      <c r="E32" s="8" t="s">
        <v>87</v>
      </c>
      <c r="F32" s="18">
        <v>38979</v>
      </c>
      <c r="G32" s="196">
        <v>18</v>
      </c>
      <c r="H32" s="8" t="s">
        <v>803</v>
      </c>
      <c r="J32" s="8" t="s">
        <v>134</v>
      </c>
      <c r="K32" s="8" t="s">
        <v>87</v>
      </c>
    </row>
    <row r="33" spans="1:11" x14ac:dyDescent="0.25">
      <c r="A33">
        <v>1</v>
      </c>
      <c r="B33" s="8" t="s">
        <v>83</v>
      </c>
      <c r="C33" s="8"/>
      <c r="D33" s="8" t="s">
        <v>82</v>
      </c>
      <c r="E33" s="8" t="s">
        <v>81</v>
      </c>
      <c r="F33" s="18">
        <v>39475</v>
      </c>
      <c r="G33" s="196">
        <v>18</v>
      </c>
      <c r="H33" s="8" t="s">
        <v>803</v>
      </c>
      <c r="J33" s="8" t="s">
        <v>83</v>
      </c>
      <c r="K33" s="8" t="s">
        <v>81</v>
      </c>
    </row>
    <row r="34" spans="1:11" x14ac:dyDescent="0.25">
      <c r="A34">
        <v>1</v>
      </c>
      <c r="B34" s="8" t="s">
        <v>428</v>
      </c>
      <c r="C34" s="8"/>
      <c r="D34" s="8" t="s">
        <v>429</v>
      </c>
      <c r="E34" s="8" t="s">
        <v>600</v>
      </c>
      <c r="F34" s="18">
        <v>40003</v>
      </c>
      <c r="G34" s="196">
        <v>16</v>
      </c>
      <c r="H34" s="8" t="s">
        <v>804</v>
      </c>
      <c r="J34" s="8" t="s">
        <v>428</v>
      </c>
      <c r="K34" s="8" t="s">
        <v>600</v>
      </c>
    </row>
    <row r="35" spans="1:11" x14ac:dyDescent="0.25">
      <c r="A35">
        <v>2</v>
      </c>
      <c r="B35" s="8" t="s">
        <v>116</v>
      </c>
      <c r="C35" s="8" t="s">
        <v>115</v>
      </c>
      <c r="D35" s="8" t="s">
        <v>114</v>
      </c>
      <c r="E35" s="8" t="s">
        <v>113</v>
      </c>
      <c r="F35" s="176">
        <v>40073</v>
      </c>
      <c r="G35" s="196">
        <v>16</v>
      </c>
      <c r="H35" s="19" t="s">
        <v>803</v>
      </c>
      <c r="J35" s="8" t="s">
        <v>116</v>
      </c>
      <c r="K35" s="8" t="s">
        <v>113</v>
      </c>
    </row>
    <row r="40" spans="1:11" x14ac:dyDescent="0.25">
      <c r="A40">
        <v>3</v>
      </c>
      <c r="B40" s="8" t="s">
        <v>112</v>
      </c>
      <c r="C40" s="8" t="s">
        <v>111</v>
      </c>
      <c r="D40" s="8" t="s">
        <v>110</v>
      </c>
      <c r="E40" s="8" t="s">
        <v>109</v>
      </c>
      <c r="F40" s="56">
        <v>40099</v>
      </c>
      <c r="G40" s="19" t="s">
        <v>797</v>
      </c>
    </row>
    <row r="41" spans="1:11" x14ac:dyDescent="0.25">
      <c r="A41">
        <v>9</v>
      </c>
      <c r="B41" s="8" t="s">
        <v>62</v>
      </c>
      <c r="C41" s="8"/>
      <c r="D41" s="8" t="s">
        <v>292</v>
      </c>
      <c r="E41" s="8" t="s">
        <v>293</v>
      </c>
      <c r="F41" s="18">
        <v>39814</v>
      </c>
      <c r="G41" s="19" t="s">
        <v>797</v>
      </c>
    </row>
    <row r="42" spans="1:11" x14ac:dyDescent="0.25">
      <c r="A42">
        <v>9</v>
      </c>
      <c r="B42" s="8" t="s">
        <v>89</v>
      </c>
      <c r="C42" s="8"/>
      <c r="D42" s="8" t="s">
        <v>88</v>
      </c>
      <c r="E42" s="8" t="s">
        <v>87</v>
      </c>
      <c r="F42" s="18">
        <v>39651</v>
      </c>
      <c r="G42" s="19" t="s">
        <v>797</v>
      </c>
    </row>
    <row r="43" spans="1:11" x14ac:dyDescent="0.25">
      <c r="A43">
        <v>9</v>
      </c>
      <c r="B43" s="8" t="s">
        <v>86</v>
      </c>
      <c r="C43" s="8"/>
      <c r="D43" s="8" t="s">
        <v>85</v>
      </c>
      <c r="E43" s="8" t="s">
        <v>84</v>
      </c>
      <c r="F43" s="18">
        <v>39562</v>
      </c>
      <c r="G43" s="19" t="s">
        <v>797</v>
      </c>
    </row>
    <row r="44" spans="1:11" x14ac:dyDescent="0.25">
      <c r="A44">
        <v>3</v>
      </c>
      <c r="B44" s="8" t="s">
        <v>80</v>
      </c>
      <c r="C44" s="8"/>
      <c r="D44" s="8" t="s">
        <v>79</v>
      </c>
      <c r="E44" s="8" t="s">
        <v>78</v>
      </c>
      <c r="F44" s="18">
        <v>39927</v>
      </c>
      <c r="G44" s="19" t="s">
        <v>797</v>
      </c>
    </row>
    <row r="45" spans="1:11" x14ac:dyDescent="0.25">
      <c r="A45">
        <v>2</v>
      </c>
      <c r="B45" s="8" t="s">
        <v>77</v>
      </c>
      <c r="C45" s="8" t="s">
        <v>76</v>
      </c>
      <c r="D45" s="8" t="s">
        <v>75</v>
      </c>
      <c r="E45" s="8" t="s">
        <v>74</v>
      </c>
      <c r="F45" s="18">
        <v>40051</v>
      </c>
      <c r="G45" s="196" t="s">
        <v>798</v>
      </c>
    </row>
    <row r="46" spans="1:11" x14ac:dyDescent="0.25">
      <c r="A46">
        <v>2</v>
      </c>
      <c r="B46" s="8" t="s">
        <v>73</v>
      </c>
      <c r="C46" s="8"/>
      <c r="D46" s="8" t="s">
        <v>27</v>
      </c>
      <c r="E46" s="8" t="s">
        <v>70</v>
      </c>
      <c r="F46" s="18">
        <v>40004</v>
      </c>
      <c r="G46" s="196" t="s">
        <v>798</v>
      </c>
    </row>
    <row r="47" spans="1:11" x14ac:dyDescent="0.25">
      <c r="A47">
        <v>4</v>
      </c>
      <c r="B47" s="8" t="s">
        <v>72</v>
      </c>
      <c r="C47" s="8"/>
      <c r="D47" s="8" t="s">
        <v>71</v>
      </c>
      <c r="E47" s="8" t="s">
        <v>70</v>
      </c>
      <c r="F47" s="18">
        <v>40754</v>
      </c>
      <c r="G47" s="19" t="s">
        <v>797</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9"/>
      <c r="D5" s="259"/>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59"/>
      <c r="BJ5" s="259"/>
      <c r="BK5" s="259"/>
      <c r="BL5" s="259"/>
      <c r="BM5" s="259"/>
      <c r="BN5" s="259"/>
      <c r="BO5" s="259"/>
      <c r="BP5" s="259"/>
      <c r="BQ5" s="259"/>
      <c r="BR5" s="259"/>
    </row>
    <row r="6" spans="1:70" x14ac:dyDescent="0.25">
      <c r="C6" s="2" t="s">
        <v>3</v>
      </c>
    </row>
    <row r="7" spans="1:70" ht="45" customHeight="1" x14ac:dyDescent="0.25">
      <c r="C7" s="256" t="s">
        <v>281</v>
      </c>
      <c r="D7" s="259"/>
      <c r="E7" s="259"/>
      <c r="F7" s="259"/>
      <c r="G7" s="259"/>
      <c r="H7" s="259"/>
      <c r="I7" s="259"/>
      <c r="J7" s="259"/>
      <c r="K7" s="259"/>
      <c r="L7" s="259"/>
      <c r="M7" s="259"/>
      <c r="N7" s="259"/>
      <c r="O7" s="259"/>
      <c r="P7" s="259"/>
      <c r="Q7" s="259"/>
      <c r="R7" s="259"/>
      <c r="S7" s="259"/>
      <c r="T7" s="259"/>
      <c r="U7" s="259"/>
      <c r="V7" s="259"/>
      <c r="W7" s="259"/>
      <c r="X7" s="259"/>
      <c r="Y7" s="259"/>
      <c r="Z7" s="259"/>
      <c r="AA7" s="259"/>
      <c r="AB7" s="259"/>
      <c r="AC7" s="259"/>
      <c r="AD7" s="259"/>
      <c r="AE7" s="259"/>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row>
    <row r="8" spans="1:70" x14ac:dyDescent="0.25">
      <c r="C8" s="2" t="s">
        <v>4</v>
      </c>
    </row>
    <row r="9" spans="1:70" ht="75" customHeight="1" x14ac:dyDescent="0.25">
      <c r="C9" s="256" t="s">
        <v>274</v>
      </c>
      <c r="D9" s="259"/>
      <c r="E9" s="259"/>
      <c r="F9" s="259"/>
      <c r="G9" s="259"/>
      <c r="H9" s="259"/>
      <c r="I9" s="259"/>
      <c r="J9" s="259"/>
      <c r="K9" s="259"/>
      <c r="L9" s="259"/>
      <c r="M9" s="259"/>
      <c r="N9" s="259"/>
      <c r="O9" s="259"/>
      <c r="P9" s="259"/>
      <c r="Q9" s="259"/>
      <c r="R9" s="259"/>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row>
    <row r="10" spans="1:70" x14ac:dyDescent="0.25">
      <c r="C10" s="2" t="s">
        <v>5</v>
      </c>
    </row>
    <row r="11" spans="1:70" ht="75" customHeight="1" x14ac:dyDescent="0.25">
      <c r="C11" s="256" t="s">
        <v>298</v>
      </c>
      <c r="D11" s="259"/>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row>
    <row r="12" spans="1:70" x14ac:dyDescent="0.25">
      <c r="C12" s="2" t="s">
        <v>6</v>
      </c>
    </row>
    <row r="13" spans="1:70" ht="90.75" customHeight="1" x14ac:dyDescent="0.25">
      <c r="C13" s="256" t="s">
        <v>285</v>
      </c>
      <c r="D13" s="259"/>
      <c r="E13" s="259"/>
      <c r="F13" s="259"/>
      <c r="G13" s="259"/>
      <c r="H13" s="259"/>
      <c r="I13" s="259"/>
      <c r="J13" s="259"/>
      <c r="K13" s="259"/>
      <c r="L13" s="259"/>
      <c r="M13" s="259"/>
      <c r="N13" s="259"/>
      <c r="O13" s="259"/>
      <c r="P13" s="259"/>
      <c r="Q13" s="259"/>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7" t="s">
        <v>210</v>
      </c>
      <c r="D25" s="257"/>
      <c r="E25" s="257"/>
      <c r="F25" s="257"/>
      <c r="G25" s="257"/>
      <c r="H25" s="257"/>
      <c r="I25" s="257"/>
      <c r="J25" s="257"/>
      <c r="K25" s="257"/>
      <c r="L25" s="257"/>
      <c r="M25" s="257"/>
      <c r="N25" s="257"/>
      <c r="O25" s="257"/>
      <c r="P25" s="257"/>
      <c r="Q25" s="257"/>
      <c r="R25" s="257"/>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row>
    <row r="26" spans="1:70" x14ac:dyDescent="0.25">
      <c r="C26" s="2" t="s">
        <v>193</v>
      </c>
    </row>
    <row r="27" spans="1:70" ht="244.5" customHeight="1" x14ac:dyDescent="0.25">
      <c r="A27" s="1"/>
      <c r="C27" s="257" t="s">
        <v>194</v>
      </c>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257"/>
      <c r="AD27" s="257"/>
      <c r="AE27" s="257"/>
      <c r="AF27" s="257"/>
      <c r="AG27" s="257"/>
      <c r="AH27" s="257"/>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57"/>
      <c r="BH27" s="257"/>
      <c r="BI27" s="257"/>
      <c r="BJ27" s="257"/>
      <c r="BK27" s="257"/>
      <c r="BL27" s="257"/>
      <c r="BM27" s="257"/>
      <c r="BN27" s="257"/>
      <c r="BO27" s="257"/>
      <c r="BP27" s="257"/>
      <c r="BQ27" s="257"/>
      <c r="BR27" s="257"/>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7" t="s">
        <v>279</v>
      </c>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7" t="s">
        <v>278</v>
      </c>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row>
    <row r="36" spans="1:70" x14ac:dyDescent="0.25">
      <c r="B36" s="2" t="s">
        <v>2</v>
      </c>
    </row>
    <row r="37" spans="1:70" x14ac:dyDescent="0.25">
      <c r="B37" s="259" t="s">
        <v>12</v>
      </c>
      <c r="C37" s="259"/>
      <c r="D37" s="259"/>
      <c r="E37" s="259"/>
      <c r="F37" s="259"/>
      <c r="G37" s="259"/>
      <c r="H37" s="259"/>
      <c r="I37" s="259"/>
      <c r="J37" s="259"/>
      <c r="K37" s="259"/>
      <c r="L37" s="259"/>
      <c r="M37" s="259"/>
      <c r="N37" s="259"/>
      <c r="O37" s="259"/>
      <c r="P37" s="259"/>
      <c r="Q37" s="259"/>
      <c r="R37" s="259"/>
      <c r="S37" s="259"/>
      <c r="T37" s="259"/>
      <c r="U37" s="259"/>
      <c r="V37" s="259"/>
      <c r="W37" s="259"/>
      <c r="X37" s="259"/>
      <c r="Y37" s="259"/>
      <c r="Z37" s="259"/>
      <c r="AA37" s="259"/>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259"/>
      <c r="BM37" s="259"/>
      <c r="BN37" s="259"/>
      <c r="BO37" s="259"/>
      <c r="BP37" s="259"/>
      <c r="BQ37" s="259"/>
      <c r="BR37" s="259"/>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2021-04-14T05:27:19Z</dcterms:modified>
</cp:coreProperties>
</file>