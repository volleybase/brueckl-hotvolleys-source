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BF21CE2C-1134-4722-A440-E7113F44EEDD}" xr6:coauthVersionLast="44" xr6:coauthVersionMax="44" xr10:uidLastSave="{00000000-0000-0000-0000-000000000000}"/>
  <bookViews>
    <workbookView xWindow="28680" yWindow="-120" windowWidth="29040" windowHeight="16440" activeTab="1"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Anwesend!$B$85:$K$87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31" i="3" l="1"/>
  <c r="Q60" i="3"/>
  <c r="P72" i="3"/>
  <c r="Q72" i="3" l="1"/>
  <c r="P60" i="3"/>
  <c r="BV72" i="3" l="1"/>
  <c r="BV73" i="3" s="1"/>
  <c r="BO72" i="3"/>
  <c r="BO60" i="3"/>
  <c r="BO73" i="3" s="1"/>
  <c r="BV31" i="3"/>
  <c r="BO31" i="3"/>
  <c r="P29" i="3" l="1"/>
  <c r="P31" i="3"/>
  <c r="LW72" i="3" l="1"/>
  <c r="LV72" i="3"/>
  <c r="LU72" i="3"/>
  <c r="LT72" i="3"/>
  <c r="LS72" i="3"/>
  <c r="LR72" i="3"/>
  <c r="LQ72" i="3"/>
  <c r="LP72" i="3"/>
  <c r="LO72" i="3"/>
  <c r="LN72" i="3"/>
  <c r="LM72" i="3"/>
  <c r="LL72" i="3"/>
  <c r="LK72" i="3"/>
  <c r="LJ72" i="3"/>
  <c r="LI72" i="3"/>
  <c r="LH72" i="3"/>
  <c r="LG72" i="3"/>
  <c r="LF72" i="3"/>
  <c r="LE72" i="3"/>
  <c r="LD72" i="3"/>
  <c r="LC72" i="3"/>
  <c r="LB72" i="3"/>
  <c r="LA72" i="3"/>
  <c r="KZ72" i="3"/>
  <c r="KY72" i="3"/>
  <c r="KX72" i="3"/>
  <c r="KW72" i="3"/>
  <c r="KV72" i="3"/>
  <c r="KU72" i="3"/>
  <c r="KT72" i="3"/>
  <c r="KS72" i="3"/>
  <c r="KR72" i="3"/>
  <c r="KQ72" i="3"/>
  <c r="KP72" i="3"/>
  <c r="KO72" i="3"/>
  <c r="KN72" i="3"/>
  <c r="KM72" i="3"/>
  <c r="KL72" i="3"/>
  <c r="KK72" i="3"/>
  <c r="KJ72" i="3"/>
  <c r="KI72" i="3"/>
  <c r="KH72" i="3"/>
  <c r="KG72" i="3"/>
  <c r="KF72" i="3"/>
  <c r="KE72" i="3"/>
  <c r="KD72" i="3"/>
  <c r="KC72" i="3"/>
  <c r="KB72" i="3"/>
  <c r="KA72" i="3"/>
  <c r="JZ72" i="3"/>
  <c r="JY72" i="3"/>
  <c r="JX72" i="3"/>
  <c r="JW72" i="3"/>
  <c r="JV72" i="3"/>
  <c r="JU72" i="3"/>
  <c r="JT72" i="3"/>
  <c r="JS72" i="3"/>
  <c r="JR72" i="3"/>
  <c r="JQ72" i="3"/>
  <c r="JP72" i="3"/>
  <c r="JO72" i="3"/>
  <c r="JN72" i="3"/>
  <c r="JM72" i="3"/>
  <c r="JL72" i="3"/>
  <c r="JK72" i="3"/>
  <c r="JJ72" i="3"/>
  <c r="JI72" i="3"/>
  <c r="JH72" i="3"/>
  <c r="JG72" i="3"/>
  <c r="JF72" i="3"/>
  <c r="JE72" i="3"/>
  <c r="JD72" i="3"/>
  <c r="JC72" i="3"/>
  <c r="JB72" i="3"/>
  <c r="JA72" i="3"/>
  <c r="IZ72" i="3"/>
  <c r="IY72" i="3"/>
  <c r="IX72" i="3"/>
  <c r="IW72" i="3"/>
  <c r="IV72" i="3"/>
  <c r="IU72" i="3"/>
  <c r="IT72" i="3"/>
  <c r="IS72" i="3"/>
  <c r="IR72" i="3"/>
  <c r="IQ72" i="3"/>
  <c r="IP72" i="3"/>
  <c r="IO72" i="3"/>
  <c r="IN72" i="3"/>
  <c r="IM72" i="3"/>
  <c r="IL72" i="3"/>
  <c r="IK72" i="3"/>
  <c r="IJ72" i="3"/>
  <c r="II72" i="3"/>
  <c r="IH72" i="3"/>
  <c r="IG72" i="3"/>
  <c r="IF72" i="3"/>
  <c r="IE72" i="3"/>
  <c r="ID72" i="3"/>
  <c r="IC72" i="3"/>
  <c r="IB72" i="3"/>
  <c r="IA72" i="3"/>
  <c r="HZ72" i="3"/>
  <c r="HY72" i="3"/>
  <c r="HX72" i="3"/>
  <c r="HW72" i="3"/>
  <c r="HV72" i="3"/>
  <c r="HU72" i="3"/>
  <c r="HT72" i="3"/>
  <c r="HS72" i="3"/>
  <c r="HR72" i="3"/>
  <c r="HQ72" i="3"/>
  <c r="HP72" i="3"/>
  <c r="HO72" i="3"/>
  <c r="HN72" i="3"/>
  <c r="HM72" i="3"/>
  <c r="HL72" i="3"/>
  <c r="HK72" i="3"/>
  <c r="HJ72" i="3"/>
  <c r="HI72" i="3"/>
  <c r="HH72" i="3"/>
  <c r="HG72" i="3"/>
  <c r="HF72" i="3"/>
  <c r="HE72" i="3"/>
  <c r="HD72" i="3"/>
  <c r="HC72" i="3"/>
  <c r="HB72" i="3"/>
  <c r="HA72" i="3"/>
  <c r="GZ72" i="3"/>
  <c r="GY72" i="3"/>
  <c r="GX72" i="3"/>
  <c r="GW72" i="3"/>
  <c r="GV72" i="3"/>
  <c r="GU72" i="3"/>
  <c r="GT72" i="3"/>
  <c r="GS72" i="3"/>
  <c r="GR72" i="3"/>
  <c r="GQ72" i="3"/>
  <c r="GP72" i="3"/>
  <c r="GO72" i="3"/>
  <c r="GN72" i="3"/>
  <c r="GM72" i="3"/>
  <c r="GL72" i="3"/>
  <c r="GK72" i="3"/>
  <c r="GJ72" i="3"/>
  <c r="GI72" i="3"/>
  <c r="GH72" i="3"/>
  <c r="GG72" i="3"/>
  <c r="GF72" i="3"/>
  <c r="GE72" i="3"/>
  <c r="GD72" i="3"/>
  <c r="GC72" i="3"/>
  <c r="GB72" i="3"/>
  <c r="GA72" i="3"/>
  <c r="FZ72" i="3"/>
  <c r="FY72" i="3"/>
  <c r="FX72" i="3"/>
  <c r="FW72" i="3"/>
  <c r="FV72" i="3"/>
  <c r="FU72" i="3"/>
  <c r="FT72" i="3"/>
  <c r="FS72" i="3"/>
  <c r="FR72" i="3"/>
  <c r="FQ72" i="3"/>
  <c r="FP72" i="3"/>
  <c r="FO72" i="3"/>
  <c r="FN72" i="3"/>
  <c r="FM72" i="3"/>
  <c r="FL72" i="3"/>
  <c r="FK72" i="3"/>
  <c r="FJ72" i="3"/>
  <c r="FI72" i="3"/>
  <c r="FH72" i="3"/>
  <c r="FG72" i="3"/>
  <c r="FF72" i="3"/>
  <c r="FE72" i="3"/>
  <c r="FD72" i="3"/>
  <c r="FC72" i="3"/>
  <c r="FB72" i="3"/>
  <c r="FA72" i="3"/>
  <c r="EZ72" i="3"/>
  <c r="EY72" i="3"/>
  <c r="EX72" i="3"/>
  <c r="EW72" i="3"/>
  <c r="EV72" i="3"/>
  <c r="EU72" i="3"/>
  <c r="ET72" i="3"/>
  <c r="ES72" i="3"/>
  <c r="ER72" i="3"/>
  <c r="EQ72" i="3"/>
  <c r="EP72" i="3"/>
  <c r="EO72" i="3"/>
  <c r="EN72" i="3"/>
  <c r="EM72" i="3"/>
  <c r="EL72" i="3"/>
  <c r="EK72" i="3"/>
  <c r="EJ72" i="3"/>
  <c r="EI72" i="3"/>
  <c r="EH72" i="3"/>
  <c r="EG72" i="3"/>
  <c r="EF72" i="3"/>
  <c r="EE72" i="3"/>
  <c r="ED72" i="3"/>
  <c r="EC72" i="3"/>
  <c r="EB72" i="3"/>
  <c r="EA72" i="3"/>
  <c r="DZ72" i="3"/>
  <c r="DY72" i="3"/>
  <c r="DX72" i="3"/>
  <c r="DW72" i="3"/>
  <c r="DV72" i="3"/>
  <c r="DU72" i="3"/>
  <c r="DT72" i="3"/>
  <c r="DS72" i="3"/>
  <c r="DR72" i="3"/>
  <c r="DQ72" i="3"/>
  <c r="DP72" i="3"/>
  <c r="DO72" i="3"/>
  <c r="DN72" i="3"/>
  <c r="DM72" i="3"/>
  <c r="DL72" i="3"/>
  <c r="DK72" i="3"/>
  <c r="DJ72" i="3"/>
  <c r="DI72" i="3"/>
  <c r="DH72" i="3"/>
  <c r="DG72" i="3"/>
  <c r="DF72" i="3"/>
  <c r="DE72" i="3"/>
  <c r="DD72" i="3"/>
  <c r="DC72" i="3"/>
  <c r="DB72" i="3"/>
  <c r="DA72" i="3"/>
  <c r="CZ72" i="3"/>
  <c r="CY72" i="3"/>
  <c r="CX72" i="3"/>
  <c r="CW72" i="3"/>
  <c r="CV72" i="3"/>
  <c r="CU72" i="3"/>
  <c r="CT72" i="3"/>
  <c r="CS72" i="3"/>
  <c r="CR72" i="3"/>
  <c r="CQ72" i="3"/>
  <c r="CP72" i="3"/>
  <c r="CO72" i="3"/>
  <c r="CN72" i="3"/>
  <c r="CM72" i="3"/>
  <c r="CL72" i="3"/>
  <c r="CK72" i="3"/>
  <c r="CJ72" i="3"/>
  <c r="CI72" i="3"/>
  <c r="CH72" i="3"/>
  <c r="CG72" i="3"/>
  <c r="CF72" i="3"/>
  <c r="CE72" i="3"/>
  <c r="CC72" i="3"/>
  <c r="CB72" i="3"/>
  <c r="CA72" i="3"/>
  <c r="BZ72" i="3"/>
  <c r="BY72" i="3"/>
  <c r="BX72" i="3"/>
  <c r="BW72" i="3"/>
  <c r="BU72" i="3"/>
  <c r="BT72" i="3"/>
  <c r="BS72" i="3"/>
  <c r="BR72" i="3"/>
  <c r="BQ72" i="3"/>
  <c r="BP72" i="3"/>
  <c r="BN72" i="3"/>
  <c r="BM72" i="3"/>
  <c r="BL72" i="3"/>
  <c r="BK72" i="3"/>
  <c r="BJ72" i="3"/>
  <c r="BI72" i="3"/>
  <c r="BH72" i="3"/>
  <c r="BG72" i="3"/>
  <c r="BF72" i="3"/>
  <c r="BE72" i="3"/>
  <c r="BD72" i="3"/>
  <c r="BC72" i="3"/>
  <c r="BB72" i="3"/>
  <c r="P45" i="3" l="1"/>
  <c r="L45" i="3"/>
  <c r="K45" i="3"/>
  <c r="J45" i="3"/>
  <c r="I45" i="3"/>
  <c r="H45" i="3"/>
  <c r="G45" i="3"/>
  <c r="F45" i="3"/>
  <c r="P53" i="3" l="1"/>
  <c r="L53" i="3"/>
  <c r="K53" i="3"/>
  <c r="J53" i="3"/>
  <c r="I53" i="3"/>
  <c r="H53" i="3"/>
  <c r="G53" i="3"/>
  <c r="F53" i="3"/>
  <c r="P49" i="3"/>
  <c r="L49" i="3"/>
  <c r="K49" i="3"/>
  <c r="J49" i="3"/>
  <c r="I49" i="3"/>
  <c r="H49" i="3"/>
  <c r="G49" i="3"/>
  <c r="F49" i="3"/>
  <c r="H69" i="3" l="1"/>
  <c r="G69" i="3"/>
  <c r="H68" i="3"/>
  <c r="G68" i="3"/>
  <c r="H67" i="3"/>
  <c r="G67" i="3"/>
  <c r="H66" i="3"/>
  <c r="G66" i="3"/>
  <c r="L66" i="3"/>
  <c r="K66" i="3"/>
  <c r="J66" i="3"/>
  <c r="I66" i="3"/>
  <c r="F66" i="3"/>
  <c r="P11" i="3"/>
  <c r="L11" i="3"/>
  <c r="K11" i="3"/>
  <c r="J11" i="3"/>
  <c r="I11" i="3"/>
  <c r="H11" i="3"/>
  <c r="G11" i="3"/>
  <c r="F11" i="3"/>
  <c r="P43" i="3"/>
  <c r="L43" i="3"/>
  <c r="K43" i="3"/>
  <c r="J43" i="3"/>
  <c r="I43" i="3"/>
  <c r="H43" i="3"/>
  <c r="G43" i="3"/>
  <c r="F43" i="3"/>
  <c r="R61" i="3" l="1"/>
  <c r="Q70" i="3"/>
  <c r="Q67" i="3"/>
  <c r="Q65" i="3"/>
  <c r="P71" i="3"/>
  <c r="Q69" i="3" s="1"/>
  <c r="BA72" i="3"/>
  <c r="AZ72" i="3"/>
  <c r="AY72" i="3"/>
  <c r="AX72" i="3"/>
  <c r="AW72" i="3"/>
  <c r="AV72" i="3"/>
  <c r="AU72" i="3"/>
  <c r="AT72" i="3"/>
  <c r="AS72" i="3"/>
  <c r="AR72" i="3"/>
  <c r="AQ72" i="3"/>
  <c r="AP72" i="3"/>
  <c r="AO72" i="3"/>
  <c r="AN72" i="3"/>
  <c r="AF72" i="3"/>
  <c r="AE72" i="3"/>
  <c r="AD72" i="3"/>
  <c r="AC72" i="3"/>
  <c r="AB72" i="3"/>
  <c r="AA72" i="3"/>
  <c r="Z72" i="3"/>
  <c r="Y72" i="3"/>
  <c r="X72" i="3"/>
  <c r="W72" i="3"/>
  <c r="V72" i="3"/>
  <c r="U72" i="3"/>
  <c r="T72" i="3"/>
  <c r="S72" i="3"/>
  <c r="AM72" i="3"/>
  <c r="AL72" i="3"/>
  <c r="AK72" i="3"/>
  <c r="AJ72" i="3"/>
  <c r="AI72" i="3"/>
  <c r="AG72" i="3"/>
  <c r="AH72" i="3"/>
  <c r="L57" i="3"/>
  <c r="K57" i="3"/>
  <c r="J57" i="3"/>
  <c r="I57" i="3"/>
  <c r="H57" i="3"/>
  <c r="G57" i="3"/>
  <c r="F57" i="3"/>
  <c r="L56" i="3"/>
  <c r="K56" i="3"/>
  <c r="J56" i="3"/>
  <c r="I56" i="3"/>
  <c r="H56" i="3"/>
  <c r="G56" i="3"/>
  <c r="F56" i="3"/>
  <c r="L55" i="3"/>
  <c r="K55" i="3"/>
  <c r="J55" i="3"/>
  <c r="I55" i="3"/>
  <c r="H55" i="3"/>
  <c r="G55" i="3"/>
  <c r="F55" i="3"/>
  <c r="L54" i="3"/>
  <c r="K54" i="3"/>
  <c r="J54" i="3"/>
  <c r="I54" i="3"/>
  <c r="H54" i="3"/>
  <c r="G54" i="3"/>
  <c r="F54" i="3"/>
  <c r="LW60" i="3"/>
  <c r="LV60" i="3"/>
  <c r="LU60" i="3"/>
  <c r="LT60" i="3"/>
  <c r="LS60" i="3"/>
  <c r="LR60" i="3"/>
  <c r="LQ60" i="3"/>
  <c r="LP60" i="3"/>
  <c r="LO60" i="3"/>
  <c r="LN60" i="3"/>
  <c r="LM60" i="3"/>
  <c r="LL60" i="3"/>
  <c r="LK60" i="3"/>
  <c r="LJ60" i="3"/>
  <c r="LI60" i="3"/>
  <c r="LH60" i="3"/>
  <c r="LG60" i="3"/>
  <c r="LF60" i="3"/>
  <c r="LE60" i="3"/>
  <c r="LD60" i="3"/>
  <c r="LC60" i="3"/>
  <c r="LB60" i="3"/>
  <c r="LA60" i="3"/>
  <c r="KZ60" i="3"/>
  <c r="KY60" i="3"/>
  <c r="KX60" i="3"/>
  <c r="KW60" i="3"/>
  <c r="KV60" i="3"/>
  <c r="KU60" i="3"/>
  <c r="KT60" i="3"/>
  <c r="KS60" i="3"/>
  <c r="KR60" i="3"/>
  <c r="KQ60" i="3"/>
  <c r="KP60" i="3"/>
  <c r="KO60" i="3"/>
  <c r="KN60" i="3"/>
  <c r="KM60" i="3"/>
  <c r="KL60" i="3"/>
  <c r="KK60" i="3"/>
  <c r="KJ60" i="3"/>
  <c r="KI60" i="3"/>
  <c r="KH60" i="3"/>
  <c r="KG60" i="3"/>
  <c r="KF60" i="3"/>
  <c r="KE60" i="3"/>
  <c r="KD60" i="3"/>
  <c r="KC60" i="3"/>
  <c r="KB60" i="3"/>
  <c r="KA60" i="3"/>
  <c r="JZ60" i="3"/>
  <c r="JY60" i="3"/>
  <c r="JX60" i="3"/>
  <c r="JW60" i="3"/>
  <c r="JV60" i="3"/>
  <c r="JU60" i="3"/>
  <c r="JT60" i="3"/>
  <c r="JS60" i="3"/>
  <c r="JR60" i="3"/>
  <c r="JQ60" i="3"/>
  <c r="JP60" i="3"/>
  <c r="JO60" i="3"/>
  <c r="JN60" i="3"/>
  <c r="JM60" i="3"/>
  <c r="JL60" i="3"/>
  <c r="JK60" i="3"/>
  <c r="JJ60" i="3"/>
  <c r="JI60" i="3"/>
  <c r="JH60" i="3"/>
  <c r="JG60" i="3"/>
  <c r="JF60" i="3"/>
  <c r="JE60" i="3"/>
  <c r="JD60" i="3"/>
  <c r="JC60" i="3"/>
  <c r="JB60" i="3"/>
  <c r="JA60" i="3"/>
  <c r="IZ60" i="3"/>
  <c r="IY60" i="3"/>
  <c r="IX60" i="3"/>
  <c r="IW60" i="3"/>
  <c r="IV60" i="3"/>
  <c r="IU60" i="3"/>
  <c r="IT60" i="3"/>
  <c r="IS60" i="3"/>
  <c r="IR60" i="3"/>
  <c r="IQ60" i="3"/>
  <c r="IP60" i="3"/>
  <c r="IO60" i="3"/>
  <c r="IN60" i="3"/>
  <c r="IM60" i="3"/>
  <c r="IL60" i="3"/>
  <c r="IK60" i="3"/>
  <c r="IJ60" i="3"/>
  <c r="II60" i="3"/>
  <c r="IH60" i="3"/>
  <c r="IG60" i="3"/>
  <c r="IF60" i="3"/>
  <c r="IE60" i="3"/>
  <c r="ID60" i="3"/>
  <c r="IC60" i="3"/>
  <c r="IB60" i="3"/>
  <c r="IA60" i="3"/>
  <c r="HZ60" i="3"/>
  <c r="HY60" i="3"/>
  <c r="HX60" i="3"/>
  <c r="HW60" i="3"/>
  <c r="HV60" i="3"/>
  <c r="HU60" i="3"/>
  <c r="HT60" i="3"/>
  <c r="HS60" i="3"/>
  <c r="HR60" i="3"/>
  <c r="HQ60" i="3"/>
  <c r="HP60" i="3"/>
  <c r="HO60" i="3"/>
  <c r="HN60" i="3"/>
  <c r="HM60" i="3"/>
  <c r="HL60" i="3"/>
  <c r="HK60" i="3"/>
  <c r="HJ60" i="3"/>
  <c r="HI60" i="3"/>
  <c r="HH60" i="3"/>
  <c r="HG60" i="3"/>
  <c r="HF60" i="3"/>
  <c r="HE60" i="3"/>
  <c r="HD60" i="3"/>
  <c r="HC60" i="3"/>
  <c r="HB60" i="3"/>
  <c r="HA60" i="3"/>
  <c r="GZ60" i="3"/>
  <c r="GY60" i="3"/>
  <c r="GX60" i="3"/>
  <c r="GW60" i="3"/>
  <c r="GV60" i="3"/>
  <c r="GU60" i="3"/>
  <c r="GT60" i="3"/>
  <c r="GS60" i="3"/>
  <c r="GR60" i="3"/>
  <c r="GQ60" i="3"/>
  <c r="GP60" i="3"/>
  <c r="GO60" i="3"/>
  <c r="GN60" i="3"/>
  <c r="GM60" i="3"/>
  <c r="GL60" i="3"/>
  <c r="GK60" i="3"/>
  <c r="GJ60" i="3"/>
  <c r="GI60" i="3"/>
  <c r="GH60" i="3"/>
  <c r="GG60" i="3"/>
  <c r="GF60" i="3"/>
  <c r="GE60" i="3"/>
  <c r="GD60" i="3"/>
  <c r="GC60" i="3"/>
  <c r="GB60" i="3"/>
  <c r="GA60" i="3"/>
  <c r="FZ60" i="3"/>
  <c r="FY60" i="3"/>
  <c r="FX60" i="3"/>
  <c r="FW60" i="3"/>
  <c r="FV60" i="3"/>
  <c r="FU60" i="3"/>
  <c r="FT60" i="3"/>
  <c r="FS60" i="3"/>
  <c r="FR60" i="3"/>
  <c r="FQ60" i="3"/>
  <c r="FP60" i="3"/>
  <c r="FO60" i="3"/>
  <c r="FN60" i="3"/>
  <c r="FM60" i="3"/>
  <c r="FL60" i="3"/>
  <c r="FK60" i="3"/>
  <c r="FJ60" i="3"/>
  <c r="FI60" i="3"/>
  <c r="FH60" i="3"/>
  <c r="FG60" i="3"/>
  <c r="FF60" i="3"/>
  <c r="FE60" i="3"/>
  <c r="FD60" i="3"/>
  <c r="FC60" i="3"/>
  <c r="FB60" i="3"/>
  <c r="FA60" i="3"/>
  <c r="EZ60" i="3"/>
  <c r="EY60" i="3"/>
  <c r="EX60" i="3"/>
  <c r="EW60" i="3"/>
  <c r="EV60" i="3"/>
  <c r="EU60" i="3"/>
  <c r="ET60" i="3"/>
  <c r="ES60" i="3"/>
  <c r="ER60" i="3"/>
  <c r="EQ60" i="3"/>
  <c r="EP60" i="3"/>
  <c r="EO60" i="3"/>
  <c r="EN60" i="3"/>
  <c r="EM60" i="3"/>
  <c r="EL60" i="3"/>
  <c r="EK60" i="3"/>
  <c r="EJ60" i="3"/>
  <c r="EI60" i="3"/>
  <c r="EH60" i="3"/>
  <c r="EG60" i="3"/>
  <c r="EF60" i="3"/>
  <c r="EE60" i="3"/>
  <c r="ED60" i="3"/>
  <c r="EC60" i="3"/>
  <c r="EB60" i="3"/>
  <c r="EA60" i="3"/>
  <c r="DZ60" i="3"/>
  <c r="DY60" i="3"/>
  <c r="DX60" i="3"/>
  <c r="DW60" i="3"/>
  <c r="DV60" i="3"/>
  <c r="DU60" i="3"/>
  <c r="DT60" i="3"/>
  <c r="DS60" i="3"/>
  <c r="DR60" i="3"/>
  <c r="DQ60" i="3"/>
  <c r="DP60" i="3"/>
  <c r="DO60" i="3"/>
  <c r="DN60" i="3"/>
  <c r="DM60" i="3"/>
  <c r="DL60" i="3"/>
  <c r="DK60" i="3"/>
  <c r="DJ60" i="3"/>
  <c r="DI60" i="3"/>
  <c r="DH60" i="3"/>
  <c r="DG60" i="3"/>
  <c r="DF60" i="3"/>
  <c r="DE60" i="3"/>
  <c r="DD60" i="3"/>
  <c r="DC60" i="3"/>
  <c r="DB60" i="3"/>
  <c r="DA60" i="3"/>
  <c r="CZ60" i="3"/>
  <c r="CY60" i="3"/>
  <c r="CX60" i="3"/>
  <c r="CW60" i="3"/>
  <c r="CV60" i="3"/>
  <c r="CU60" i="3"/>
  <c r="CT60" i="3"/>
  <c r="CS60" i="3"/>
  <c r="CR60" i="3"/>
  <c r="CQ60" i="3"/>
  <c r="CP60" i="3"/>
  <c r="CO60" i="3"/>
  <c r="CN60" i="3"/>
  <c r="CM60" i="3"/>
  <c r="CL60" i="3"/>
  <c r="CK60" i="3"/>
  <c r="CJ60" i="3"/>
  <c r="CI60" i="3"/>
  <c r="CH60" i="3"/>
  <c r="CG60" i="3"/>
  <c r="CF60" i="3"/>
  <c r="CE60" i="3"/>
  <c r="CC60" i="3"/>
  <c r="CB60" i="3"/>
  <c r="CA60" i="3"/>
  <c r="BZ60" i="3"/>
  <c r="BY60" i="3"/>
  <c r="BX60" i="3"/>
  <c r="BW60" i="3"/>
  <c r="BU60" i="3"/>
  <c r="BT60" i="3"/>
  <c r="BS60" i="3"/>
  <c r="BR60" i="3"/>
  <c r="BQ60" i="3"/>
  <c r="BP60" i="3"/>
  <c r="BN60" i="3"/>
  <c r="BM60" i="3"/>
  <c r="BL60" i="3"/>
  <c r="BK60" i="3"/>
  <c r="BJ60" i="3"/>
  <c r="BI60" i="3"/>
  <c r="BH60" i="3"/>
  <c r="BG60" i="3"/>
  <c r="BF60" i="3"/>
  <c r="BE60" i="3"/>
  <c r="BD60" i="3"/>
  <c r="BC60" i="3"/>
  <c r="BB60" i="3"/>
  <c r="BA60" i="3"/>
  <c r="BA73" i="3" s="1"/>
  <c r="AZ60" i="3"/>
  <c r="AY60" i="3"/>
  <c r="AX60" i="3"/>
  <c r="AX73" i="3" s="1"/>
  <c r="AW60" i="3"/>
  <c r="AV60" i="3"/>
  <c r="AU60" i="3"/>
  <c r="AU73" i="3" s="1"/>
  <c r="AT60" i="3"/>
  <c r="AS60" i="3"/>
  <c r="AS73" i="3" s="1"/>
  <c r="AR60" i="3"/>
  <c r="AQ60" i="3"/>
  <c r="AP60" i="3"/>
  <c r="AP73" i="3" s="1"/>
  <c r="AO60" i="3"/>
  <c r="AN60" i="3"/>
  <c r="R60" i="3"/>
  <c r="AF60" i="3"/>
  <c r="AF73" i="3" s="1"/>
  <c r="AE60" i="3"/>
  <c r="AD60" i="3"/>
  <c r="AD73" i="3" s="1"/>
  <c r="AC60" i="3"/>
  <c r="AB60" i="3"/>
  <c r="AA60" i="3"/>
  <c r="AA73" i="3" s="1"/>
  <c r="Z60" i="3"/>
  <c r="Z73" i="3" s="1"/>
  <c r="Y60" i="3"/>
  <c r="Y73" i="3" s="1"/>
  <c r="X60" i="3"/>
  <c r="W60" i="3"/>
  <c r="V60" i="3"/>
  <c r="V73" i="3" s="1"/>
  <c r="U60" i="3"/>
  <c r="T60" i="3"/>
  <c r="S60" i="3"/>
  <c r="S73" i="3" s="1"/>
  <c r="AM60" i="3"/>
  <c r="AM73" i="3" s="1"/>
  <c r="AL60" i="3"/>
  <c r="AL73" i="3" s="1"/>
  <c r="AK60" i="3"/>
  <c r="AJ60" i="3"/>
  <c r="AI60" i="3"/>
  <c r="AI73" i="3" s="1"/>
  <c r="AG60" i="3"/>
  <c r="AH60" i="3"/>
  <c r="Q58" i="3"/>
  <c r="Q57" i="3"/>
  <c r="Q56" i="3"/>
  <c r="Q39" i="3"/>
  <c r="P59" i="3"/>
  <c r="P42" i="3"/>
  <c r="L42" i="3"/>
  <c r="K42" i="3"/>
  <c r="J42" i="3"/>
  <c r="I42" i="3"/>
  <c r="H42" i="3"/>
  <c r="G42" i="3"/>
  <c r="F42" i="3"/>
  <c r="EH31" i="3"/>
  <c r="H58" i="3"/>
  <c r="G58" i="3"/>
  <c r="H52" i="3"/>
  <c r="G52" i="3"/>
  <c r="H51" i="3"/>
  <c r="G51" i="3"/>
  <c r="H50" i="3"/>
  <c r="G50" i="3"/>
  <c r="H48" i="3"/>
  <c r="G48" i="3"/>
  <c r="H47" i="3"/>
  <c r="G47" i="3"/>
  <c r="H46" i="3"/>
  <c r="G46" i="3"/>
  <c r="H44" i="3"/>
  <c r="G44" i="3"/>
  <c r="H41" i="3"/>
  <c r="G41" i="3"/>
  <c r="H40" i="3"/>
  <c r="G40" i="3"/>
  <c r="L52" i="3"/>
  <c r="K52" i="3"/>
  <c r="J52" i="3"/>
  <c r="I52" i="3"/>
  <c r="F52" i="3"/>
  <c r="L51" i="3"/>
  <c r="K51" i="3"/>
  <c r="J51" i="3"/>
  <c r="I51" i="3"/>
  <c r="F51" i="3"/>
  <c r="L50" i="3"/>
  <c r="K50" i="3"/>
  <c r="J50" i="3"/>
  <c r="I50" i="3"/>
  <c r="F50" i="3"/>
  <c r="L44" i="3"/>
  <c r="K44" i="3"/>
  <c r="J44" i="3"/>
  <c r="I44" i="3"/>
  <c r="F44" i="3"/>
  <c r="R34" i="3"/>
  <c r="R35" i="3" s="1"/>
  <c r="R62" i="3" s="1"/>
  <c r="K86" i="3"/>
  <c r="K87" i="3"/>
  <c r="AG73" i="3" l="1"/>
  <c r="U73" i="3"/>
  <c r="AC73" i="3"/>
  <c r="AB73" i="3"/>
  <c r="W73" i="3"/>
  <c r="AE73" i="3"/>
  <c r="AN73" i="3"/>
  <c r="AY73" i="3"/>
  <c r="AQ73" i="3"/>
  <c r="AR73" i="3"/>
  <c r="AZ73" i="3"/>
  <c r="AT73" i="3"/>
  <c r="AO73" i="3"/>
  <c r="AW73" i="3"/>
  <c r="T73" i="3"/>
  <c r="Q66" i="3"/>
  <c r="Q53" i="3"/>
  <c r="Q45" i="3"/>
  <c r="AV73" i="3"/>
  <c r="Q68" i="3"/>
  <c r="Q40" i="3"/>
  <c r="Q49" i="3"/>
  <c r="Q50" i="3"/>
  <c r="Q43" i="3"/>
  <c r="EH73" i="3"/>
  <c r="AK73" i="3"/>
  <c r="X73" i="3"/>
  <c r="AH73" i="3"/>
  <c r="AJ73" i="3"/>
  <c r="Q52" i="3"/>
  <c r="Q54" i="3"/>
  <c r="Q55" i="3"/>
  <c r="Q42" i="3"/>
  <c r="Q44" i="3"/>
  <c r="Q41" i="3"/>
  <c r="Q51" i="3"/>
  <c r="Q46" i="3"/>
  <c r="Q47" i="3"/>
  <c r="Q48" i="3"/>
  <c r="R2" i="3"/>
  <c r="FX31" i="3"/>
  <c r="FX73" i="3"/>
  <c r="S1" i="3"/>
  <c r="K85" i="3"/>
  <c r="S2" i="3" l="1"/>
  <c r="S61" i="3"/>
  <c r="T1" i="3"/>
  <c r="S34" i="3"/>
  <c r="S35" i="3" s="1"/>
  <c r="S62" i="3" s="1"/>
  <c r="Q6" i="3"/>
  <c r="P6" i="3"/>
  <c r="P8" i="3"/>
  <c r="T34" i="3" l="1"/>
  <c r="T35" i="3" s="1"/>
  <c r="T62" i="3" s="1"/>
  <c r="T61" i="3"/>
  <c r="U1" i="3"/>
  <c r="T2" i="3"/>
  <c r="N31"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W31" i="3"/>
  <c r="F7" i="3"/>
  <c r="P7" i="3"/>
  <c r="P9" i="3"/>
  <c r="P10" i="3"/>
  <c r="P12" i="3"/>
  <c r="P13" i="3"/>
  <c r="P14" i="3"/>
  <c r="P15" i="3"/>
  <c r="P16" i="3"/>
  <c r="P17" i="3"/>
  <c r="P18" i="3"/>
  <c r="P19" i="3"/>
  <c r="P20" i="3"/>
  <c r="P21" i="3"/>
  <c r="P22" i="3"/>
  <c r="P23" i="3"/>
  <c r="P24" i="3"/>
  <c r="P25" i="3"/>
  <c r="P26" i="3"/>
  <c r="P27" i="3"/>
  <c r="Q27" i="3"/>
  <c r="P28" i="3"/>
  <c r="Q30" i="3"/>
  <c r="P30" i="3" s="1"/>
  <c r="O31" i="3"/>
  <c r="R31" i="3"/>
  <c r="S31" i="3"/>
  <c r="T31" i="3"/>
  <c r="U31" i="3"/>
  <c r="V31" i="3"/>
  <c r="X31" i="3"/>
  <c r="Y31" i="3"/>
  <c r="Z31" i="3"/>
  <c r="AA31" i="3"/>
  <c r="AB31" i="3"/>
  <c r="AC31" i="3"/>
  <c r="AD31" i="3"/>
  <c r="AE31" i="3"/>
  <c r="AF31" i="3"/>
  <c r="AG31" i="3"/>
  <c r="AH31" i="3"/>
  <c r="AI31" i="3"/>
  <c r="AJ31" i="3"/>
  <c r="AK31" i="3"/>
  <c r="AL31" i="3"/>
  <c r="AM31" i="3"/>
  <c r="AN31" i="3"/>
  <c r="AO31" i="3"/>
  <c r="AP31" i="3"/>
  <c r="AQ31" i="3"/>
  <c r="AR31" i="3"/>
  <c r="AS31" i="3"/>
  <c r="AT31" i="3"/>
  <c r="AU31" i="3"/>
  <c r="AV31" i="3"/>
  <c r="AW31" i="3"/>
  <c r="AX31" i="3"/>
  <c r="AY31" i="3"/>
  <c r="AZ31" i="3"/>
  <c r="BA31" i="3"/>
  <c r="BB31" i="3"/>
  <c r="BC31" i="3"/>
  <c r="BD31" i="3"/>
  <c r="BE31" i="3"/>
  <c r="BF31" i="3"/>
  <c r="BG31" i="3"/>
  <c r="BH31" i="3"/>
  <c r="BI31" i="3"/>
  <c r="BJ31" i="3"/>
  <c r="BK31" i="3"/>
  <c r="BL31" i="3"/>
  <c r="BM31" i="3"/>
  <c r="BN31" i="3"/>
  <c r="BP31" i="3"/>
  <c r="BQ31" i="3"/>
  <c r="BR31" i="3"/>
  <c r="BS31" i="3"/>
  <c r="BT31" i="3"/>
  <c r="BU31" i="3"/>
  <c r="BW31" i="3"/>
  <c r="BX31" i="3"/>
  <c r="BY31" i="3"/>
  <c r="BZ31" i="3"/>
  <c r="CA31" i="3"/>
  <c r="CB31" i="3"/>
  <c r="CC31" i="3"/>
  <c r="CE31" i="3"/>
  <c r="CF31" i="3"/>
  <c r="CG31" i="3"/>
  <c r="CH31" i="3"/>
  <c r="CI31" i="3"/>
  <c r="CJ31" i="3"/>
  <c r="CK31" i="3"/>
  <c r="CL31" i="3"/>
  <c r="CM31" i="3"/>
  <c r="CN31" i="3"/>
  <c r="CO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R31" i="3"/>
  <c r="DS31" i="3"/>
  <c r="DU31" i="3"/>
  <c r="DV31" i="3"/>
  <c r="DW31" i="3"/>
  <c r="DX31" i="3"/>
  <c r="DY31" i="3"/>
  <c r="DZ31" i="3"/>
  <c r="EA31" i="3"/>
  <c r="EB31" i="3"/>
  <c r="EC31" i="3"/>
  <c r="ED31" i="3"/>
  <c r="EE31" i="3"/>
  <c r="EF31" i="3"/>
  <c r="EG31" i="3"/>
  <c r="EI31" i="3"/>
  <c r="EJ31" i="3"/>
  <c r="EK31" i="3"/>
  <c r="EL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V31" i="3"/>
  <c r="FW31" i="3"/>
  <c r="FY31" i="3"/>
  <c r="FZ31" i="3"/>
  <c r="GA31" i="3"/>
  <c r="GB31" i="3"/>
  <c r="GC31" i="3"/>
  <c r="GD31" i="3"/>
  <c r="GF31" i="3"/>
  <c r="GG31" i="3"/>
  <c r="GH31" i="3"/>
  <c r="GI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JO31" i="3"/>
  <c r="JP31" i="3"/>
  <c r="JQ31" i="3"/>
  <c r="JR31" i="3"/>
  <c r="JS31" i="3"/>
  <c r="JT31" i="3"/>
  <c r="JU31" i="3"/>
  <c r="JV31" i="3"/>
  <c r="JW31" i="3"/>
  <c r="JX31" i="3"/>
  <c r="JY31" i="3"/>
  <c r="JZ31" i="3"/>
  <c r="KA31" i="3"/>
  <c r="KB31" i="3"/>
  <c r="KC31" i="3"/>
  <c r="KD31" i="3"/>
  <c r="KE31" i="3"/>
  <c r="KF31" i="3"/>
  <c r="KG31" i="3"/>
  <c r="KH31" i="3"/>
  <c r="KI31" i="3"/>
  <c r="KJ31" i="3"/>
  <c r="KK31" i="3"/>
  <c r="KL31" i="3"/>
  <c r="KM31" i="3"/>
  <c r="KN31" i="3"/>
  <c r="KO31" i="3"/>
  <c r="KP31" i="3"/>
  <c r="KQ31" i="3"/>
  <c r="KR31" i="3"/>
  <c r="KS31" i="3"/>
  <c r="KT31" i="3"/>
  <c r="KU31" i="3"/>
  <c r="KV31" i="3"/>
  <c r="KW31" i="3"/>
  <c r="KX31" i="3"/>
  <c r="KY31" i="3"/>
  <c r="KZ31" i="3"/>
  <c r="LA31" i="3"/>
  <c r="LB31" i="3"/>
  <c r="LC31" i="3"/>
  <c r="LD31" i="3"/>
  <c r="LE31" i="3"/>
  <c r="LF31" i="3"/>
  <c r="LG31" i="3"/>
  <c r="LH31" i="3"/>
  <c r="LI31" i="3"/>
  <c r="LJ31" i="3"/>
  <c r="LK31" i="3"/>
  <c r="LL31" i="3"/>
  <c r="LM31" i="3"/>
  <c r="LN31" i="3"/>
  <c r="LO31" i="3"/>
  <c r="LP31" i="3"/>
  <c r="LQ31" i="3"/>
  <c r="LR31" i="3"/>
  <c r="LS31" i="3"/>
  <c r="LT31" i="3"/>
  <c r="LU31" i="3"/>
  <c r="LV31" i="3"/>
  <c r="LW31" i="3"/>
  <c r="P32" i="3"/>
  <c r="Q11" i="3" s="1"/>
  <c r="P39" i="3"/>
  <c r="F40" i="3"/>
  <c r="I40" i="3"/>
  <c r="J40" i="3"/>
  <c r="K40" i="3"/>
  <c r="L40" i="3"/>
  <c r="P40" i="3"/>
  <c r="F41" i="3"/>
  <c r="I41" i="3"/>
  <c r="J41" i="3"/>
  <c r="K41" i="3"/>
  <c r="L41" i="3"/>
  <c r="P41" i="3"/>
  <c r="P44" i="3"/>
  <c r="F46" i="3"/>
  <c r="I46" i="3"/>
  <c r="J46" i="3"/>
  <c r="K46" i="3"/>
  <c r="L46" i="3"/>
  <c r="P46" i="3"/>
  <c r="F47" i="3"/>
  <c r="I47" i="3"/>
  <c r="J47" i="3"/>
  <c r="K47" i="3"/>
  <c r="L47" i="3"/>
  <c r="P47" i="3"/>
  <c r="F48" i="3"/>
  <c r="I48" i="3"/>
  <c r="J48" i="3"/>
  <c r="K48" i="3"/>
  <c r="L48" i="3"/>
  <c r="P48" i="3"/>
  <c r="P50" i="3"/>
  <c r="P51" i="3"/>
  <c r="P52" i="3"/>
  <c r="P54" i="3"/>
  <c r="P55" i="3"/>
  <c r="P56" i="3"/>
  <c r="P57" i="3"/>
  <c r="F58" i="3"/>
  <c r="I58" i="3"/>
  <c r="J58" i="3"/>
  <c r="K58" i="3"/>
  <c r="L58" i="3"/>
  <c r="P58" i="3"/>
  <c r="F64" i="3"/>
  <c r="I64" i="3"/>
  <c r="J64" i="3"/>
  <c r="K64" i="3"/>
  <c r="L64" i="3"/>
  <c r="P64" i="3"/>
  <c r="Q64" i="3"/>
  <c r="F65" i="3"/>
  <c r="I65" i="3"/>
  <c r="J65" i="3"/>
  <c r="K65" i="3"/>
  <c r="L65" i="3"/>
  <c r="P65" i="3"/>
  <c r="P66" i="3"/>
  <c r="F67" i="3"/>
  <c r="I67" i="3"/>
  <c r="J67" i="3"/>
  <c r="K67" i="3"/>
  <c r="L67" i="3"/>
  <c r="P67" i="3"/>
  <c r="F68" i="3"/>
  <c r="I68" i="3"/>
  <c r="J68" i="3"/>
  <c r="K68" i="3"/>
  <c r="L68" i="3"/>
  <c r="P68" i="3"/>
  <c r="F69" i="3"/>
  <c r="I69" i="3"/>
  <c r="J69" i="3"/>
  <c r="K69" i="3"/>
  <c r="L69" i="3"/>
  <c r="P69" i="3"/>
  <c r="P70" i="3"/>
  <c r="R72" i="3"/>
  <c r="R73" i="3" s="1"/>
  <c r="BB73" i="3"/>
  <c r="BC73" i="3"/>
  <c r="BD73" i="3"/>
  <c r="BE73" i="3"/>
  <c r="BF73" i="3"/>
  <c r="BG73" i="3"/>
  <c r="BH73" i="3"/>
  <c r="BI73" i="3"/>
  <c r="BJ73" i="3"/>
  <c r="BK73" i="3"/>
  <c r="BL73" i="3"/>
  <c r="BM73" i="3"/>
  <c r="BN73" i="3"/>
  <c r="BP73" i="3"/>
  <c r="BQ73" i="3"/>
  <c r="BR73" i="3"/>
  <c r="BS73" i="3"/>
  <c r="BT73" i="3"/>
  <c r="BU73" i="3"/>
  <c r="BW73" i="3"/>
  <c r="BX73" i="3"/>
  <c r="BY73" i="3"/>
  <c r="BZ73" i="3"/>
  <c r="CA73" i="3"/>
  <c r="CB73" i="3"/>
  <c r="CC73" i="3"/>
  <c r="CE73" i="3"/>
  <c r="CF73" i="3"/>
  <c r="CG73" i="3"/>
  <c r="CH73" i="3"/>
  <c r="CI73" i="3"/>
  <c r="CJ73" i="3"/>
  <c r="CK73" i="3"/>
  <c r="CL73" i="3"/>
  <c r="CM73" i="3"/>
  <c r="CN73" i="3"/>
  <c r="CO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DT73" i="3"/>
  <c r="DU73" i="3"/>
  <c r="DV73" i="3"/>
  <c r="DW73" i="3"/>
  <c r="DX73" i="3"/>
  <c r="DY73" i="3"/>
  <c r="DZ73" i="3"/>
  <c r="EA73" i="3"/>
  <c r="EB73" i="3"/>
  <c r="EC73" i="3"/>
  <c r="ED73" i="3"/>
  <c r="EE73" i="3"/>
  <c r="EF73" i="3"/>
  <c r="EG73" i="3"/>
  <c r="EI73" i="3"/>
  <c r="EJ73" i="3"/>
  <c r="EK73" i="3"/>
  <c r="EL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V73" i="3"/>
  <c r="FW73" i="3"/>
  <c r="FY73" i="3"/>
  <c r="FZ73" i="3"/>
  <c r="GA73" i="3"/>
  <c r="GB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M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JO73" i="3"/>
  <c r="JP73" i="3"/>
  <c r="JQ73" i="3"/>
  <c r="JR73" i="3"/>
  <c r="JS73" i="3"/>
  <c r="JT73" i="3"/>
  <c r="JU73" i="3"/>
  <c r="JV73" i="3"/>
  <c r="JW73" i="3"/>
  <c r="JX73" i="3"/>
  <c r="JY73" i="3"/>
  <c r="JZ73" i="3"/>
  <c r="KA73" i="3"/>
  <c r="KB73" i="3"/>
  <c r="KC73" i="3"/>
  <c r="KD73" i="3"/>
  <c r="KE73" i="3"/>
  <c r="KF73" i="3"/>
  <c r="KG73" i="3"/>
  <c r="KH73" i="3"/>
  <c r="KI73" i="3"/>
  <c r="KJ73" i="3"/>
  <c r="KK73" i="3"/>
  <c r="KL73" i="3"/>
  <c r="KM73" i="3"/>
  <c r="KN73" i="3"/>
  <c r="KO73" i="3"/>
  <c r="KP73" i="3"/>
  <c r="KQ73" i="3"/>
  <c r="KR73" i="3"/>
  <c r="KS73" i="3"/>
  <c r="KT73" i="3"/>
  <c r="KU73" i="3"/>
  <c r="KV73" i="3"/>
  <c r="KW73" i="3"/>
  <c r="KX73" i="3"/>
  <c r="KY73" i="3"/>
  <c r="KZ73" i="3"/>
  <c r="LA73" i="3"/>
  <c r="LB73" i="3"/>
  <c r="LC73" i="3"/>
  <c r="LD73" i="3"/>
  <c r="LE73" i="3"/>
  <c r="LF73" i="3"/>
  <c r="LG73" i="3"/>
  <c r="LH73" i="3"/>
  <c r="LI73" i="3"/>
  <c r="LJ73" i="3"/>
  <c r="LK73" i="3"/>
  <c r="LL73" i="3"/>
  <c r="LM73" i="3"/>
  <c r="LN73" i="3"/>
  <c r="LO73" i="3"/>
  <c r="LP73" i="3"/>
  <c r="LQ73" i="3"/>
  <c r="LR73" i="3"/>
  <c r="LS73" i="3"/>
  <c r="LT73" i="3"/>
  <c r="LU73" i="3"/>
  <c r="LV73" i="3"/>
  <c r="LW73" i="3"/>
  <c r="P76" i="3"/>
  <c r="P77" i="3"/>
  <c r="P78" i="3"/>
  <c r="P79" i="3"/>
  <c r="P80" i="3"/>
  <c r="Q81" i="3"/>
  <c r="P81" i="3" s="1"/>
  <c r="P82" i="3"/>
  <c r="Q28" i="3" l="1"/>
  <c r="Q29" i="3"/>
  <c r="U34" i="3"/>
  <c r="U35" i="3" s="1"/>
  <c r="U62" i="3" s="1"/>
  <c r="U61" i="3"/>
  <c r="U2" i="3"/>
  <c r="V1" i="3"/>
  <c r="Q9" i="3"/>
  <c r="Q26" i="3"/>
  <c r="H31" i="3"/>
  <c r="G31" i="3"/>
  <c r="K31" i="3"/>
  <c r="L31" i="3"/>
  <c r="Q78" i="3"/>
  <c r="I31" i="3"/>
  <c r="Q79" i="3"/>
  <c r="Q77" i="3"/>
  <c r="Q24" i="3"/>
  <c r="Q76" i="3"/>
  <c r="Q25" i="3"/>
  <c r="Q80" i="3"/>
  <c r="F31" i="3"/>
  <c r="J31" i="3"/>
  <c r="Q22" i="3"/>
  <c r="Q18" i="3"/>
  <c r="Q10" i="3"/>
  <c r="Q23" i="3"/>
  <c r="Q19" i="3"/>
  <c r="Q14" i="3"/>
  <c r="Q12" i="3"/>
  <c r="Q20" i="3"/>
  <c r="Q15" i="3"/>
  <c r="Q13" i="3"/>
  <c r="Q7" i="3"/>
  <c r="Q16" i="3"/>
  <c r="Q8" i="3"/>
  <c r="Q21" i="3"/>
  <c r="Q17" i="3"/>
  <c r="V34" i="3" l="1"/>
  <c r="V35" i="3" s="1"/>
  <c r="V62" i="3" s="1"/>
  <c r="V61" i="3"/>
  <c r="V2" i="3"/>
  <c r="W1" i="3"/>
  <c r="W34" i="3" l="1"/>
  <c r="W35" i="3" s="1"/>
  <c r="W62" i="3" s="1"/>
  <c r="W61" i="3"/>
  <c r="W2" i="3"/>
  <c r="X1" i="3"/>
  <c r="X2" i="3" s="1"/>
  <c r="X34" i="3" l="1"/>
  <c r="X35" i="3" s="1"/>
  <c r="X62" i="3" s="1"/>
  <c r="X61" i="3"/>
  <c r="Y1" i="3"/>
  <c r="Y34" i="3" l="1"/>
  <c r="Y35" i="3" s="1"/>
  <c r="Y62" i="3" s="1"/>
  <c r="Y61" i="3"/>
  <c r="Y2" i="3"/>
  <c r="Z1" i="3"/>
  <c r="Z34" i="3" l="1"/>
  <c r="Z35" i="3" s="1"/>
  <c r="Z62" i="3" s="1"/>
  <c r="Z61" i="3"/>
  <c r="Z2" i="3"/>
  <c r="AA1" i="3"/>
  <c r="AA34" i="3" l="1"/>
  <c r="AA35" i="3" s="1"/>
  <c r="AA62" i="3" s="1"/>
  <c r="AA61" i="3"/>
  <c r="AA2" i="3"/>
  <c r="AB1" i="3"/>
  <c r="AB34" i="3" l="1"/>
  <c r="AB35" i="3" s="1"/>
  <c r="AB62" i="3" s="1"/>
  <c r="AB61" i="3"/>
  <c r="AC1" i="3"/>
  <c r="AB2" i="3"/>
  <c r="AC34" i="3" l="1"/>
  <c r="AC35" i="3" s="1"/>
  <c r="AC62" i="3" s="1"/>
  <c r="AC61" i="3"/>
  <c r="AC2" i="3"/>
  <c r="AD1" i="3"/>
  <c r="AD34" i="3" l="1"/>
  <c r="AD35" i="3" s="1"/>
  <c r="AD62" i="3" s="1"/>
  <c r="AD61" i="3"/>
  <c r="AD2" i="3"/>
  <c r="AE1" i="3"/>
  <c r="AE34" i="3" l="1"/>
  <c r="AE35" i="3" s="1"/>
  <c r="AE62" i="3" s="1"/>
  <c r="AE61" i="3"/>
  <c r="AE2" i="3"/>
  <c r="AF1" i="3"/>
  <c r="AF34" i="3" l="1"/>
  <c r="AF35" i="3" s="1"/>
  <c r="AF62" i="3" s="1"/>
  <c r="AF61" i="3"/>
  <c r="AF2" i="3"/>
  <c r="AG1" i="3"/>
  <c r="AG34" i="3" l="1"/>
  <c r="AG35" i="3" s="1"/>
  <c r="AG62" i="3" s="1"/>
  <c r="AG61" i="3"/>
  <c r="AG2" i="3"/>
  <c r="AH1" i="3"/>
  <c r="AH34" i="3" l="1"/>
  <c r="AH35" i="3" s="1"/>
  <c r="AH62" i="3" s="1"/>
  <c r="AH61" i="3"/>
  <c r="AH2" i="3"/>
  <c r="AI1" i="3"/>
  <c r="AI34" i="3" l="1"/>
  <c r="AI35" i="3" s="1"/>
  <c r="AI62" i="3" s="1"/>
  <c r="AI61" i="3"/>
  <c r="AI2" i="3"/>
  <c r="AJ1" i="3"/>
  <c r="AJ34" i="3" l="1"/>
  <c r="AJ35" i="3" s="1"/>
  <c r="AJ62" i="3" s="1"/>
  <c r="AJ61" i="3"/>
  <c r="AJ2" i="3"/>
  <c r="AK1" i="3"/>
  <c r="AK34" i="3" l="1"/>
  <c r="AK35" i="3" s="1"/>
  <c r="AK62" i="3" s="1"/>
  <c r="AK61" i="3"/>
  <c r="AK2" i="3"/>
  <c r="AL1" i="3"/>
  <c r="AL34" i="3" l="1"/>
  <c r="AL35" i="3" s="1"/>
  <c r="AL62" i="3" s="1"/>
  <c r="AL61" i="3"/>
  <c r="AL2" i="3"/>
  <c r="AM1" i="3"/>
  <c r="AM34" i="3" l="1"/>
  <c r="AM35" i="3" s="1"/>
  <c r="AM62" i="3" s="1"/>
  <c r="AM61" i="3"/>
  <c r="AM2" i="3"/>
  <c r="AN1" i="3"/>
  <c r="AN34" i="3" l="1"/>
  <c r="AN35" i="3" s="1"/>
  <c r="AN62" i="3" s="1"/>
  <c r="AN61" i="3"/>
  <c r="AN2" i="3"/>
  <c r="AO1" i="3"/>
  <c r="AP1" i="3" s="1"/>
  <c r="AO2" i="3" l="1"/>
  <c r="AP34" i="3"/>
  <c r="AP35" i="3" s="1"/>
  <c r="AP62" i="3" s="1"/>
  <c r="AP61" i="3"/>
  <c r="AO34" i="3"/>
  <c r="AO35" i="3" s="1"/>
  <c r="AO62" i="3" s="1"/>
  <c r="AO61" i="3"/>
  <c r="AQ1" i="3"/>
  <c r="AP2" i="3"/>
  <c r="AQ34" i="3" l="1"/>
  <c r="AQ35" i="3" s="1"/>
  <c r="AQ62" i="3" s="1"/>
  <c r="AQ61" i="3"/>
  <c r="AR1" i="3"/>
  <c r="AQ2" i="3"/>
  <c r="AR34" i="3" l="1"/>
  <c r="AR35" i="3" s="1"/>
  <c r="AR62" i="3" s="1"/>
  <c r="AR61" i="3"/>
  <c r="AS1" i="3"/>
  <c r="AR2" i="3"/>
  <c r="AS34" i="3" l="1"/>
  <c r="AS35" i="3" s="1"/>
  <c r="AS62" i="3" s="1"/>
  <c r="AS61" i="3"/>
  <c r="AT1" i="3"/>
  <c r="AS2" i="3"/>
  <c r="AT34" i="3" l="1"/>
  <c r="AT35" i="3" s="1"/>
  <c r="AT62" i="3" s="1"/>
  <c r="AT61" i="3"/>
  <c r="AU1" i="3"/>
  <c r="AT2" i="3"/>
  <c r="AU34" i="3" l="1"/>
  <c r="AU35" i="3" s="1"/>
  <c r="AU62" i="3" s="1"/>
  <c r="AU61" i="3"/>
  <c r="AV1" i="3"/>
  <c r="AU2" i="3"/>
  <c r="AV34" i="3" l="1"/>
  <c r="AV35" i="3" s="1"/>
  <c r="AV62" i="3" s="1"/>
  <c r="AV61" i="3"/>
  <c r="AW1" i="3"/>
  <c r="AV2" i="3"/>
  <c r="AW34" i="3" l="1"/>
  <c r="AW35" i="3" s="1"/>
  <c r="AW62" i="3" s="1"/>
  <c r="AW61" i="3"/>
  <c r="AX1" i="3"/>
  <c r="AW2" i="3"/>
  <c r="AX34" i="3" l="1"/>
  <c r="AX35" i="3" s="1"/>
  <c r="AX62" i="3" s="1"/>
  <c r="AX61" i="3"/>
  <c r="AY1" i="3"/>
  <c r="AX2" i="3"/>
  <c r="AY34" i="3" l="1"/>
  <c r="AY35" i="3" s="1"/>
  <c r="AY62" i="3" s="1"/>
  <c r="AY61" i="3"/>
  <c r="AZ1" i="3"/>
  <c r="AY2" i="3"/>
  <c r="AZ34" i="3" l="1"/>
  <c r="AZ35" i="3" s="1"/>
  <c r="AZ62" i="3" s="1"/>
  <c r="AZ61" i="3"/>
  <c r="BA1" i="3"/>
  <c r="AZ2" i="3"/>
  <c r="BA34" i="3" l="1"/>
  <c r="BA35" i="3" s="1"/>
  <c r="BA62" i="3" s="1"/>
  <c r="BA61" i="3"/>
  <c r="BB1" i="3"/>
  <c r="BA2" i="3"/>
  <c r="BB34" i="3" l="1"/>
  <c r="BB35" i="3" s="1"/>
  <c r="BB62" i="3" s="1"/>
  <c r="BB61" i="3"/>
  <c r="BC1" i="3"/>
  <c r="BB2" i="3"/>
  <c r="BC34" i="3" l="1"/>
  <c r="BC35" i="3" s="1"/>
  <c r="BC62" i="3" s="1"/>
  <c r="BC61" i="3"/>
  <c r="BD1" i="3"/>
  <c r="BC2" i="3"/>
  <c r="BD34" i="3" l="1"/>
  <c r="BD35" i="3" s="1"/>
  <c r="BD62" i="3" s="1"/>
  <c r="BD61" i="3"/>
  <c r="BE1" i="3"/>
  <c r="BD2" i="3"/>
  <c r="BE34" i="3" l="1"/>
  <c r="BE35" i="3" s="1"/>
  <c r="BE62" i="3" s="1"/>
  <c r="BE61" i="3"/>
  <c r="BF1" i="3"/>
  <c r="BE2" i="3"/>
  <c r="BF34" i="3" l="1"/>
  <c r="BF35" i="3" s="1"/>
  <c r="BF62" i="3" s="1"/>
  <c r="BF61" i="3"/>
  <c r="BG1" i="3"/>
  <c r="BF2" i="3"/>
  <c r="BG34" i="3" l="1"/>
  <c r="BG35" i="3" s="1"/>
  <c r="BG62" i="3" s="1"/>
  <c r="BG61" i="3"/>
  <c r="BH1" i="3"/>
  <c r="BG2" i="3"/>
  <c r="BH34" i="3" l="1"/>
  <c r="BH35" i="3" s="1"/>
  <c r="BH62" i="3" s="1"/>
  <c r="BH61" i="3"/>
  <c r="BI1" i="3"/>
  <c r="BH2" i="3"/>
  <c r="BI34" i="3" l="1"/>
  <c r="BI35" i="3" s="1"/>
  <c r="BI62" i="3" s="1"/>
  <c r="BI61" i="3"/>
  <c r="BJ1" i="3"/>
  <c r="BI2" i="3"/>
  <c r="BJ34" i="3" l="1"/>
  <c r="BJ35" i="3" s="1"/>
  <c r="BJ62" i="3" s="1"/>
  <c r="BJ61" i="3"/>
  <c r="BK1" i="3"/>
  <c r="BJ2" i="3"/>
  <c r="BK34" i="3" l="1"/>
  <c r="BK35" i="3" s="1"/>
  <c r="BK62" i="3" s="1"/>
  <c r="BK61" i="3"/>
  <c r="BL1" i="3"/>
  <c r="BK2" i="3"/>
  <c r="BL34" i="3" l="1"/>
  <c r="BL35" i="3" s="1"/>
  <c r="BL62" i="3" s="1"/>
  <c r="BL61" i="3"/>
  <c r="BM1" i="3"/>
  <c r="BL2" i="3"/>
  <c r="BM34" i="3" l="1"/>
  <c r="BM35" i="3" s="1"/>
  <c r="BM62" i="3" s="1"/>
  <c r="BM61" i="3"/>
  <c r="BN1" i="3"/>
  <c r="BO1" i="3" s="1"/>
  <c r="BO61" i="3" s="1"/>
  <c r="BM2" i="3"/>
  <c r="BP1" i="3" l="1"/>
  <c r="BO34" i="3"/>
  <c r="BN34" i="3"/>
  <c r="BN35" i="3" s="1"/>
  <c r="BN62" i="3" s="1"/>
  <c r="BN61" i="3"/>
  <c r="BN2" i="3"/>
  <c r="BP34" i="3" l="1"/>
  <c r="BP35" i="3" s="1"/>
  <c r="BP62" i="3" s="1"/>
  <c r="BP61" i="3"/>
  <c r="BQ1" i="3"/>
  <c r="BP2" i="3"/>
  <c r="BQ34" i="3" l="1"/>
  <c r="BQ35" i="3" s="1"/>
  <c r="BQ62" i="3" s="1"/>
  <c r="BQ61" i="3"/>
  <c r="BR1" i="3"/>
  <c r="BQ2" i="3"/>
  <c r="BR34" i="3" l="1"/>
  <c r="BR35" i="3" s="1"/>
  <c r="BR62" i="3" s="1"/>
  <c r="BR61" i="3"/>
  <c r="BS1" i="3"/>
  <c r="BR2" i="3"/>
  <c r="BS34" i="3" l="1"/>
  <c r="BS35" i="3" s="1"/>
  <c r="BS62" i="3" s="1"/>
  <c r="BS61" i="3"/>
  <c r="BT1" i="3"/>
  <c r="BS2" i="3"/>
  <c r="BT34" i="3" l="1"/>
  <c r="BT35" i="3" s="1"/>
  <c r="BT62" i="3" s="1"/>
  <c r="BT61" i="3"/>
  <c r="BU1" i="3"/>
  <c r="BV1" i="3" s="1"/>
  <c r="BT2" i="3"/>
  <c r="BV34" i="3" l="1"/>
  <c r="BV61" i="3"/>
  <c r="BX1" i="3"/>
  <c r="BV2" i="3"/>
  <c r="BU34" i="3"/>
  <c r="BU35" i="3" s="1"/>
  <c r="BU62" i="3" s="1"/>
  <c r="BU61" i="3"/>
  <c r="BU2" i="3"/>
  <c r="BX34" i="3" l="1"/>
  <c r="BX35" i="3" s="1"/>
  <c r="BX62" i="3" s="1"/>
  <c r="BX61" i="3"/>
  <c r="BY1" i="3"/>
  <c r="BX2" i="3"/>
  <c r="BY34" i="3" l="1"/>
  <c r="BY35" i="3" s="1"/>
  <c r="BY62" i="3" s="1"/>
  <c r="BY61" i="3"/>
  <c r="BZ1" i="3"/>
  <c r="BY2" i="3"/>
  <c r="BZ34" i="3" l="1"/>
  <c r="BZ35" i="3" s="1"/>
  <c r="BZ62" i="3" s="1"/>
  <c r="BZ61" i="3"/>
  <c r="CA1" i="3"/>
  <c r="BZ2" i="3"/>
  <c r="CA34" i="3" l="1"/>
  <c r="CA35" i="3" s="1"/>
  <c r="CA62" i="3" s="1"/>
  <c r="CA61" i="3"/>
  <c r="CB1" i="3"/>
  <c r="CA2" i="3"/>
  <c r="CB34" i="3" l="1"/>
  <c r="CB35" i="3" s="1"/>
  <c r="CB62" i="3" s="1"/>
  <c r="CB61" i="3"/>
  <c r="CC1" i="3"/>
  <c r="CB2" i="3"/>
  <c r="CC34" i="3" l="1"/>
  <c r="CC35" i="3" s="1"/>
  <c r="CC62" i="3" s="1"/>
  <c r="CC61" i="3"/>
  <c r="CD1" i="3"/>
  <c r="CC2" i="3"/>
  <c r="CD61" i="3" l="1"/>
  <c r="CD2" i="3"/>
  <c r="CE34" i="3"/>
  <c r="CE35" i="3" s="1"/>
  <c r="CF1" i="3"/>
  <c r="CF34" i="3" l="1"/>
  <c r="CF35" i="3" s="1"/>
  <c r="CF62" i="3" s="1"/>
  <c r="CF61" i="3"/>
  <c r="CG1" i="3"/>
  <c r="CF2" i="3"/>
  <c r="CG34" i="3" l="1"/>
  <c r="CG35" i="3" s="1"/>
  <c r="CG62" i="3" s="1"/>
  <c r="CG61" i="3"/>
  <c r="CH1" i="3"/>
  <c r="CG2" i="3"/>
  <c r="CH34" i="3" l="1"/>
  <c r="CH35" i="3" s="1"/>
  <c r="CH62" i="3" s="1"/>
  <c r="CH61" i="3"/>
  <c r="CI1" i="3"/>
  <c r="CH2" i="3"/>
  <c r="CI34" i="3" l="1"/>
  <c r="CI35" i="3" s="1"/>
  <c r="CI62" i="3" s="1"/>
  <c r="CI61" i="3"/>
  <c r="CJ1" i="3"/>
  <c r="CI2" i="3"/>
  <c r="CJ34" i="3" l="1"/>
  <c r="CJ35" i="3" s="1"/>
  <c r="CJ62" i="3" s="1"/>
  <c r="CJ61" i="3"/>
  <c r="CK1" i="3"/>
  <c r="CJ2" i="3"/>
  <c r="CK34" i="3" l="1"/>
  <c r="CK35" i="3" s="1"/>
  <c r="CK62" i="3" s="1"/>
  <c r="CK61" i="3"/>
  <c r="CL1" i="3"/>
  <c r="CK2" i="3"/>
  <c r="CL34" i="3" l="1"/>
  <c r="CL35" i="3" s="1"/>
  <c r="CL62" i="3" s="1"/>
  <c r="CL61" i="3"/>
  <c r="CM1" i="3"/>
  <c r="CL2" i="3"/>
  <c r="CM34" i="3" l="1"/>
  <c r="CM35" i="3" s="1"/>
  <c r="CM62" i="3" s="1"/>
  <c r="CM61" i="3"/>
  <c r="CN1" i="3"/>
  <c r="CM2" i="3"/>
  <c r="CN34" i="3" l="1"/>
  <c r="CN35" i="3" s="1"/>
  <c r="CN62" i="3" s="1"/>
  <c r="CN61" i="3"/>
  <c r="CO1" i="3"/>
  <c r="CN2" i="3"/>
  <c r="CO34" i="3" l="1"/>
  <c r="CO35" i="3" s="1"/>
  <c r="CO62" i="3" s="1"/>
  <c r="CO61" i="3"/>
  <c r="CP1" i="3"/>
  <c r="CO2" i="3"/>
  <c r="CP34" i="3" l="1"/>
  <c r="CP35" i="3" s="1"/>
  <c r="CP62" i="3" s="1"/>
  <c r="CP61" i="3"/>
  <c r="CQ1" i="3"/>
  <c r="CP2" i="3"/>
  <c r="CQ34" i="3" l="1"/>
  <c r="CQ35" i="3" s="1"/>
  <c r="CQ62" i="3" s="1"/>
  <c r="CQ61" i="3"/>
  <c r="CR1" i="3"/>
  <c r="CQ2" i="3"/>
  <c r="CR34" i="3" l="1"/>
  <c r="CR35" i="3" s="1"/>
  <c r="CR62" i="3" s="1"/>
  <c r="CR61" i="3"/>
  <c r="CS1" i="3"/>
  <c r="CR2" i="3"/>
  <c r="CS34" i="3" l="1"/>
  <c r="CS35" i="3" s="1"/>
  <c r="CS62" i="3" s="1"/>
  <c r="CS61" i="3"/>
  <c r="CT1" i="3"/>
  <c r="CS2" i="3"/>
  <c r="CT34" i="3" l="1"/>
  <c r="CT35" i="3" s="1"/>
  <c r="CT62" i="3" s="1"/>
  <c r="CT61" i="3"/>
  <c r="CU1" i="3"/>
  <c r="CT2" i="3"/>
  <c r="CU34" i="3" l="1"/>
  <c r="CU35" i="3" s="1"/>
  <c r="CU62" i="3" s="1"/>
  <c r="CU61" i="3"/>
  <c r="CV1" i="3"/>
  <c r="CU2" i="3"/>
  <c r="CV34" i="3" l="1"/>
  <c r="CV35" i="3" s="1"/>
  <c r="CV62" i="3" s="1"/>
  <c r="CV61" i="3"/>
  <c r="CW1" i="3"/>
  <c r="CV2" i="3"/>
  <c r="CW34" i="3" l="1"/>
  <c r="CW35" i="3" s="1"/>
  <c r="CW62" i="3" s="1"/>
  <c r="CW61" i="3"/>
  <c r="CX1" i="3"/>
  <c r="CW2" i="3"/>
  <c r="CX34" i="3" l="1"/>
  <c r="CX35" i="3" s="1"/>
  <c r="CX62" i="3" s="1"/>
  <c r="CX61" i="3"/>
  <c r="CY1" i="3"/>
  <c r="CX2" i="3"/>
  <c r="CY34" i="3" l="1"/>
  <c r="CY35" i="3" s="1"/>
  <c r="CY62" i="3" s="1"/>
  <c r="CY61" i="3"/>
  <c r="CZ1" i="3"/>
  <c r="CY2" i="3"/>
  <c r="CZ34" i="3" l="1"/>
  <c r="CZ35" i="3" s="1"/>
  <c r="CZ62" i="3" s="1"/>
  <c r="CZ61" i="3"/>
  <c r="DA1" i="3"/>
  <c r="CZ2" i="3"/>
  <c r="DA34" i="3" l="1"/>
  <c r="DA35" i="3" s="1"/>
  <c r="DA62" i="3" s="1"/>
  <c r="DA61" i="3"/>
  <c r="DB1" i="3"/>
  <c r="DA2" i="3"/>
  <c r="DB34" i="3" l="1"/>
  <c r="DB35" i="3" s="1"/>
  <c r="DB62" i="3" s="1"/>
  <c r="DB61" i="3"/>
  <c r="DC1" i="3"/>
  <c r="DB2" i="3"/>
  <c r="DC34" i="3" l="1"/>
  <c r="DC35" i="3" s="1"/>
  <c r="DC62" i="3" s="1"/>
  <c r="DC61" i="3"/>
  <c r="DD1" i="3"/>
  <c r="DC2" i="3"/>
  <c r="DD34" i="3" l="1"/>
  <c r="DD35" i="3" s="1"/>
  <c r="DD62" i="3" s="1"/>
  <c r="DD61" i="3"/>
  <c r="DE1" i="3"/>
  <c r="DD2" i="3"/>
  <c r="DE34" i="3" l="1"/>
  <c r="DE35" i="3" s="1"/>
  <c r="DE62" i="3" s="1"/>
  <c r="DE61" i="3"/>
  <c r="DF1" i="3"/>
  <c r="DE2" i="3"/>
  <c r="DF34" i="3" l="1"/>
  <c r="DF35" i="3" s="1"/>
  <c r="DF62" i="3" s="1"/>
  <c r="DF61" i="3"/>
  <c r="DG1" i="3"/>
  <c r="DF2" i="3"/>
  <c r="DG34" i="3" l="1"/>
  <c r="DG35" i="3" s="1"/>
  <c r="DG62" i="3" s="1"/>
  <c r="DG61" i="3"/>
  <c r="DH1" i="3"/>
  <c r="DG2" i="3"/>
  <c r="DH34" i="3" l="1"/>
  <c r="DH35" i="3" s="1"/>
  <c r="DH62" i="3" s="1"/>
  <c r="DH61" i="3"/>
  <c r="DI1" i="3"/>
  <c r="DH2" i="3"/>
  <c r="DI34" i="3" l="1"/>
  <c r="DI35" i="3" s="1"/>
  <c r="DI62" i="3" s="1"/>
  <c r="DI61" i="3"/>
  <c r="DJ1" i="3"/>
  <c r="DI2" i="3"/>
  <c r="DJ34" i="3" l="1"/>
  <c r="DJ35" i="3" s="1"/>
  <c r="DJ62" i="3" s="1"/>
  <c r="DJ61" i="3"/>
  <c r="DK1" i="3"/>
  <c r="DJ2" i="3"/>
  <c r="DK34" i="3" l="1"/>
  <c r="DK35" i="3" s="1"/>
  <c r="DK62" i="3" s="1"/>
  <c r="DK61" i="3"/>
  <c r="DL1" i="3"/>
  <c r="DK2" i="3"/>
  <c r="DL34" i="3" l="1"/>
  <c r="DL35" i="3" s="1"/>
  <c r="DL62" i="3" s="1"/>
  <c r="DL61" i="3"/>
  <c r="DM1" i="3"/>
  <c r="DL2" i="3"/>
  <c r="DM34" i="3" l="1"/>
  <c r="DM35" i="3" s="1"/>
  <c r="DM62" i="3" s="1"/>
  <c r="DM61" i="3"/>
  <c r="DN1" i="3"/>
  <c r="DM2" i="3"/>
  <c r="DN34" i="3" l="1"/>
  <c r="DN35" i="3" s="1"/>
  <c r="DN62" i="3" s="1"/>
  <c r="DN61" i="3"/>
  <c r="DO1" i="3"/>
  <c r="DN2" i="3"/>
  <c r="DO34" i="3" l="1"/>
  <c r="DO35" i="3" s="1"/>
  <c r="DO62" i="3" s="1"/>
  <c r="DO61" i="3"/>
  <c r="DP1" i="3"/>
  <c r="DO2" i="3"/>
  <c r="DP34" i="3" l="1"/>
  <c r="DP35" i="3" s="1"/>
  <c r="DP62" i="3" s="1"/>
  <c r="DP61" i="3"/>
  <c r="DQ1" i="3"/>
  <c r="DP2" i="3"/>
  <c r="DQ34" i="3" l="1"/>
  <c r="DQ35" i="3" s="1"/>
  <c r="DQ62" i="3" s="1"/>
  <c r="DQ61" i="3"/>
  <c r="DR1" i="3"/>
  <c r="DQ2" i="3"/>
  <c r="DR34" i="3" l="1"/>
  <c r="DR35" i="3" s="1"/>
  <c r="DR62" i="3" s="1"/>
  <c r="DR61" i="3"/>
  <c r="DS1" i="3"/>
  <c r="DR2" i="3"/>
  <c r="DS34" i="3" l="1"/>
  <c r="DS35" i="3" s="1"/>
  <c r="DS62" i="3" s="1"/>
  <c r="DS61" i="3"/>
  <c r="DT1" i="3"/>
  <c r="DS2" i="3"/>
  <c r="DT34" i="3" l="1"/>
  <c r="DT35" i="3" s="1"/>
  <c r="DT62" i="3" s="1"/>
  <c r="DT61" i="3"/>
  <c r="DU1" i="3"/>
  <c r="DT2" i="3"/>
  <c r="DU34" i="3" l="1"/>
  <c r="DU35" i="3" s="1"/>
  <c r="DU62" i="3" s="1"/>
  <c r="DU61" i="3"/>
  <c r="DV1" i="3"/>
  <c r="DU2" i="3"/>
  <c r="DV34" i="3" l="1"/>
  <c r="DV35" i="3" s="1"/>
  <c r="DV62" i="3" s="1"/>
  <c r="DV61" i="3"/>
  <c r="DW1" i="3"/>
  <c r="DV2" i="3"/>
  <c r="DW34" i="3" l="1"/>
  <c r="DW35" i="3" s="1"/>
  <c r="DW62" i="3" s="1"/>
  <c r="DW61" i="3"/>
  <c r="DX1" i="3"/>
  <c r="DW2" i="3"/>
  <c r="DX34" i="3" l="1"/>
  <c r="DX35" i="3" s="1"/>
  <c r="DX62" i="3" s="1"/>
  <c r="DX61" i="3"/>
  <c r="DY1" i="3"/>
  <c r="DX2" i="3"/>
  <c r="DY34" i="3" l="1"/>
  <c r="DY35" i="3" s="1"/>
  <c r="DY62" i="3" s="1"/>
  <c r="DY61" i="3"/>
  <c r="DZ1" i="3"/>
  <c r="DY2" i="3"/>
  <c r="DZ34" i="3" l="1"/>
  <c r="DZ35" i="3" s="1"/>
  <c r="DZ62" i="3" s="1"/>
  <c r="DZ61" i="3"/>
  <c r="EA1" i="3"/>
  <c r="DZ2" i="3"/>
  <c r="EA34" i="3" l="1"/>
  <c r="EA35" i="3" s="1"/>
  <c r="EA62" i="3" s="1"/>
  <c r="EA61" i="3"/>
  <c r="EB1" i="3"/>
  <c r="EA2" i="3"/>
  <c r="EB34" i="3" l="1"/>
  <c r="EB35" i="3" s="1"/>
  <c r="EB62" i="3" s="1"/>
  <c r="EB61" i="3"/>
  <c r="EC1" i="3"/>
  <c r="EB2" i="3"/>
  <c r="EC34" i="3" l="1"/>
  <c r="EC35" i="3" s="1"/>
  <c r="EC62" i="3" s="1"/>
  <c r="EC61" i="3"/>
  <c r="ED1" i="3"/>
  <c r="EC2" i="3"/>
  <c r="ED34" i="3" l="1"/>
  <c r="ED35" i="3" s="1"/>
  <c r="ED62" i="3" s="1"/>
  <c r="ED61" i="3"/>
  <c r="EE1" i="3"/>
  <c r="ED2" i="3"/>
  <c r="EE34" i="3" l="1"/>
  <c r="EE35" i="3" s="1"/>
  <c r="EE62" i="3" s="1"/>
  <c r="EE61" i="3"/>
  <c r="EF1" i="3"/>
  <c r="EF61" i="3" s="1"/>
  <c r="EE2" i="3"/>
  <c r="EF34" i="3" l="1"/>
  <c r="EF35" i="3" s="1"/>
  <c r="EF62" i="3" s="1"/>
  <c r="EG1" i="3"/>
  <c r="EG61" i="3" s="1"/>
  <c r="EF2" i="3"/>
  <c r="EG34" i="3" l="1"/>
  <c r="EG35" i="3" s="1"/>
  <c r="EG62" i="3" s="1"/>
  <c r="EH1" i="3"/>
  <c r="EH61" i="3" s="1"/>
  <c r="EG2" i="3"/>
  <c r="EH2" i="3" l="1"/>
  <c r="EH34" i="3"/>
  <c r="EH35" i="3" s="1"/>
  <c r="EH62" i="3" s="1"/>
  <c r="EI1" i="3"/>
  <c r="EI34" i="3" l="1"/>
  <c r="EI35" i="3" s="1"/>
  <c r="EI62" i="3" s="1"/>
  <c r="EI61" i="3"/>
  <c r="EJ1" i="3"/>
  <c r="EI2" i="3"/>
  <c r="EJ34" i="3" l="1"/>
  <c r="EJ35" i="3" s="1"/>
  <c r="EJ62" i="3" s="1"/>
  <c r="EJ61" i="3"/>
  <c r="EK1" i="3"/>
  <c r="EJ2" i="3"/>
  <c r="EK34" i="3" l="1"/>
  <c r="EK35" i="3" s="1"/>
  <c r="EK62" i="3" s="1"/>
  <c r="EK61" i="3"/>
  <c r="EL1" i="3"/>
  <c r="EK2" i="3"/>
  <c r="EL34" i="3" l="1"/>
  <c r="EL35" i="3" s="1"/>
  <c r="EL62" i="3" s="1"/>
  <c r="EL61" i="3"/>
  <c r="EM1" i="3"/>
  <c r="EL2" i="3"/>
  <c r="EM34" i="3" l="1"/>
  <c r="EM35" i="3" s="1"/>
  <c r="EM62" i="3" s="1"/>
  <c r="EM61" i="3"/>
  <c r="EN1" i="3"/>
  <c r="EM2" i="3"/>
  <c r="EN34" i="3" l="1"/>
  <c r="EN35" i="3" s="1"/>
  <c r="EN62" i="3" s="1"/>
  <c r="EN61" i="3"/>
  <c r="EO1" i="3"/>
  <c r="EN2" i="3"/>
  <c r="EO34" i="3" l="1"/>
  <c r="EO35" i="3" s="1"/>
  <c r="EO62" i="3" s="1"/>
  <c r="EO61" i="3"/>
  <c r="EP1" i="3"/>
  <c r="EO2" i="3"/>
  <c r="EP34" i="3" l="1"/>
  <c r="EP35" i="3" s="1"/>
  <c r="EP62" i="3" s="1"/>
  <c r="EP61" i="3"/>
  <c r="EQ1" i="3"/>
  <c r="EP2" i="3"/>
  <c r="EQ34" i="3" l="1"/>
  <c r="EQ35" i="3" s="1"/>
  <c r="EQ62" i="3" s="1"/>
  <c r="EQ61" i="3"/>
  <c r="ER1" i="3"/>
  <c r="EQ2" i="3"/>
  <c r="ER34" i="3" l="1"/>
  <c r="ER35" i="3" s="1"/>
  <c r="ER62" i="3" s="1"/>
  <c r="ER61" i="3"/>
  <c r="ES1" i="3"/>
  <c r="ER2" i="3"/>
  <c r="ES34" i="3" l="1"/>
  <c r="ES35" i="3" s="1"/>
  <c r="ES62" i="3" s="1"/>
  <c r="ES61" i="3"/>
  <c r="ET1" i="3"/>
  <c r="ES2" i="3"/>
  <c r="ET34" i="3" l="1"/>
  <c r="ET35" i="3" s="1"/>
  <c r="ET62" i="3" s="1"/>
  <c r="ET61" i="3"/>
  <c r="EU1" i="3"/>
  <c r="ET2" i="3"/>
  <c r="EU34" i="3" l="1"/>
  <c r="EU35" i="3" s="1"/>
  <c r="EU62" i="3" s="1"/>
  <c r="EU61" i="3"/>
  <c r="EV1" i="3"/>
  <c r="EU2" i="3"/>
  <c r="EV34" i="3" l="1"/>
  <c r="EV35" i="3" s="1"/>
  <c r="EV62" i="3" s="1"/>
  <c r="EV61" i="3"/>
  <c r="EW1" i="3"/>
  <c r="EV2" i="3"/>
  <c r="EW34" i="3" l="1"/>
  <c r="EW35" i="3" s="1"/>
  <c r="EW62" i="3" s="1"/>
  <c r="EW61" i="3"/>
  <c r="EX1" i="3"/>
  <c r="EW2" i="3"/>
  <c r="EX34" i="3" l="1"/>
  <c r="EX35" i="3" s="1"/>
  <c r="EX62" i="3" s="1"/>
  <c r="EX61" i="3"/>
  <c r="EY1" i="3"/>
  <c r="EX2" i="3"/>
  <c r="EY34" i="3" l="1"/>
  <c r="EY35" i="3" s="1"/>
  <c r="EY62" i="3" s="1"/>
  <c r="EY61" i="3"/>
  <c r="EZ1" i="3"/>
  <c r="EY2" i="3"/>
  <c r="EZ34" i="3" l="1"/>
  <c r="EZ35" i="3" s="1"/>
  <c r="EZ62" i="3" s="1"/>
  <c r="EZ61" i="3"/>
  <c r="FA1" i="3"/>
  <c r="EZ2" i="3"/>
  <c r="FA34" i="3" l="1"/>
  <c r="FA35" i="3" s="1"/>
  <c r="FA62" i="3" s="1"/>
  <c r="FA61" i="3"/>
  <c r="FB1" i="3"/>
  <c r="FA2" i="3"/>
  <c r="FB34" i="3" l="1"/>
  <c r="FB35" i="3" s="1"/>
  <c r="FB62" i="3" s="1"/>
  <c r="FB61" i="3"/>
  <c r="FC1" i="3"/>
  <c r="FB2" i="3"/>
  <c r="FC34" i="3" l="1"/>
  <c r="FC35" i="3" s="1"/>
  <c r="FC62" i="3" s="1"/>
  <c r="FC61" i="3"/>
  <c r="FD1" i="3"/>
  <c r="FC2" i="3"/>
  <c r="FD34" i="3" l="1"/>
  <c r="FD35" i="3" s="1"/>
  <c r="FD62" i="3" s="1"/>
  <c r="FD61" i="3"/>
  <c r="FE1" i="3"/>
  <c r="FD2" i="3"/>
  <c r="FE34" i="3" l="1"/>
  <c r="FE35" i="3" s="1"/>
  <c r="FE62" i="3" s="1"/>
  <c r="FE61" i="3"/>
  <c r="FF1" i="3"/>
  <c r="FE2" i="3"/>
  <c r="FF34" i="3" l="1"/>
  <c r="FF35" i="3" s="1"/>
  <c r="FF62" i="3" s="1"/>
  <c r="FF61" i="3"/>
  <c r="FG1" i="3"/>
  <c r="FF2" i="3"/>
  <c r="FG34" i="3" l="1"/>
  <c r="FG35" i="3" s="1"/>
  <c r="FG62" i="3" s="1"/>
  <c r="FG61" i="3"/>
  <c r="FH1" i="3"/>
  <c r="FG2" i="3"/>
  <c r="FH34" i="3" l="1"/>
  <c r="FH35" i="3" s="1"/>
  <c r="FH62" i="3" s="1"/>
  <c r="FH61" i="3"/>
  <c r="FI1" i="3"/>
  <c r="FH2" i="3"/>
  <c r="FI34" i="3" l="1"/>
  <c r="FI35" i="3" s="1"/>
  <c r="FI62" i="3" s="1"/>
  <c r="FI61" i="3"/>
  <c r="FJ1" i="3"/>
  <c r="FI2" i="3"/>
  <c r="FJ34" i="3" l="1"/>
  <c r="FJ35" i="3" s="1"/>
  <c r="FJ62" i="3" s="1"/>
  <c r="FJ61" i="3"/>
  <c r="FK1" i="3"/>
  <c r="FJ2" i="3"/>
  <c r="FK34" i="3" l="1"/>
  <c r="FK35" i="3" s="1"/>
  <c r="FK62" i="3" s="1"/>
  <c r="FK61" i="3"/>
  <c r="FL1" i="3"/>
  <c r="FK2" i="3"/>
  <c r="FL34" i="3" l="1"/>
  <c r="FL35" i="3" s="1"/>
  <c r="FL62" i="3" s="1"/>
  <c r="FL61" i="3"/>
  <c r="FM1" i="3"/>
  <c r="FL2" i="3"/>
  <c r="FM34" i="3" l="1"/>
  <c r="FM35" i="3" s="1"/>
  <c r="FM62" i="3" s="1"/>
  <c r="FM61" i="3"/>
  <c r="FN1" i="3"/>
  <c r="FM2" i="3"/>
  <c r="FN34" i="3" l="1"/>
  <c r="FN35" i="3" s="1"/>
  <c r="FN62" i="3" s="1"/>
  <c r="FN61" i="3"/>
  <c r="FO1" i="3"/>
  <c r="FN2" i="3"/>
  <c r="FO34" i="3" l="1"/>
  <c r="FO35" i="3" s="1"/>
  <c r="FO62" i="3" s="1"/>
  <c r="FO61" i="3"/>
  <c r="FP1" i="3"/>
  <c r="FO2" i="3"/>
  <c r="FP34" i="3" l="1"/>
  <c r="FP35" i="3" s="1"/>
  <c r="FP62" i="3" s="1"/>
  <c r="FP61" i="3"/>
  <c r="FQ1" i="3"/>
  <c r="FP2" i="3"/>
  <c r="FQ34" i="3" l="1"/>
  <c r="FQ35" i="3" s="1"/>
  <c r="FQ62" i="3" s="1"/>
  <c r="FQ61" i="3"/>
  <c r="FR1" i="3"/>
  <c r="FQ2" i="3"/>
  <c r="FR34" i="3" l="1"/>
  <c r="FR35" i="3" s="1"/>
  <c r="FR62" i="3" s="1"/>
  <c r="FR61" i="3"/>
  <c r="FS1" i="3"/>
  <c r="FR2" i="3"/>
  <c r="FS34" i="3" l="1"/>
  <c r="FS35" i="3" s="1"/>
  <c r="FS62" i="3" s="1"/>
  <c r="FS61" i="3"/>
  <c r="FT1" i="3"/>
  <c r="FS2" i="3"/>
  <c r="FT34" i="3" l="1"/>
  <c r="FT35" i="3" s="1"/>
  <c r="FT62" i="3" s="1"/>
  <c r="FT61" i="3"/>
  <c r="FU1" i="3"/>
  <c r="FT2" i="3"/>
  <c r="FU34" i="3" l="1"/>
  <c r="FU35" i="3" s="1"/>
  <c r="FU62" i="3" s="1"/>
  <c r="FU61" i="3"/>
  <c r="FV1" i="3"/>
  <c r="FU2" i="3"/>
  <c r="FV34" i="3" l="1"/>
  <c r="FV35" i="3" s="1"/>
  <c r="FV62" i="3" s="1"/>
  <c r="FV61" i="3"/>
  <c r="FW1" i="3"/>
  <c r="FV2" i="3"/>
  <c r="FW34" i="3" l="1"/>
  <c r="FW35" i="3" s="1"/>
  <c r="FW62" i="3" s="1"/>
  <c r="FW61" i="3"/>
  <c r="FX1" i="3"/>
  <c r="FW2" i="3"/>
  <c r="FX34" i="3" l="1"/>
  <c r="FX35" i="3" s="1"/>
  <c r="FX62" i="3" s="1"/>
  <c r="FX61" i="3"/>
  <c r="FY1" i="3"/>
  <c r="FX2" i="3"/>
  <c r="FY34" i="3" l="1"/>
  <c r="FY35" i="3" s="1"/>
  <c r="FY62" i="3" s="1"/>
  <c r="FY61" i="3"/>
  <c r="FZ1" i="3"/>
  <c r="FY2" i="3"/>
  <c r="FZ34" i="3" l="1"/>
  <c r="FZ35" i="3" s="1"/>
  <c r="FZ62" i="3" s="1"/>
  <c r="FZ61" i="3"/>
  <c r="GA1" i="3"/>
  <c r="FZ2" i="3"/>
  <c r="GA34" i="3" l="1"/>
  <c r="GA35" i="3" s="1"/>
  <c r="GA62" i="3" s="1"/>
  <c r="GA61" i="3"/>
  <c r="GB1" i="3"/>
  <c r="GA2" i="3"/>
  <c r="GB34" i="3" l="1"/>
  <c r="GB35" i="3" s="1"/>
  <c r="GB62" i="3" s="1"/>
  <c r="GB61" i="3"/>
  <c r="GC1" i="3"/>
  <c r="GB2" i="3"/>
  <c r="GC34" i="3" l="1"/>
  <c r="GC35" i="3" s="1"/>
  <c r="GC62" i="3" s="1"/>
  <c r="GC61" i="3"/>
  <c r="GD1" i="3"/>
  <c r="GC2" i="3"/>
  <c r="GD34" i="3" l="1"/>
  <c r="GD35" i="3" s="1"/>
  <c r="GD62" i="3" s="1"/>
  <c r="GD61" i="3"/>
  <c r="GE1" i="3"/>
  <c r="GD2" i="3"/>
  <c r="GE34" i="3" l="1"/>
  <c r="GE35" i="3" s="1"/>
  <c r="GE62" i="3" s="1"/>
  <c r="GE61" i="3"/>
  <c r="GF1" i="3"/>
  <c r="GE2" i="3"/>
  <c r="GF34" i="3" l="1"/>
  <c r="GF35" i="3" s="1"/>
  <c r="GF62" i="3" s="1"/>
  <c r="GF61" i="3"/>
  <c r="GG1" i="3"/>
  <c r="GF2" i="3"/>
  <c r="GG34" i="3" l="1"/>
  <c r="GG35" i="3" s="1"/>
  <c r="GG62" i="3" s="1"/>
  <c r="GG61" i="3"/>
  <c r="GH1" i="3"/>
  <c r="GG2" i="3"/>
  <c r="GH34" i="3" l="1"/>
  <c r="GH35" i="3" s="1"/>
  <c r="GH62" i="3" s="1"/>
  <c r="GH61" i="3"/>
  <c r="GI1" i="3"/>
  <c r="GH2" i="3"/>
  <c r="GI34" i="3" l="1"/>
  <c r="GI35" i="3" s="1"/>
  <c r="GI62" i="3" s="1"/>
  <c r="GI61" i="3"/>
  <c r="GJ1" i="3"/>
  <c r="GI2" i="3"/>
  <c r="GJ34" i="3" l="1"/>
  <c r="GJ35" i="3" s="1"/>
  <c r="GJ62" i="3" s="1"/>
  <c r="GJ61" i="3"/>
  <c r="GK1" i="3"/>
  <c r="GJ2" i="3"/>
  <c r="GK34" i="3" l="1"/>
  <c r="GK35" i="3" s="1"/>
  <c r="GK62" i="3" s="1"/>
  <c r="GK61" i="3"/>
  <c r="GL1" i="3"/>
  <c r="GK2" i="3"/>
  <c r="GL34" i="3" l="1"/>
  <c r="GL35" i="3" s="1"/>
  <c r="GL62" i="3" s="1"/>
  <c r="GL61" i="3"/>
  <c r="GM1" i="3"/>
  <c r="GL2" i="3"/>
  <c r="GM34" i="3" l="1"/>
  <c r="GM35" i="3" s="1"/>
  <c r="GM62" i="3" s="1"/>
  <c r="GM61" i="3"/>
  <c r="GN1" i="3"/>
  <c r="GM2" i="3"/>
  <c r="GN34" i="3" l="1"/>
  <c r="GN35" i="3" s="1"/>
  <c r="GN62" i="3" s="1"/>
  <c r="GN61" i="3"/>
  <c r="GO1" i="3"/>
  <c r="GN2" i="3"/>
  <c r="GO34" i="3" l="1"/>
  <c r="GO35" i="3" s="1"/>
  <c r="GO62" i="3" s="1"/>
  <c r="GO61" i="3"/>
  <c r="GP1" i="3"/>
  <c r="GO2" i="3"/>
  <c r="GP34" i="3" l="1"/>
  <c r="GP35" i="3" s="1"/>
  <c r="GP62" i="3" s="1"/>
  <c r="GP61" i="3"/>
  <c r="GQ1" i="3"/>
  <c r="GP2" i="3"/>
  <c r="GQ34" i="3" l="1"/>
  <c r="GQ35" i="3" s="1"/>
  <c r="GQ62" i="3" s="1"/>
  <c r="GQ61" i="3"/>
  <c r="GR1" i="3"/>
  <c r="GQ2" i="3"/>
  <c r="GR34" i="3" l="1"/>
  <c r="GR35" i="3" s="1"/>
  <c r="GR62" i="3" s="1"/>
  <c r="GR61" i="3"/>
  <c r="GS1" i="3"/>
  <c r="GR2" i="3"/>
  <c r="GS34" i="3" l="1"/>
  <c r="GS35" i="3" s="1"/>
  <c r="GS62" i="3" s="1"/>
  <c r="GS61" i="3"/>
  <c r="GT1" i="3"/>
  <c r="GS2" i="3"/>
  <c r="GT34" i="3" l="1"/>
  <c r="GT35" i="3" s="1"/>
  <c r="GT62" i="3" s="1"/>
  <c r="GT61" i="3"/>
  <c r="GU1" i="3"/>
  <c r="GT2" i="3"/>
  <c r="GU34" i="3" l="1"/>
  <c r="GU35" i="3" s="1"/>
  <c r="GU62" i="3" s="1"/>
  <c r="GU61" i="3"/>
  <c r="GV1" i="3"/>
  <c r="GU2" i="3"/>
  <c r="GV34" i="3" l="1"/>
  <c r="GV35" i="3" s="1"/>
  <c r="GV62" i="3" s="1"/>
  <c r="GV61" i="3"/>
  <c r="GW1" i="3"/>
  <c r="GV2" i="3"/>
  <c r="GW34" i="3" l="1"/>
  <c r="GW35" i="3" s="1"/>
  <c r="GW62" i="3" s="1"/>
  <c r="GW61" i="3"/>
  <c r="GX1" i="3"/>
  <c r="GW2" i="3"/>
  <c r="GX34" i="3" l="1"/>
  <c r="GX35" i="3" s="1"/>
  <c r="GX62" i="3" s="1"/>
  <c r="GX61" i="3"/>
  <c r="GY1" i="3"/>
  <c r="GX2" i="3"/>
  <c r="GY34" i="3" l="1"/>
  <c r="GY35" i="3" s="1"/>
  <c r="GY62" i="3" s="1"/>
  <c r="GY61" i="3"/>
  <c r="GZ1" i="3"/>
  <c r="GY2" i="3"/>
  <c r="GZ34" i="3" l="1"/>
  <c r="GZ35" i="3" s="1"/>
  <c r="GZ62" i="3" s="1"/>
  <c r="GZ61" i="3"/>
  <c r="HA1" i="3"/>
  <c r="GZ2" i="3"/>
  <c r="HA34" i="3" l="1"/>
  <c r="HA35" i="3" s="1"/>
  <c r="HA62" i="3" s="1"/>
  <c r="HA61" i="3"/>
  <c r="HB1" i="3"/>
  <c r="HA2" i="3"/>
  <c r="HB34" i="3" l="1"/>
  <c r="HB35" i="3" s="1"/>
  <c r="HB62" i="3" s="1"/>
  <c r="HB61" i="3"/>
  <c r="HC1" i="3"/>
  <c r="HB2" i="3"/>
  <c r="HC34" i="3" l="1"/>
  <c r="HC35" i="3" s="1"/>
  <c r="HC62" i="3" s="1"/>
  <c r="HC61" i="3"/>
  <c r="HD1" i="3"/>
  <c r="HC2" i="3"/>
  <c r="HD34" i="3" l="1"/>
  <c r="HD35" i="3" s="1"/>
  <c r="HD62" i="3" s="1"/>
  <c r="HD61" i="3"/>
  <c r="HE1" i="3"/>
  <c r="HD2" i="3"/>
  <c r="HE34" i="3" l="1"/>
  <c r="HE35" i="3" s="1"/>
  <c r="HE62" i="3" s="1"/>
  <c r="HE61" i="3"/>
  <c r="HF1" i="3"/>
  <c r="HE2" i="3"/>
  <c r="HF34" i="3" l="1"/>
  <c r="HF35" i="3" s="1"/>
  <c r="HF62" i="3" s="1"/>
  <c r="HF61" i="3"/>
  <c r="HG1" i="3"/>
  <c r="HF2" i="3"/>
  <c r="HG34" i="3" l="1"/>
  <c r="HG35" i="3" s="1"/>
  <c r="HG62" i="3" s="1"/>
  <c r="HG61" i="3"/>
  <c r="HH1" i="3"/>
  <c r="HG2" i="3"/>
  <c r="HH34" i="3" l="1"/>
  <c r="HH35" i="3" s="1"/>
  <c r="HH62" i="3" s="1"/>
  <c r="HH61" i="3"/>
  <c r="HI1" i="3"/>
  <c r="HH2" i="3"/>
  <c r="HI34" i="3" l="1"/>
  <c r="HI35" i="3" s="1"/>
  <c r="HI62" i="3" s="1"/>
  <c r="HI61" i="3"/>
  <c r="HJ1" i="3"/>
  <c r="HI2" i="3"/>
  <c r="HJ34" i="3" l="1"/>
  <c r="HJ35" i="3" s="1"/>
  <c r="HJ62" i="3" s="1"/>
  <c r="HJ61" i="3"/>
  <c r="HK1" i="3"/>
  <c r="HJ2" i="3"/>
  <c r="HK34" i="3" l="1"/>
  <c r="HK35" i="3" s="1"/>
  <c r="HK62" i="3" s="1"/>
  <c r="HK61" i="3"/>
  <c r="HL1" i="3"/>
  <c r="HK2" i="3"/>
  <c r="HL34" i="3" l="1"/>
  <c r="HL35" i="3" s="1"/>
  <c r="HL62" i="3" s="1"/>
  <c r="HL61" i="3"/>
  <c r="HM1" i="3"/>
  <c r="HL2" i="3"/>
  <c r="HM34" i="3" l="1"/>
  <c r="HM35" i="3" s="1"/>
  <c r="HM62" i="3" s="1"/>
  <c r="HM61" i="3"/>
  <c r="HN1" i="3"/>
  <c r="HM2" i="3"/>
  <c r="HN34" i="3" l="1"/>
  <c r="HN35" i="3" s="1"/>
  <c r="HN62" i="3" s="1"/>
  <c r="HN61" i="3"/>
  <c r="HO1" i="3"/>
  <c r="HN2" i="3"/>
  <c r="HO34" i="3" l="1"/>
  <c r="HO35" i="3" s="1"/>
  <c r="HO62" i="3" s="1"/>
  <c r="HO61" i="3"/>
  <c r="HP1" i="3"/>
  <c r="HO2" i="3"/>
  <c r="HP34" i="3" l="1"/>
  <c r="HP35" i="3" s="1"/>
  <c r="HP62" i="3" s="1"/>
  <c r="HP61" i="3"/>
  <c r="HQ1" i="3"/>
  <c r="HP2" i="3"/>
  <c r="HQ34" i="3" l="1"/>
  <c r="HQ35" i="3" s="1"/>
  <c r="HQ62" i="3" s="1"/>
  <c r="HQ61" i="3"/>
  <c r="HR1" i="3"/>
  <c r="HQ2" i="3"/>
  <c r="HR34" i="3" l="1"/>
  <c r="HR35" i="3" s="1"/>
  <c r="HR62" i="3" s="1"/>
  <c r="HR61" i="3"/>
  <c r="HS1" i="3"/>
  <c r="HR2" i="3"/>
  <c r="HS34" i="3" l="1"/>
  <c r="HS35" i="3" s="1"/>
  <c r="HS62" i="3" s="1"/>
  <c r="HS61" i="3"/>
  <c r="HT1" i="3"/>
  <c r="HS2" i="3"/>
  <c r="HT34" i="3" l="1"/>
  <c r="HT35" i="3" s="1"/>
  <c r="HT62" i="3" s="1"/>
  <c r="HT61" i="3"/>
  <c r="HU1" i="3"/>
  <c r="HT2" i="3"/>
  <c r="HU34" i="3" l="1"/>
  <c r="HU35" i="3" s="1"/>
  <c r="HU62" i="3" s="1"/>
  <c r="HU61" i="3"/>
  <c r="HV1" i="3"/>
  <c r="HU2" i="3"/>
  <c r="HV34" i="3" l="1"/>
  <c r="HV35" i="3" s="1"/>
  <c r="HV62" i="3" s="1"/>
  <c r="HV61" i="3"/>
  <c r="HW1" i="3"/>
  <c r="HV2" i="3"/>
  <c r="HW34" i="3" l="1"/>
  <c r="HW35" i="3" s="1"/>
  <c r="HW62" i="3" s="1"/>
  <c r="HW61" i="3"/>
  <c r="HX1" i="3"/>
  <c r="HW2" i="3"/>
  <c r="HX34" i="3" l="1"/>
  <c r="HX35" i="3" s="1"/>
  <c r="HX62" i="3" s="1"/>
  <c r="HX61" i="3"/>
  <c r="HY1" i="3"/>
  <c r="HX2" i="3"/>
  <c r="HY34" i="3" l="1"/>
  <c r="HY35" i="3" s="1"/>
  <c r="HY62" i="3" s="1"/>
  <c r="HY61" i="3"/>
  <c r="HZ1" i="3"/>
  <c r="HY2" i="3"/>
  <c r="HZ34" i="3" l="1"/>
  <c r="HZ35" i="3" s="1"/>
  <c r="HZ62" i="3" s="1"/>
  <c r="HZ61" i="3"/>
  <c r="IA1" i="3"/>
  <c r="HZ2" i="3"/>
  <c r="IA34" i="3" l="1"/>
  <c r="IA35" i="3" s="1"/>
  <c r="IA62" i="3" s="1"/>
  <c r="IA61" i="3"/>
  <c r="IB1" i="3"/>
  <c r="IA2" i="3"/>
  <c r="IB34" i="3" l="1"/>
  <c r="IB35" i="3" s="1"/>
  <c r="IB62" i="3" s="1"/>
  <c r="IB61" i="3"/>
  <c r="IC1" i="3"/>
  <c r="IB2" i="3"/>
  <c r="IC34" i="3" l="1"/>
  <c r="IC35" i="3" s="1"/>
  <c r="IC62" i="3" s="1"/>
  <c r="IC61" i="3"/>
  <c r="ID1" i="3"/>
  <c r="IC2" i="3"/>
  <c r="ID34" i="3" l="1"/>
  <c r="ID35" i="3" s="1"/>
  <c r="ID62" i="3" s="1"/>
  <c r="ID61" i="3"/>
  <c r="IE1" i="3"/>
  <c r="ID2" i="3"/>
  <c r="IE34" i="3" l="1"/>
  <c r="IE35" i="3" s="1"/>
  <c r="IE62" i="3" s="1"/>
  <c r="IE61" i="3"/>
  <c r="IF1" i="3"/>
  <c r="IE2" i="3"/>
  <c r="IF34" i="3" l="1"/>
  <c r="IF35" i="3" s="1"/>
  <c r="IF62" i="3" s="1"/>
  <c r="IF61" i="3"/>
  <c r="IG1" i="3"/>
  <c r="IF2" i="3"/>
  <c r="IG34" i="3" l="1"/>
  <c r="IG35" i="3" s="1"/>
  <c r="IG62" i="3" s="1"/>
  <c r="IG61" i="3"/>
  <c r="IH1" i="3"/>
  <c r="IG2" i="3"/>
  <c r="IH34" i="3" l="1"/>
  <c r="IH35" i="3" s="1"/>
  <c r="IH62" i="3" s="1"/>
  <c r="IH61" i="3"/>
  <c r="II1" i="3"/>
  <c r="IH2" i="3"/>
  <c r="II34" i="3" l="1"/>
  <c r="II35" i="3" s="1"/>
  <c r="II62" i="3" s="1"/>
  <c r="II61" i="3"/>
  <c r="IJ1" i="3"/>
  <c r="II2" i="3"/>
  <c r="IJ34" i="3" l="1"/>
  <c r="IJ35" i="3" s="1"/>
  <c r="IJ62" i="3" s="1"/>
  <c r="IJ61" i="3"/>
  <c r="IK1" i="3"/>
  <c r="IJ2" i="3"/>
  <c r="IK34" i="3" l="1"/>
  <c r="IK35" i="3" s="1"/>
  <c r="IK62" i="3" s="1"/>
  <c r="IK61" i="3"/>
  <c r="IL1" i="3"/>
  <c r="IK2" i="3"/>
  <c r="IL34" i="3" l="1"/>
  <c r="IL35" i="3" s="1"/>
  <c r="IL62" i="3" s="1"/>
  <c r="IL61" i="3"/>
  <c r="IM1" i="3"/>
  <c r="IL2" i="3"/>
  <c r="IM34" i="3" l="1"/>
  <c r="IM35" i="3" s="1"/>
  <c r="IM62" i="3" s="1"/>
  <c r="IM61" i="3"/>
  <c r="IN1" i="3"/>
  <c r="IM2" i="3"/>
  <c r="IN34" i="3" l="1"/>
  <c r="IN35" i="3" s="1"/>
  <c r="IN62" i="3" s="1"/>
  <c r="IN61" i="3"/>
  <c r="IO1" i="3"/>
  <c r="IN2" i="3"/>
  <c r="IO34" i="3" l="1"/>
  <c r="IO35" i="3" s="1"/>
  <c r="IO62" i="3" s="1"/>
  <c r="IO61" i="3"/>
  <c r="IP1" i="3"/>
  <c r="IO2" i="3"/>
  <c r="IP34" i="3" l="1"/>
  <c r="IP35" i="3" s="1"/>
  <c r="IP62" i="3" s="1"/>
  <c r="IP61" i="3"/>
  <c r="IQ1" i="3"/>
  <c r="IP2" i="3"/>
  <c r="IQ34" i="3" l="1"/>
  <c r="IQ35" i="3" s="1"/>
  <c r="IQ62" i="3" s="1"/>
  <c r="IQ61" i="3"/>
  <c r="IR1" i="3"/>
  <c r="IQ2" i="3"/>
  <c r="IR34" i="3" l="1"/>
  <c r="IR35" i="3" s="1"/>
  <c r="IR62" i="3" s="1"/>
  <c r="IR61" i="3"/>
  <c r="IS1" i="3"/>
  <c r="IR2" i="3"/>
  <c r="IS34" i="3" l="1"/>
  <c r="IS35" i="3" s="1"/>
  <c r="IS62" i="3" s="1"/>
  <c r="IS61" i="3"/>
  <c r="IT1" i="3"/>
  <c r="IS2" i="3"/>
  <c r="IT34" i="3" l="1"/>
  <c r="IT35" i="3" s="1"/>
  <c r="IT62" i="3" s="1"/>
  <c r="IT61" i="3"/>
  <c r="IU1" i="3"/>
  <c r="IT2" i="3"/>
  <c r="IU34" i="3" l="1"/>
  <c r="IU35" i="3" s="1"/>
  <c r="IU62" i="3" s="1"/>
  <c r="IU61" i="3"/>
  <c r="IV1" i="3"/>
  <c r="IU2" i="3"/>
  <c r="IV34" i="3" l="1"/>
  <c r="IV35" i="3" s="1"/>
  <c r="IV62" i="3" s="1"/>
  <c r="IV61" i="3"/>
  <c r="IW1" i="3"/>
  <c r="IV2" i="3"/>
  <c r="IW34" i="3" l="1"/>
  <c r="IW35" i="3" s="1"/>
  <c r="IW62" i="3" s="1"/>
  <c r="IW61" i="3"/>
  <c r="IX1" i="3"/>
  <c r="IW2" i="3"/>
  <c r="IX34" i="3" l="1"/>
  <c r="IX35" i="3" s="1"/>
  <c r="IX62" i="3" s="1"/>
  <c r="IX61" i="3"/>
  <c r="IY1" i="3"/>
  <c r="IX2" i="3"/>
  <c r="IY34" i="3" l="1"/>
  <c r="IY35" i="3" s="1"/>
  <c r="IY62" i="3" s="1"/>
  <c r="IY61" i="3"/>
  <c r="IZ1" i="3"/>
  <c r="IY2" i="3"/>
  <c r="IZ34" i="3" l="1"/>
  <c r="IZ35" i="3" s="1"/>
  <c r="IZ62" i="3" s="1"/>
  <c r="IZ61" i="3"/>
  <c r="JA1" i="3"/>
  <c r="IZ2" i="3"/>
  <c r="JA34" i="3" l="1"/>
  <c r="JA35" i="3" s="1"/>
  <c r="JA62" i="3" s="1"/>
  <c r="JA61" i="3"/>
  <c r="JB1" i="3"/>
  <c r="JA2" i="3"/>
  <c r="JB34" i="3" l="1"/>
  <c r="JB35" i="3" s="1"/>
  <c r="JB62" i="3" s="1"/>
  <c r="JB61" i="3"/>
  <c r="JC1" i="3"/>
  <c r="JB2" i="3"/>
  <c r="JC34" i="3" l="1"/>
  <c r="JC35" i="3" s="1"/>
  <c r="JC62" i="3" s="1"/>
  <c r="JC61" i="3"/>
  <c r="JD1" i="3"/>
  <c r="JC2" i="3"/>
  <c r="JD34" i="3" l="1"/>
  <c r="JD35" i="3" s="1"/>
  <c r="JD62" i="3" s="1"/>
  <c r="JD61" i="3"/>
  <c r="JE1" i="3"/>
  <c r="JD2" i="3"/>
  <c r="JE34" i="3" l="1"/>
  <c r="JE35" i="3" s="1"/>
  <c r="JE62" i="3" s="1"/>
  <c r="JE61" i="3"/>
  <c r="JF1" i="3"/>
  <c r="JE2" i="3"/>
  <c r="JF34" i="3" l="1"/>
  <c r="JF35" i="3" s="1"/>
  <c r="JF62" i="3" s="1"/>
  <c r="JF61" i="3"/>
  <c r="JG1" i="3"/>
  <c r="JF2" i="3"/>
  <c r="JG34" i="3" l="1"/>
  <c r="JG35" i="3" s="1"/>
  <c r="JG62" i="3" s="1"/>
  <c r="JG61" i="3"/>
  <c r="JH1" i="3"/>
  <c r="JG2" i="3"/>
  <c r="JH34" i="3" l="1"/>
  <c r="JH35" i="3" s="1"/>
  <c r="JH62" i="3" s="1"/>
  <c r="JH61" i="3"/>
  <c r="JI1" i="3"/>
  <c r="JH2" i="3"/>
  <c r="JI34" i="3" l="1"/>
  <c r="JI35" i="3" s="1"/>
  <c r="JI62" i="3" s="1"/>
  <c r="JI61" i="3"/>
  <c r="JJ1" i="3"/>
  <c r="JI2" i="3"/>
  <c r="JJ34" i="3" l="1"/>
  <c r="JJ35" i="3" s="1"/>
  <c r="JJ62" i="3" s="1"/>
  <c r="JJ61" i="3"/>
  <c r="JK1" i="3"/>
  <c r="JJ2" i="3"/>
  <c r="JK34" i="3" l="1"/>
  <c r="JK35" i="3" s="1"/>
  <c r="JK62" i="3" s="1"/>
  <c r="JK61" i="3"/>
  <c r="JL1" i="3"/>
  <c r="JK2" i="3"/>
  <c r="JL34" i="3" l="1"/>
  <c r="JL35" i="3" s="1"/>
  <c r="JL62" i="3" s="1"/>
  <c r="JL61" i="3"/>
  <c r="JM1" i="3"/>
  <c r="JL2" i="3"/>
  <c r="JM34" i="3" l="1"/>
  <c r="JM35" i="3" s="1"/>
  <c r="JM62" i="3" s="1"/>
  <c r="JM61" i="3"/>
  <c r="JN1" i="3"/>
  <c r="JM2" i="3"/>
  <c r="JN34" i="3" l="1"/>
  <c r="JN35" i="3" s="1"/>
  <c r="JN62" i="3" s="1"/>
  <c r="JN61" i="3"/>
  <c r="JO1" i="3"/>
  <c r="JN2" i="3"/>
  <c r="JO34" i="3" l="1"/>
  <c r="JO35" i="3" s="1"/>
  <c r="JO62" i="3" s="1"/>
  <c r="JO61" i="3"/>
  <c r="JP1" i="3"/>
  <c r="JO2" i="3"/>
  <c r="JP34" i="3" l="1"/>
  <c r="JP35" i="3" s="1"/>
  <c r="JP62" i="3" s="1"/>
  <c r="JP61" i="3"/>
  <c r="JQ1" i="3"/>
  <c r="JP2" i="3"/>
  <c r="JQ34" i="3" l="1"/>
  <c r="JQ35" i="3" s="1"/>
  <c r="JQ62" i="3" s="1"/>
  <c r="JQ61" i="3"/>
  <c r="JR1" i="3"/>
  <c r="JQ2" i="3"/>
  <c r="JR34" i="3" l="1"/>
  <c r="JR35" i="3" s="1"/>
  <c r="JR62" i="3" s="1"/>
  <c r="JR61" i="3"/>
  <c r="JS1" i="3"/>
  <c r="JR2" i="3"/>
  <c r="JS34" i="3" l="1"/>
  <c r="JS35" i="3" s="1"/>
  <c r="JS62" i="3" s="1"/>
  <c r="JS61" i="3"/>
  <c r="JT1" i="3"/>
  <c r="JS2" i="3"/>
  <c r="JT34" i="3" l="1"/>
  <c r="JT35" i="3" s="1"/>
  <c r="JT62" i="3" s="1"/>
  <c r="JT61" i="3"/>
  <c r="JU1" i="3"/>
  <c r="JT2" i="3"/>
  <c r="JU34" i="3" l="1"/>
  <c r="JU35" i="3" s="1"/>
  <c r="JU62" i="3" s="1"/>
  <c r="JU61" i="3"/>
  <c r="JV1" i="3"/>
  <c r="JU2" i="3"/>
  <c r="JV34" i="3" l="1"/>
  <c r="JV35" i="3" s="1"/>
  <c r="JV62" i="3" s="1"/>
  <c r="JV61" i="3"/>
  <c r="JW1" i="3"/>
  <c r="JV2" i="3"/>
  <c r="JW34" i="3" l="1"/>
  <c r="JW35" i="3" s="1"/>
  <c r="JW62" i="3" s="1"/>
  <c r="JW61" i="3"/>
  <c r="JX1" i="3"/>
  <c r="JW2" i="3"/>
  <c r="JX34" i="3" l="1"/>
  <c r="JX35" i="3" s="1"/>
  <c r="JX62" i="3" s="1"/>
  <c r="JX61" i="3"/>
  <c r="JY1" i="3"/>
  <c r="JX2" i="3"/>
  <c r="JY34" i="3" l="1"/>
  <c r="JY35" i="3" s="1"/>
  <c r="JY62" i="3" s="1"/>
  <c r="JY61" i="3"/>
  <c r="JZ1" i="3"/>
  <c r="JY2" i="3"/>
  <c r="JZ34" i="3" l="1"/>
  <c r="JZ35" i="3" s="1"/>
  <c r="JZ62" i="3" s="1"/>
  <c r="JZ61" i="3"/>
  <c r="KA1" i="3"/>
  <c r="JZ2" i="3"/>
  <c r="KA34" i="3" l="1"/>
  <c r="KA35" i="3" s="1"/>
  <c r="KA62" i="3" s="1"/>
  <c r="KA61" i="3"/>
  <c r="KB1" i="3"/>
  <c r="KA2" i="3"/>
  <c r="KB34" i="3" l="1"/>
  <c r="KB35" i="3" s="1"/>
  <c r="KB62" i="3" s="1"/>
  <c r="KB61" i="3"/>
  <c r="KC1" i="3"/>
  <c r="KB2" i="3"/>
  <c r="KC34" i="3" l="1"/>
  <c r="KC35" i="3" s="1"/>
  <c r="KC62" i="3" s="1"/>
  <c r="KC61" i="3"/>
  <c r="KD1" i="3"/>
  <c r="KC2" i="3"/>
  <c r="KD34" i="3" l="1"/>
  <c r="KD35" i="3" s="1"/>
  <c r="KD62" i="3" s="1"/>
  <c r="KD61" i="3"/>
  <c r="KE1" i="3"/>
  <c r="KD2" i="3"/>
  <c r="KE34" i="3" l="1"/>
  <c r="KE35" i="3" s="1"/>
  <c r="KE62" i="3" s="1"/>
  <c r="KE61" i="3"/>
  <c r="KF1" i="3"/>
  <c r="KE2" i="3"/>
  <c r="KF34" i="3" l="1"/>
  <c r="KF35" i="3" s="1"/>
  <c r="KF62" i="3" s="1"/>
  <c r="KF61" i="3"/>
  <c r="KG1" i="3"/>
  <c r="KF2" i="3"/>
  <c r="KG34" i="3" l="1"/>
  <c r="KG35" i="3" s="1"/>
  <c r="KG62" i="3" s="1"/>
  <c r="KG61" i="3"/>
  <c r="KH1" i="3"/>
  <c r="KG2" i="3"/>
  <c r="KH34" i="3" l="1"/>
  <c r="KH35" i="3" s="1"/>
  <c r="KH62" i="3" s="1"/>
  <c r="KH61" i="3"/>
  <c r="KI1" i="3"/>
  <c r="KH2" i="3"/>
  <c r="KI34" i="3" l="1"/>
  <c r="KI35" i="3" s="1"/>
  <c r="KI62" i="3" s="1"/>
  <c r="KI61" i="3"/>
  <c r="KJ1" i="3"/>
  <c r="KI2" i="3"/>
  <c r="KJ34" i="3" l="1"/>
  <c r="KJ35" i="3" s="1"/>
  <c r="KJ62" i="3" s="1"/>
  <c r="KJ61" i="3"/>
  <c r="KK1" i="3"/>
  <c r="KJ2" i="3"/>
  <c r="KK34" i="3" l="1"/>
  <c r="KK35" i="3" s="1"/>
  <c r="KK62" i="3" s="1"/>
  <c r="KK61" i="3"/>
  <c r="KL1" i="3"/>
  <c r="KK2" i="3"/>
  <c r="KL34" i="3" l="1"/>
  <c r="KL35" i="3" s="1"/>
  <c r="KL62" i="3" s="1"/>
  <c r="KL61" i="3"/>
  <c r="KM1" i="3"/>
  <c r="KL2" i="3"/>
  <c r="KM34" i="3" l="1"/>
  <c r="KM35" i="3" s="1"/>
  <c r="KM62" i="3" s="1"/>
  <c r="KM61" i="3"/>
  <c r="KN1" i="3"/>
  <c r="KM2" i="3"/>
  <c r="KN34" i="3" l="1"/>
  <c r="KN35" i="3" s="1"/>
  <c r="KN62" i="3" s="1"/>
  <c r="KN61" i="3"/>
  <c r="KO1" i="3"/>
  <c r="KN2" i="3"/>
  <c r="KO34" i="3" l="1"/>
  <c r="KO35" i="3" s="1"/>
  <c r="KO62" i="3" s="1"/>
  <c r="KO61" i="3"/>
  <c r="KP1" i="3"/>
  <c r="KO2" i="3"/>
  <c r="KP34" i="3" l="1"/>
  <c r="KP35" i="3" s="1"/>
  <c r="KP62" i="3" s="1"/>
  <c r="KP61" i="3"/>
  <c r="KQ1" i="3"/>
  <c r="KP2" i="3"/>
  <c r="KQ34" i="3" l="1"/>
  <c r="KQ35" i="3" s="1"/>
  <c r="KQ62" i="3" s="1"/>
  <c r="KQ61" i="3"/>
  <c r="KR1" i="3"/>
  <c r="KQ2" i="3"/>
  <c r="KR34" i="3" l="1"/>
  <c r="KR35" i="3" s="1"/>
  <c r="KR62" i="3" s="1"/>
  <c r="KR61" i="3"/>
  <c r="KS1" i="3"/>
  <c r="KR2" i="3"/>
  <c r="KS34" i="3" l="1"/>
  <c r="KS35" i="3" s="1"/>
  <c r="KS62" i="3" s="1"/>
  <c r="KS61" i="3"/>
  <c r="KT1" i="3"/>
  <c r="KS2" i="3"/>
  <c r="KT34" i="3" l="1"/>
  <c r="KT35" i="3" s="1"/>
  <c r="KT62" i="3" s="1"/>
  <c r="KT61" i="3"/>
  <c r="KU1" i="3"/>
  <c r="KT2" i="3"/>
  <c r="KU34" i="3" l="1"/>
  <c r="KU35" i="3" s="1"/>
  <c r="KU62" i="3" s="1"/>
  <c r="KU61" i="3"/>
  <c r="KV1" i="3"/>
  <c r="KU2" i="3"/>
  <c r="KV34" i="3" l="1"/>
  <c r="KV35" i="3" s="1"/>
  <c r="KV62" i="3" s="1"/>
  <c r="KV61" i="3"/>
  <c r="KW1" i="3"/>
  <c r="KV2" i="3"/>
  <c r="KW34" i="3" l="1"/>
  <c r="KW35" i="3" s="1"/>
  <c r="KW62" i="3" s="1"/>
  <c r="KW61" i="3"/>
  <c r="KX1" i="3"/>
  <c r="KW2" i="3"/>
  <c r="KX34" i="3" l="1"/>
  <c r="KX35" i="3" s="1"/>
  <c r="KX62" i="3" s="1"/>
  <c r="KX61" i="3"/>
  <c r="KY1" i="3"/>
  <c r="KX2" i="3"/>
  <c r="KY34" i="3" l="1"/>
  <c r="KY35" i="3" s="1"/>
  <c r="KY62" i="3" s="1"/>
  <c r="KY61" i="3"/>
  <c r="KZ1" i="3"/>
  <c r="KY2" i="3"/>
  <c r="KZ34" i="3" l="1"/>
  <c r="KZ35" i="3" s="1"/>
  <c r="KZ62" i="3" s="1"/>
  <c r="KZ61" i="3"/>
  <c r="LA1" i="3"/>
  <c r="KZ2" i="3"/>
  <c r="LA34" i="3" l="1"/>
  <c r="LA35" i="3" s="1"/>
  <c r="LA62" i="3" s="1"/>
  <c r="LA61" i="3"/>
  <c r="LB1" i="3"/>
  <c r="LA2" i="3"/>
  <c r="LB34" i="3" l="1"/>
  <c r="LB35" i="3" s="1"/>
  <c r="LB62" i="3" s="1"/>
  <c r="LB61" i="3"/>
  <c r="LC1" i="3"/>
  <c r="LB2" i="3"/>
  <c r="LC34" i="3" l="1"/>
  <c r="LC35" i="3" s="1"/>
  <c r="LC62" i="3" s="1"/>
  <c r="LC61" i="3"/>
  <c r="LD1" i="3"/>
  <c r="LC2" i="3"/>
  <c r="LD34" i="3" l="1"/>
  <c r="LD35" i="3" s="1"/>
  <c r="LD62" i="3" s="1"/>
  <c r="LD61" i="3"/>
  <c r="LE1" i="3"/>
  <c r="LD2" i="3"/>
  <c r="LE34" i="3" l="1"/>
  <c r="LE35" i="3" s="1"/>
  <c r="LE62" i="3" s="1"/>
  <c r="LE61" i="3"/>
  <c r="LF1" i="3"/>
  <c r="LE2" i="3"/>
  <c r="LF34" i="3" l="1"/>
  <c r="LF35" i="3" s="1"/>
  <c r="LF62" i="3" s="1"/>
  <c r="LF61" i="3"/>
  <c r="LG1" i="3"/>
  <c r="LF2" i="3"/>
  <c r="LG34" i="3" l="1"/>
  <c r="LG35" i="3" s="1"/>
  <c r="LG62" i="3" s="1"/>
  <c r="LG61" i="3"/>
  <c r="LH1" i="3"/>
  <c r="LG2" i="3"/>
  <c r="LH34" i="3" l="1"/>
  <c r="LH35" i="3" s="1"/>
  <c r="LH62" i="3" s="1"/>
  <c r="LH61" i="3"/>
  <c r="LI1" i="3"/>
  <c r="LH2" i="3"/>
  <c r="LI34" i="3" l="1"/>
  <c r="LI35" i="3" s="1"/>
  <c r="LI62" i="3" s="1"/>
  <c r="LI61" i="3"/>
  <c r="LJ1" i="3"/>
  <c r="LI2" i="3"/>
  <c r="LJ34" i="3" l="1"/>
  <c r="LJ35" i="3" s="1"/>
  <c r="LJ62" i="3" s="1"/>
  <c r="LJ61" i="3"/>
  <c r="LK1" i="3"/>
  <c r="LJ2" i="3"/>
  <c r="LK34" i="3" l="1"/>
  <c r="LK35" i="3" s="1"/>
  <c r="LK62" i="3" s="1"/>
  <c r="LK61" i="3"/>
  <c r="LL1" i="3"/>
  <c r="LK2" i="3"/>
  <c r="LL34" i="3" l="1"/>
  <c r="LL35" i="3" s="1"/>
  <c r="LL62" i="3" s="1"/>
  <c r="LL61" i="3"/>
  <c r="LM1" i="3"/>
  <c r="LL2" i="3"/>
  <c r="LM34" i="3" l="1"/>
  <c r="LM35" i="3" s="1"/>
  <c r="LM62" i="3" s="1"/>
  <c r="LM61" i="3"/>
  <c r="LN1" i="3"/>
  <c r="LM2" i="3"/>
  <c r="LN34" i="3" l="1"/>
  <c r="LN35" i="3" s="1"/>
  <c r="LN62" i="3" s="1"/>
  <c r="LN61" i="3"/>
  <c r="LO1" i="3"/>
  <c r="LN2" i="3"/>
  <c r="LO34" i="3" l="1"/>
  <c r="LO35" i="3" s="1"/>
  <c r="LO62" i="3" s="1"/>
  <c r="LO61" i="3"/>
  <c r="LP1" i="3"/>
  <c r="LO2" i="3"/>
  <c r="LP34" i="3" l="1"/>
  <c r="LP35" i="3" s="1"/>
  <c r="LP62" i="3" s="1"/>
  <c r="LP61" i="3"/>
  <c r="LQ1" i="3"/>
  <c r="LP2" i="3"/>
  <c r="LQ34" i="3" l="1"/>
  <c r="LQ35" i="3" s="1"/>
  <c r="LQ62" i="3" s="1"/>
  <c r="LQ61" i="3"/>
  <c r="LR1" i="3"/>
  <c r="LQ2" i="3"/>
  <c r="LR34" i="3" l="1"/>
  <c r="LR35" i="3" s="1"/>
  <c r="LR62" i="3" s="1"/>
  <c r="LR61" i="3"/>
  <c r="LS1" i="3"/>
  <c r="LR2" i="3"/>
  <c r="LS34" i="3" l="1"/>
  <c r="LS35" i="3" s="1"/>
  <c r="LS62" i="3" s="1"/>
  <c r="LS61" i="3"/>
  <c r="LT1" i="3"/>
  <c r="LS2" i="3"/>
  <c r="LT34" i="3" l="1"/>
  <c r="LT35" i="3" s="1"/>
  <c r="LT62" i="3" s="1"/>
  <c r="LT61" i="3"/>
  <c r="LU1" i="3"/>
  <c r="LT2" i="3"/>
  <c r="LU34" i="3" l="1"/>
  <c r="LU35" i="3" s="1"/>
  <c r="LU62" i="3" s="1"/>
  <c r="LU61" i="3"/>
  <c r="LV1" i="3"/>
  <c r="LU2" i="3"/>
  <c r="LV34" i="3" l="1"/>
  <c r="LV35" i="3" s="1"/>
  <c r="LV62" i="3" s="1"/>
  <c r="LV61" i="3"/>
  <c r="LW1" i="3"/>
  <c r="LV2" i="3"/>
  <c r="LW34" i="3" l="1"/>
  <c r="LW35" i="3" s="1"/>
  <c r="LW62" i="3" s="1"/>
  <c r="LW61" i="3"/>
  <c r="LW2" i="3"/>
</calcChain>
</file>

<file path=xl/sharedStrings.xml><?xml version="1.0" encoding="utf-8"?>
<sst xmlns="http://schemas.openxmlformats.org/spreadsheetml/2006/main" count="895" uniqueCount="389">
  <si>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</si>
  <si>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</si>
  <si>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</si>
  <si>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</si>
  <si>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</si>
  <si>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</si>
  <si>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</si>
  <si>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</si>
  <si>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</si>
  <si>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</si>
  <si>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</si>
  <si>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</si>
  <si>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</si>
  <si>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</si>
  <si>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</si>
  <si>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</si>
  <si>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</si>
  <si>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</si>
  <si>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</si>
  <si>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</si>
  <si>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</si>
  <si>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</si>
  <si>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</si>
  <si>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</si>
  <si>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</si>
  <si>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</si>
  <si>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</si>
  <si>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</si>
  <si>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</si>
  <si>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</si>
  <si>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</si>
  <si>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</si>
  <si>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</si>
  <si>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</si>
  <si>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</si>
  <si>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</si>
  <si>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</si>
  <si>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</si>
  <si>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</si>
  <si>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</si>
  <si>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</si>
  <si>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</si>
  <si>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</si>
  <si>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</si>
  <si>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</si>
  <si>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</si>
  <si>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</si>
  <si>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</si>
  <si>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W</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</si>
  <si>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</si>
  <si>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</si>
  <si>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</si>
  <si>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</si>
  <si>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</si>
  <si>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</si>
  <si>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</si>
  <si>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</si>
  <si>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</si>
  <si>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</si>
  <si>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</si>
  <si>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</si>
  <si>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</si>
  <si>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</si>
  <si>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</si>
  <si>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</si>
  <si>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</si>
  <si>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</si>
  <si>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</si>
  <si>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</si>
  <si>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</si>
  <si>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</si>
  <si>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</si>
  <si>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</si>
  <si>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</si>
  <si>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</si>
  <si>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</si>
  <si>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</si>
  <si>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</si>
  <si>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</si>
  <si>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</si>
  <si>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</si>
  <si>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</si>
  <si>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</si>
  <si>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</si>
  <si>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</si>
  <si>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</si>
  <si>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</si>
  <si>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</si>
  <si>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</si>
  <si>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</si>
  <si>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</si>
  <si>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</si>
  <si>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</si>
  <si>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</si>
  <si>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</si>
  <si>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</si>
  <si>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</si>
  <si>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</si>
  <si>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</si>
  <si>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</si>
  <si>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</si>
  <si>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</si>
  <si>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</si>
  <si>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</si>
  <si>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</si>
  <si>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</si>
  <si>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</si>
  <si>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</si>
  <si>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</si>
  <si>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</si>
  <si>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</si>
  <si>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</si>
  <si>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</si>
  <si>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</si>
  <si>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</si>
  <si>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</si>
  <si>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</si>
  <si>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</si>
  <si>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</si>
  <si>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</si>
  <si>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</si>
  <si>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Graz</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</si>
  <si>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</si>
  <si>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</si>
  <si>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</si>
  <si>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</si>
  <si>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</si>
  <si>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</si>
  <si>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</si>
  <si>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</si>
  <si>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</si>
  <si>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</si>
  <si>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</si>
  <si>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</si>
  <si>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</si>
  <si>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</si>
  <si>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</si>
  <si>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</si>
  <si>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</si>
  <si>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</si>
  <si>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</si>
  <si>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</si>
  <si>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</si>
  <si>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</si>
  <si>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</si>
  <si>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</si>
  <si>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</si>
  <si>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</si>
  <si>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</si>
  <si>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</si>
  <si>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</si>
  <si>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</si>
  <si>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</si>
  <si>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</si>
  <si>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</si>
  <si>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</si>
  <si>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</si>
  <si>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</si>
  <si>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</si>
  <si>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</si>
  <si>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</si>
  <si>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</si>
  <si>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</si>
  <si>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</si>
  <si>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</si>
  <si>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</si>
  <si>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</si>
  <si>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</si>
  <si>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</si>
  <si>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</si>
  <si>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</si>
  <si>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</si>
  <si>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</si>
  <si>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</si>
  <si>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</si>
  <si>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</si>
  <si>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</si>
  <si>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</si>
  <si>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</si>
  <si>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</si>
  <si>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</si>
  <si>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</si>
  <si>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</si>
  <si>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</si>
  <si>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</si>
  <si>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</si>
  <si>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</si>
  <si>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</si>
  <si>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</si>
  <si>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</si>
  <si>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</si>
  <si>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</si>
  <si>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</si>
  <si>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</si>
  <si>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</si>
  <si>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</si>
  <si>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</si>
  <si>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</si>
  <si>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</si>
  <si>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</si>
  <si>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</si>
  <si>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</si>
  <si>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</si>
  <si>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</si>
  <si>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</si>
  <si>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</si>
  <si>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</si>
  <si>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</si>
  <si>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</si>
  <si>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</si>
  <si>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</si>
  <si>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</si>
  <si>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</si>
  <si>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</si>
  <si>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</si>
  <si>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</si>
  <si>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</si>
  <si>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</si>
  <si>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</si>
  <si>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</si>
  <si>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</si>
  <si>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</si>
  <si>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</si>
  <si>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</si>
  <si>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</si>
  <si>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</si>
  <si>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</si>
  <si>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</si>
  <si>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</si>
  <si>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</si>
  <si>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</si>
  <si>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</si>
  <si>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</si>
  <si>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</si>
  <si>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</si>
  <si>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</si>
  <si>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</si>
  <si>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</si>
  <si>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</si>
  <si>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</si>
  <si>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</si>
  <si>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</si>
  <si>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</si>
  <si>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</si>
  <si>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AG</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</si>
  <si>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</si>
  <si>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</si>
  <si>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</si>
  <si>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</si>
  <si>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</si>
  <si>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</si>
  <si>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</si>
  <si>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</si>
  <si>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</si>
  <si>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</si>
  <si>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</si>
  <si>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</si>
  <si>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</si>
  <si>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</si>
  <si>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</si>
  <si>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</si>
  <si>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</si>
  <si>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</si>
  <si>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</si>
  <si>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</si>
  <si>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</si>
  <si>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</si>
  <si>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</si>
  <si>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</si>
  <si>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</si>
  <si>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</si>
  <si>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</si>
  <si>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</si>
  <si>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</si>
  <si>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</si>
  <si>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</si>
  <si>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</si>
  <si>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</si>
  <si>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</si>
  <si>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</si>
  <si>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</si>
  <si>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</si>
  <si>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</si>
  <si>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</si>
  <si>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</si>
  <si>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</si>
  <si>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</si>
  <si>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</si>
  <si>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</si>
  <si>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</si>
  <si>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</si>
  <si>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</si>
  <si>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</si>
  <si>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</si>
  <si>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</si>
  <si>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</si>
  <si>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</si>
  <si>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</si>
  <si>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</si>
  <si>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</si>
  <si>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</si>
  <si>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</si>
  <si>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</si>
  <si>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</si>
  <si>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</si>
  <si>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</si>
  <si>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</si>
  <si>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Schulter + Hüfte zurück beim Ausholen.
Nicht überdrehen beim Schlag -&gt; Gerade drehen, dann klappen.</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</si>
  <si>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</si>
  <si>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</si>
  <si>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</si>
  <si>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</si>
  <si>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</si>
  <si>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</si>
  <si>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</si>
  <si>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</si>
  <si>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Weniger Schrittstellung, schulterbreit stehen.
Ohne Ellbogen aufspielen.
Hoch bleiben beim Schupfer.</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</si>
  <si>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</si>
  <si>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</si>
  <si>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</si>
  <si>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</si>
  <si>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</si>
  <si>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</si>
  <si>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</si>
  <si>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</si>
  <si>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</si>
  <si>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</si>
  <si>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</si>
  <si>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</si>
  <si>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</si>
  <si>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</si>
  <si>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</si>
  <si>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</si>
  <si>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</si>
  <si>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</si>
  <si>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</si>
  <si>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</si>
  <si>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</si>
  <si>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</si>
  <si>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</si>
  <si>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</si>
  <si>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</si>
  <si>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</si>
  <si>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</si>
  <si>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</si>
  <si>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</si>
  <si>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</si>
  <si>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</si>
  <si>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</si>
  <si>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</si>
  <si>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</si>
  <si>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</si>
  <si>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</si>
  <si>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</si>
  <si>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Schmerztherapie</t>
  </si>
  <si>
    <t>Urlaub</t>
  </si>
  <si>
    <t>Gloria</t>
  </si>
  <si>
    <t>Terrassenbad (5+1+2)</t>
  </si>
  <si>
    <t>Eisessen</t>
  </si>
  <si>
    <t>Saisonabschlusstreffen</t>
  </si>
  <si>
    <t>Terrassenbad (14)</t>
  </si>
  <si>
    <t>Kondition im Sand</t>
  </si>
  <si>
    <t>Jonglieren
Kondition im Sand</t>
  </si>
  <si>
    <t>Knie am Boden??? -&gt; Abrollen!
Cool bleiben.</t>
  </si>
  <si>
    <t>Ohne Ellbogen aufspielen -&gt; immer hoch bleiben, auch beim 6er.</t>
  </si>
  <si>
    <t>Ball an der Schnur</t>
  </si>
  <si>
    <t>Draufhauen!
Mutig bleiben - Einsatz zeigen.</t>
  </si>
  <si>
    <t>Langer Anlauf =&gt; Tempo.
Hintern runter schon beim 1. Schritt - der Sand ist kein Sprungbrett.
Hinter dem Ball bleiben!</t>
  </si>
  <si>
    <t>Hinter dem Ball bleiben -&gt; den Ball **hoch** und **vor** dem Körper schlagen.
Neutrale Körperposition -&gt; Richtung aus dem Handgelenk -&gt; 11 Uhr/1 Uhr</t>
  </si>
  <si>
    <t>Knie, Urlaub</t>
  </si>
  <si>
    <t>München</t>
  </si>
  <si>
    <t>K1</t>
  </si>
  <si>
    <t>:K1</t>
  </si>
  <si>
    <t>:K2</t>
  </si>
  <si>
    <t>K2</t>
  </si>
  <si>
    <t>-2</t>
  </si>
  <si>
    <t>-1</t>
  </si>
  <si>
    <t>0</t>
  </si>
  <si>
    <t>-2?</t>
  </si>
  <si>
    <t>-4</t>
  </si>
  <si>
    <t>?</t>
  </si>
  <si>
    <t>-6</t>
  </si>
  <si>
    <t>-8</t>
  </si>
  <si>
    <t>H</t>
  </si>
  <si>
    <t>Terrassenbad (3)</t>
  </si>
  <si>
    <t>Jonglieren
Spielen mit Dominik</t>
  </si>
  <si>
    <t>Terrassenbad (4)</t>
  </si>
  <si>
    <t>Start Laufschule, kombiniert mit Einbeiner
Winners Score
Flucht</t>
  </si>
  <si>
    <t>Terrassenbad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</si>
</sst>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6">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3" fillId="2" borderId="1" applyNumberFormat="0" applyAlignment="0" applyProtection="0"/>
  </cellStyleXfs>
  <cellXfs count="112">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0" fillId="0" borderId="12" xfId="0"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14" fontId="0" fillId="5" borderId="10"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3" xfId="0" applyFill="1" applyBorder="1"/>
    <xf numFmtId="0" fontId="0" fillId="5" borderId="14"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14" fontId="0" fillId="4" borderId="10" xfId="0" applyNumberFormat="1" applyFill="1" applyBorder="1"/>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9" xfId="0" applyFont="1" applyFill="1" applyBorder="1" applyAlignment="1">
      <alignment horizontal="right" vertical="center"/>
    </xf>
    <xf numFmtId="0" fontId="1" fillId="4" borderId="0" xfId="0" applyFont="1" applyFill="1" applyBorder="1" applyAlignment="1">
      <alignment horizontal="righ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4" fillId="4" borderId="0" xfId="0" applyFont="1" applyFill="1" applyAlignment="1">
      <alignment horizontal="lef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xf numFmtId="0" fontId="10" fillId="5" borderId="4" xfId="1" applyFont="1" applyFill="1" applyBorder="1"/>
    <xf numFmtId="1" fontId="0" fillId="5" borderId="10" xfId="0" applyNumberFormat="1" applyFill="1" applyBorder="1"/>
    <xf numFmtId="1" fontId="0" fillId="5" borderId="3" xfId="0" applyNumberFormat="1" applyFill="1" applyBorder="1"/>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1" fontId="0" fillId="4" borderId="5" xfId="0" applyNumberFormat="1" applyFill="1" applyBorder="1"/>
    <xf numFmtId="0" fontId="5" fillId="4" borderId="10" xfId="0" applyFont="1" applyFill="1" applyBorder="1" applyAlignment="1">
      <alignment horizontal="right" vertical="center"/>
    </xf>
    <xf numFmtId="1" fontId="0" fillId="5" borderId="5" xfId="0" applyNumberFormat="1" applyFill="1" applyBorder="1"/>
    <xf numFmtId="0" fontId="10" fillId="5" borderId="14" xfId="1" applyFont="1" applyFill="1" applyBorder="1"/>
    <xf numFmtId="1" fontId="0" fillId="5" borderId="8" xfId="0" applyNumberFormat="1" applyFill="1" applyBorder="1"/>
    <xf numFmtId="0" fontId="0" fillId="5" borderId="15" xfId="0" applyFill="1" applyBorder="1"/>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84</xdr:row>
          <xdr:rowOff>28575</xdr:rowOff>
        </xdr:from>
        <xdr:to>
          <xdr:col>0</xdr:col>
          <xdr:colOff>676275</xdr:colOff>
          <xdr:row>86</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LW103"/>
  <sheetViews>
    <sheetView zoomScaleNormal="100" workbookViewId="0">
      <pane xSplit="17" ySplit="3" topLeftCell="R51" activePane="bottomRight" state="frozen"/>
      <selection pane="topRight" activeCell="F1" sqref="F1"/>
      <selection pane="bottomLeft" activeCell="A3" sqref="A3"/>
      <selection pane="bottomRight" activeCell="V84" sqref="V84"/>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7" width="4.28515625" customWidth="1"/>
    <col min="18" max="335" width="3.140625" customWidth="1"/>
  </cols>
  <sheetData>
    <row r="1" spans="1:335" ht="67.5" hidden="1" customHeight="1" x14ac:dyDescent="0.25">
      <c r="R1" s="50">
        <v>43975</v>
      </c>
      <c r="S1" s="48">
        <f t="shared" ref="S1:CC1" si="0">R1 + 1</f>
        <v>43976</v>
      </c>
      <c r="T1" s="48">
        <f t="shared" si="0"/>
        <v>43977</v>
      </c>
      <c r="U1" s="48">
        <f t="shared" si="0"/>
        <v>43978</v>
      </c>
      <c r="V1" s="48">
        <f t="shared" si="0"/>
        <v>43979</v>
      </c>
      <c r="W1" s="48">
        <f t="shared" si="0"/>
        <v>43980</v>
      </c>
      <c r="X1" s="48">
        <f t="shared" si="0"/>
        <v>43981</v>
      </c>
      <c r="Y1" s="50">
        <f t="shared" si="0"/>
        <v>43982</v>
      </c>
      <c r="Z1" s="48">
        <f t="shared" si="0"/>
        <v>43983</v>
      </c>
      <c r="AA1" s="48">
        <f t="shared" si="0"/>
        <v>43984</v>
      </c>
      <c r="AB1" s="48">
        <f t="shared" si="0"/>
        <v>43985</v>
      </c>
      <c r="AC1" s="48">
        <f t="shared" si="0"/>
        <v>43986</v>
      </c>
      <c r="AD1" s="48">
        <f t="shared" si="0"/>
        <v>43987</v>
      </c>
      <c r="AE1" s="48">
        <f t="shared" si="0"/>
        <v>43988</v>
      </c>
      <c r="AF1" s="50">
        <f t="shared" si="0"/>
        <v>43989</v>
      </c>
      <c r="AG1" s="48">
        <f t="shared" si="0"/>
        <v>43990</v>
      </c>
      <c r="AH1" s="48">
        <f t="shared" si="0"/>
        <v>43991</v>
      </c>
      <c r="AI1" s="48">
        <f t="shared" si="0"/>
        <v>43992</v>
      </c>
      <c r="AJ1" s="48">
        <f t="shared" si="0"/>
        <v>43993</v>
      </c>
      <c r="AK1" s="48">
        <f t="shared" si="0"/>
        <v>43994</v>
      </c>
      <c r="AL1" s="48">
        <f t="shared" si="0"/>
        <v>43995</v>
      </c>
      <c r="AM1" s="50">
        <f t="shared" si="0"/>
        <v>43996</v>
      </c>
      <c r="AN1" s="48">
        <f t="shared" si="0"/>
        <v>43997</v>
      </c>
      <c r="AO1" s="48">
        <f t="shared" si="0"/>
        <v>43998</v>
      </c>
      <c r="AP1" s="48">
        <f t="shared" si="0"/>
        <v>43999</v>
      </c>
      <c r="AQ1" s="48">
        <f t="shared" si="0"/>
        <v>44000</v>
      </c>
      <c r="AR1" s="48">
        <f t="shared" si="0"/>
        <v>44001</v>
      </c>
      <c r="AS1" s="48">
        <f t="shared" si="0"/>
        <v>44002</v>
      </c>
      <c r="AT1" s="50">
        <f t="shared" si="0"/>
        <v>44003</v>
      </c>
      <c r="AU1" s="48">
        <f t="shared" si="0"/>
        <v>44004</v>
      </c>
      <c r="AV1" s="48">
        <f t="shared" si="0"/>
        <v>44005</v>
      </c>
      <c r="AW1" s="48">
        <f t="shared" si="0"/>
        <v>44006</v>
      </c>
      <c r="AX1" s="48">
        <f t="shared" si="0"/>
        <v>44007</v>
      </c>
      <c r="AY1" s="48">
        <f t="shared" si="0"/>
        <v>44008</v>
      </c>
      <c r="AZ1" s="48">
        <f t="shared" si="0"/>
        <v>44009</v>
      </c>
      <c r="BA1" s="50">
        <f t="shared" si="0"/>
        <v>44010</v>
      </c>
      <c r="BB1" s="48">
        <f t="shared" si="0"/>
        <v>44011</v>
      </c>
      <c r="BC1" s="48">
        <f t="shared" si="0"/>
        <v>44012</v>
      </c>
      <c r="BD1" s="48">
        <f t="shared" si="0"/>
        <v>44013</v>
      </c>
      <c r="BE1" s="48">
        <f t="shared" si="0"/>
        <v>44014</v>
      </c>
      <c r="BF1" s="48">
        <f t="shared" si="0"/>
        <v>44015</v>
      </c>
      <c r="BG1" s="48">
        <f t="shared" si="0"/>
        <v>44016</v>
      </c>
      <c r="BH1" s="50">
        <f t="shared" si="0"/>
        <v>44017</v>
      </c>
      <c r="BI1" s="48">
        <f t="shared" si="0"/>
        <v>44018</v>
      </c>
      <c r="BJ1" s="48">
        <f t="shared" si="0"/>
        <v>44019</v>
      </c>
      <c r="BK1" s="48">
        <f t="shared" si="0"/>
        <v>44020</v>
      </c>
      <c r="BL1" s="48">
        <f t="shared" si="0"/>
        <v>44021</v>
      </c>
      <c r="BM1" s="48">
        <f t="shared" si="0"/>
        <v>44022</v>
      </c>
      <c r="BN1" s="48">
        <f t="shared" si="0"/>
        <v>44023</v>
      </c>
      <c r="BO1" s="50">
        <f>BN1 + 1</f>
        <v>44024</v>
      </c>
      <c r="BP1" s="48">
        <f>BO1 + 1</f>
        <v>44025</v>
      </c>
      <c r="BQ1" s="48">
        <f t="shared" si="0"/>
        <v>44026</v>
      </c>
      <c r="BR1" s="48">
        <f t="shared" si="0"/>
        <v>44027</v>
      </c>
      <c r="BS1" s="48">
        <f t="shared" si="0"/>
        <v>44028</v>
      </c>
      <c r="BT1" s="48">
        <f t="shared" si="0"/>
        <v>44029</v>
      </c>
      <c r="BU1" s="48">
        <f t="shared" si="0"/>
        <v>44030</v>
      </c>
      <c r="BV1" s="48">
        <f t="shared" si="0"/>
        <v>44031</v>
      </c>
      <c r="BW1" s="50" t="s">
        <v>372</v>
      </c>
      <c r="BX1" s="48">
        <f>BV1 + 1</f>
        <v>44032</v>
      </c>
      <c r="BY1" s="48">
        <f t="shared" si="0"/>
        <v>44033</v>
      </c>
      <c r="BZ1" s="48">
        <f t="shared" si="0"/>
        <v>44034</v>
      </c>
      <c r="CA1" s="48">
        <f t="shared" si="0"/>
        <v>44035</v>
      </c>
      <c r="CB1" s="48">
        <f t="shared" si="0"/>
        <v>44036</v>
      </c>
      <c r="CC1" s="48">
        <f t="shared" si="0"/>
        <v>44037</v>
      </c>
      <c r="CD1" s="50">
        <f>CC1 + 1</f>
        <v>44038</v>
      </c>
      <c r="CE1" s="50" t="s">
        <v>373</v>
      </c>
      <c r="CF1" s="48">
        <f>CD1 + 1</f>
        <v>44039</v>
      </c>
      <c r="CG1" s="48">
        <f t="shared" ref="CG1:EQ1" si="1">CF1 + 1</f>
        <v>44040</v>
      </c>
      <c r="CH1" s="48">
        <f t="shared" si="1"/>
        <v>44041</v>
      </c>
      <c r="CI1" s="48">
        <f t="shared" si="1"/>
        <v>44042</v>
      </c>
      <c r="CJ1" s="48">
        <f t="shared" si="1"/>
        <v>44043</v>
      </c>
      <c r="CK1" s="48">
        <f t="shared" si="1"/>
        <v>44044</v>
      </c>
      <c r="CL1" s="50">
        <f t="shared" si="1"/>
        <v>44045</v>
      </c>
      <c r="CM1" s="48">
        <f t="shared" si="1"/>
        <v>44046</v>
      </c>
      <c r="CN1" s="48">
        <f t="shared" si="1"/>
        <v>44047</v>
      </c>
      <c r="CO1" s="48">
        <f t="shared" si="1"/>
        <v>44048</v>
      </c>
      <c r="CP1" s="48">
        <f t="shared" si="1"/>
        <v>44049</v>
      </c>
      <c r="CQ1" s="48">
        <f t="shared" si="1"/>
        <v>44050</v>
      </c>
      <c r="CR1" s="48">
        <f t="shared" si="1"/>
        <v>44051</v>
      </c>
      <c r="CS1" s="50">
        <f t="shared" si="1"/>
        <v>44052</v>
      </c>
      <c r="CT1" s="48">
        <f t="shared" si="1"/>
        <v>44053</v>
      </c>
      <c r="CU1" s="48">
        <f t="shared" si="1"/>
        <v>44054</v>
      </c>
      <c r="CV1" s="48">
        <f t="shared" si="1"/>
        <v>44055</v>
      </c>
      <c r="CW1" s="48">
        <f t="shared" si="1"/>
        <v>44056</v>
      </c>
      <c r="CX1" s="48">
        <f t="shared" si="1"/>
        <v>44057</v>
      </c>
      <c r="CY1" s="48">
        <f t="shared" si="1"/>
        <v>44058</v>
      </c>
      <c r="CZ1" s="50">
        <f t="shared" si="1"/>
        <v>44059</v>
      </c>
      <c r="DA1" s="48">
        <f t="shared" si="1"/>
        <v>44060</v>
      </c>
      <c r="DB1" s="48">
        <f t="shared" si="1"/>
        <v>44061</v>
      </c>
      <c r="DC1" s="48">
        <f t="shared" si="1"/>
        <v>44062</v>
      </c>
      <c r="DD1" s="48">
        <f t="shared" si="1"/>
        <v>44063</v>
      </c>
      <c r="DE1" s="48">
        <f t="shared" si="1"/>
        <v>44064</v>
      </c>
      <c r="DF1" s="48">
        <f t="shared" si="1"/>
        <v>44065</v>
      </c>
      <c r="DG1" s="50">
        <f t="shared" si="1"/>
        <v>44066</v>
      </c>
      <c r="DH1" s="48">
        <f t="shared" si="1"/>
        <v>44067</v>
      </c>
      <c r="DI1" s="48">
        <f t="shared" si="1"/>
        <v>44068</v>
      </c>
      <c r="DJ1" s="48">
        <f t="shared" si="1"/>
        <v>44069</v>
      </c>
      <c r="DK1" s="48">
        <f t="shared" si="1"/>
        <v>44070</v>
      </c>
      <c r="DL1" s="48">
        <f t="shared" si="1"/>
        <v>44071</v>
      </c>
      <c r="DM1" s="48">
        <f t="shared" si="1"/>
        <v>44072</v>
      </c>
      <c r="DN1" s="50">
        <f t="shared" si="1"/>
        <v>44073</v>
      </c>
      <c r="DO1" s="48">
        <f t="shared" si="1"/>
        <v>44074</v>
      </c>
      <c r="DP1" s="48">
        <f t="shared" si="1"/>
        <v>44075</v>
      </c>
      <c r="DQ1" s="48">
        <f t="shared" si="1"/>
        <v>44076</v>
      </c>
      <c r="DR1" s="48">
        <f t="shared" si="1"/>
        <v>44077</v>
      </c>
      <c r="DS1" s="48">
        <f t="shared" si="1"/>
        <v>44078</v>
      </c>
      <c r="DT1" s="48">
        <f t="shared" si="1"/>
        <v>44079</v>
      </c>
      <c r="DU1" s="50">
        <f t="shared" si="1"/>
        <v>44080</v>
      </c>
      <c r="DV1" s="48">
        <f t="shared" si="1"/>
        <v>44081</v>
      </c>
      <c r="DW1" s="48">
        <f t="shared" si="1"/>
        <v>44082</v>
      </c>
      <c r="DX1" s="48">
        <f t="shared" si="1"/>
        <v>44083</v>
      </c>
      <c r="DY1" s="48">
        <f t="shared" si="1"/>
        <v>44084</v>
      </c>
      <c r="DZ1" s="48">
        <f t="shared" si="1"/>
        <v>44085</v>
      </c>
      <c r="EA1" s="48">
        <f t="shared" si="1"/>
        <v>44086</v>
      </c>
      <c r="EB1" s="50">
        <f t="shared" si="1"/>
        <v>44087</v>
      </c>
      <c r="EC1" s="48">
        <f t="shared" si="1"/>
        <v>44088</v>
      </c>
      <c r="ED1" s="48">
        <f t="shared" si="1"/>
        <v>44089</v>
      </c>
      <c r="EE1" s="48">
        <f t="shared" si="1"/>
        <v>44090</v>
      </c>
      <c r="EF1" s="48">
        <f t="shared" si="1"/>
        <v>44091</v>
      </c>
      <c r="EG1" s="48">
        <f t="shared" si="1"/>
        <v>44092</v>
      </c>
      <c r="EH1" s="48">
        <f t="shared" si="1"/>
        <v>44093</v>
      </c>
      <c r="EI1" s="50">
        <f>EH1 + 1</f>
        <v>44094</v>
      </c>
      <c r="EJ1" s="48">
        <f t="shared" si="1"/>
        <v>44095</v>
      </c>
      <c r="EK1" s="48">
        <f t="shared" si="1"/>
        <v>44096</v>
      </c>
      <c r="EL1" s="48">
        <f t="shared" si="1"/>
        <v>44097</v>
      </c>
      <c r="EM1" s="48">
        <f t="shared" si="1"/>
        <v>44098</v>
      </c>
      <c r="EN1" s="48">
        <f t="shared" si="1"/>
        <v>44099</v>
      </c>
      <c r="EO1" s="48">
        <f t="shared" si="1"/>
        <v>44100</v>
      </c>
      <c r="EP1" s="50">
        <f t="shared" si="1"/>
        <v>44101</v>
      </c>
      <c r="EQ1" s="48">
        <f t="shared" si="1"/>
        <v>44102</v>
      </c>
      <c r="ER1" s="48">
        <f t="shared" ref="ER1:HC1" si="2">EQ1 + 1</f>
        <v>44103</v>
      </c>
      <c r="ES1" s="48">
        <f t="shared" si="2"/>
        <v>44104</v>
      </c>
      <c r="ET1" s="48">
        <f t="shared" si="2"/>
        <v>44105</v>
      </c>
      <c r="EU1" s="48">
        <f t="shared" si="2"/>
        <v>44106</v>
      </c>
      <c r="EV1" s="48">
        <f t="shared" si="2"/>
        <v>44107</v>
      </c>
      <c r="EW1" s="50">
        <f t="shared" si="2"/>
        <v>44108</v>
      </c>
      <c r="EX1" s="48">
        <f t="shared" si="2"/>
        <v>44109</v>
      </c>
      <c r="EY1" s="48">
        <f t="shared" si="2"/>
        <v>44110</v>
      </c>
      <c r="EZ1" s="48">
        <f t="shared" si="2"/>
        <v>44111</v>
      </c>
      <c r="FA1" s="48">
        <f t="shared" si="2"/>
        <v>44112</v>
      </c>
      <c r="FB1" s="48">
        <f t="shared" si="2"/>
        <v>44113</v>
      </c>
      <c r="FC1" s="48">
        <f t="shared" si="2"/>
        <v>44114</v>
      </c>
      <c r="FD1" s="50">
        <f t="shared" si="2"/>
        <v>44115</v>
      </c>
      <c r="FE1" s="48">
        <f t="shared" si="2"/>
        <v>44116</v>
      </c>
      <c r="FF1" s="48">
        <f t="shared" si="2"/>
        <v>44117</v>
      </c>
      <c r="FG1" s="48">
        <f t="shared" si="2"/>
        <v>44118</v>
      </c>
      <c r="FH1" s="48">
        <f t="shared" si="2"/>
        <v>44119</v>
      </c>
      <c r="FI1" s="48">
        <f t="shared" si="2"/>
        <v>44120</v>
      </c>
      <c r="FJ1" s="48">
        <f t="shared" si="2"/>
        <v>44121</v>
      </c>
      <c r="FK1" s="50">
        <f t="shared" si="2"/>
        <v>44122</v>
      </c>
      <c r="FL1" s="48">
        <f t="shared" si="2"/>
        <v>44123</v>
      </c>
      <c r="FM1" s="48">
        <f t="shared" si="2"/>
        <v>44124</v>
      </c>
      <c r="FN1" s="48">
        <f t="shared" si="2"/>
        <v>44125</v>
      </c>
      <c r="FO1" s="48">
        <f t="shared" si="2"/>
        <v>44126</v>
      </c>
      <c r="FP1" s="48">
        <f t="shared" si="2"/>
        <v>44127</v>
      </c>
      <c r="FQ1" s="48">
        <f t="shared" si="2"/>
        <v>44128</v>
      </c>
      <c r="FR1" s="50">
        <f t="shared" si="2"/>
        <v>44129</v>
      </c>
      <c r="FS1" s="48">
        <f t="shared" si="2"/>
        <v>44130</v>
      </c>
      <c r="FT1" s="48">
        <f t="shared" si="2"/>
        <v>44131</v>
      </c>
      <c r="FU1" s="48">
        <f t="shared" si="2"/>
        <v>44132</v>
      </c>
      <c r="FV1" s="48">
        <f t="shared" si="2"/>
        <v>44133</v>
      </c>
      <c r="FW1" s="48">
        <f t="shared" si="2"/>
        <v>44134</v>
      </c>
      <c r="FX1" s="48">
        <f t="shared" si="2"/>
        <v>44135</v>
      </c>
      <c r="FY1" s="50">
        <f t="shared" si="2"/>
        <v>44136</v>
      </c>
      <c r="FZ1" s="48">
        <f t="shared" si="2"/>
        <v>44137</v>
      </c>
      <c r="GA1" s="48">
        <f t="shared" si="2"/>
        <v>44138</v>
      </c>
      <c r="GB1" s="48">
        <f t="shared" si="2"/>
        <v>44139</v>
      </c>
      <c r="GC1" s="48">
        <f t="shared" si="2"/>
        <v>44140</v>
      </c>
      <c r="GD1" s="48">
        <f t="shared" si="2"/>
        <v>44141</v>
      </c>
      <c r="GE1" s="48">
        <f t="shared" si="2"/>
        <v>44142</v>
      </c>
      <c r="GF1" s="50">
        <f t="shared" si="2"/>
        <v>44143</v>
      </c>
      <c r="GG1" s="48">
        <f t="shared" si="2"/>
        <v>44144</v>
      </c>
      <c r="GH1" s="48">
        <f t="shared" si="2"/>
        <v>44145</v>
      </c>
      <c r="GI1" s="48">
        <f t="shared" si="2"/>
        <v>44146</v>
      </c>
      <c r="GJ1" s="48">
        <f t="shared" si="2"/>
        <v>44147</v>
      </c>
      <c r="GK1" s="48">
        <f t="shared" si="2"/>
        <v>44148</v>
      </c>
      <c r="GL1" s="48">
        <f t="shared" si="2"/>
        <v>44149</v>
      </c>
      <c r="GM1" s="50">
        <f t="shared" si="2"/>
        <v>44150</v>
      </c>
      <c r="GN1" s="48">
        <f t="shared" si="2"/>
        <v>44151</v>
      </c>
      <c r="GO1" s="48">
        <f t="shared" si="2"/>
        <v>44152</v>
      </c>
      <c r="GP1" s="48">
        <f t="shared" si="2"/>
        <v>44153</v>
      </c>
      <c r="GQ1" s="48">
        <f t="shared" si="2"/>
        <v>44154</v>
      </c>
      <c r="GR1" s="48">
        <f t="shared" si="2"/>
        <v>44155</v>
      </c>
      <c r="GS1" s="48">
        <f t="shared" si="2"/>
        <v>44156</v>
      </c>
      <c r="GT1" s="50">
        <f t="shared" si="2"/>
        <v>44157</v>
      </c>
      <c r="GU1" s="48">
        <f t="shared" si="2"/>
        <v>44158</v>
      </c>
      <c r="GV1" s="48">
        <f t="shared" si="2"/>
        <v>44159</v>
      </c>
      <c r="GW1" s="48">
        <f t="shared" si="2"/>
        <v>44160</v>
      </c>
      <c r="GX1" s="48">
        <f t="shared" si="2"/>
        <v>44161</v>
      </c>
      <c r="GY1" s="48">
        <f t="shared" si="2"/>
        <v>44162</v>
      </c>
      <c r="GZ1" s="48">
        <f t="shared" si="2"/>
        <v>44163</v>
      </c>
      <c r="HA1" s="50">
        <f t="shared" si="2"/>
        <v>44164</v>
      </c>
      <c r="HB1" s="48">
        <f t="shared" si="2"/>
        <v>44165</v>
      </c>
      <c r="HC1" s="48">
        <f t="shared" si="2"/>
        <v>44166</v>
      </c>
      <c r="HD1" s="48">
        <f t="shared" ref="HD1:JO1" si="3">HC1 + 1</f>
        <v>44167</v>
      </c>
      <c r="HE1" s="48">
        <f t="shared" si="3"/>
        <v>44168</v>
      </c>
      <c r="HF1" s="48">
        <f t="shared" si="3"/>
        <v>44169</v>
      </c>
      <c r="HG1" s="48">
        <f t="shared" si="3"/>
        <v>44170</v>
      </c>
      <c r="HH1" s="50">
        <f t="shared" si="3"/>
        <v>44171</v>
      </c>
      <c r="HI1" s="48">
        <f t="shared" si="3"/>
        <v>44172</v>
      </c>
      <c r="HJ1" s="48">
        <f t="shared" si="3"/>
        <v>44173</v>
      </c>
      <c r="HK1" s="48">
        <f t="shared" si="3"/>
        <v>44174</v>
      </c>
      <c r="HL1" s="48">
        <f t="shared" si="3"/>
        <v>44175</v>
      </c>
      <c r="HM1" s="48">
        <f t="shared" si="3"/>
        <v>44176</v>
      </c>
      <c r="HN1" s="48">
        <f t="shared" si="3"/>
        <v>44177</v>
      </c>
      <c r="HO1" s="50">
        <f t="shared" si="3"/>
        <v>44178</v>
      </c>
      <c r="HP1" s="48">
        <f t="shared" si="3"/>
        <v>44179</v>
      </c>
      <c r="HQ1" s="48">
        <f t="shared" si="3"/>
        <v>44180</v>
      </c>
      <c r="HR1" s="48">
        <f t="shared" si="3"/>
        <v>44181</v>
      </c>
      <c r="HS1" s="48">
        <f t="shared" si="3"/>
        <v>44182</v>
      </c>
      <c r="HT1" s="48">
        <f t="shared" si="3"/>
        <v>44183</v>
      </c>
      <c r="HU1" s="48">
        <f t="shared" si="3"/>
        <v>44184</v>
      </c>
      <c r="HV1" s="50">
        <f t="shared" si="3"/>
        <v>44185</v>
      </c>
      <c r="HW1" s="48">
        <f t="shared" si="3"/>
        <v>44186</v>
      </c>
      <c r="HX1" s="48">
        <f t="shared" si="3"/>
        <v>44187</v>
      </c>
      <c r="HY1" s="48">
        <f t="shared" si="3"/>
        <v>44188</v>
      </c>
      <c r="HZ1" s="48">
        <f t="shared" si="3"/>
        <v>44189</v>
      </c>
      <c r="IA1" s="48">
        <f t="shared" si="3"/>
        <v>44190</v>
      </c>
      <c r="IB1" s="48">
        <f t="shared" si="3"/>
        <v>44191</v>
      </c>
      <c r="IC1" s="50">
        <f t="shared" si="3"/>
        <v>44192</v>
      </c>
      <c r="ID1" s="48">
        <f t="shared" si="3"/>
        <v>44193</v>
      </c>
      <c r="IE1" s="48">
        <f t="shared" si="3"/>
        <v>44194</v>
      </c>
      <c r="IF1" s="48">
        <f t="shared" si="3"/>
        <v>44195</v>
      </c>
      <c r="IG1" s="48">
        <f t="shared" si="3"/>
        <v>44196</v>
      </c>
      <c r="IH1" s="48">
        <f t="shared" si="3"/>
        <v>44197</v>
      </c>
      <c r="II1" s="48">
        <f t="shared" si="3"/>
        <v>44198</v>
      </c>
      <c r="IJ1" s="50">
        <f t="shared" si="3"/>
        <v>44199</v>
      </c>
      <c r="IK1" s="48">
        <f t="shared" si="3"/>
        <v>44200</v>
      </c>
      <c r="IL1" s="48">
        <f t="shared" si="3"/>
        <v>44201</v>
      </c>
      <c r="IM1" s="48">
        <f t="shared" si="3"/>
        <v>44202</v>
      </c>
      <c r="IN1" s="48">
        <f t="shared" si="3"/>
        <v>44203</v>
      </c>
      <c r="IO1" s="48">
        <f t="shared" si="3"/>
        <v>44204</v>
      </c>
      <c r="IP1" s="48">
        <f t="shared" si="3"/>
        <v>44205</v>
      </c>
      <c r="IQ1" s="50">
        <f t="shared" si="3"/>
        <v>44206</v>
      </c>
      <c r="IR1" s="48">
        <f t="shared" si="3"/>
        <v>44207</v>
      </c>
      <c r="IS1" s="48">
        <f t="shared" si="3"/>
        <v>44208</v>
      </c>
      <c r="IT1" s="48">
        <f t="shared" si="3"/>
        <v>44209</v>
      </c>
      <c r="IU1" s="48">
        <f t="shared" si="3"/>
        <v>44210</v>
      </c>
      <c r="IV1" s="48">
        <f t="shared" si="3"/>
        <v>44211</v>
      </c>
      <c r="IW1" s="48">
        <f t="shared" si="3"/>
        <v>44212</v>
      </c>
      <c r="IX1" s="50">
        <f t="shared" si="3"/>
        <v>44213</v>
      </c>
      <c r="IY1" s="48">
        <f t="shared" si="3"/>
        <v>44214</v>
      </c>
      <c r="IZ1" s="48">
        <f t="shared" si="3"/>
        <v>44215</v>
      </c>
      <c r="JA1" s="48">
        <f t="shared" si="3"/>
        <v>44216</v>
      </c>
      <c r="JB1" s="48">
        <f t="shared" si="3"/>
        <v>44217</v>
      </c>
      <c r="JC1" s="48">
        <f t="shared" si="3"/>
        <v>44218</v>
      </c>
      <c r="JD1" s="48">
        <f t="shared" si="3"/>
        <v>44219</v>
      </c>
      <c r="JE1" s="50">
        <f t="shared" si="3"/>
        <v>44220</v>
      </c>
      <c r="JF1" s="48">
        <f t="shared" si="3"/>
        <v>44221</v>
      </c>
      <c r="JG1" s="48">
        <f t="shared" si="3"/>
        <v>44222</v>
      </c>
      <c r="JH1" s="48">
        <f t="shared" si="3"/>
        <v>44223</v>
      </c>
      <c r="JI1" s="48">
        <f t="shared" si="3"/>
        <v>44224</v>
      </c>
      <c r="JJ1" s="48">
        <f t="shared" si="3"/>
        <v>44225</v>
      </c>
      <c r="JK1" s="48">
        <f t="shared" si="3"/>
        <v>44226</v>
      </c>
      <c r="JL1" s="50">
        <f t="shared" si="3"/>
        <v>44227</v>
      </c>
      <c r="JM1" s="48">
        <f t="shared" si="3"/>
        <v>44228</v>
      </c>
      <c r="JN1" s="48">
        <f t="shared" si="3"/>
        <v>44229</v>
      </c>
      <c r="JO1" s="48">
        <f t="shared" si="3"/>
        <v>44230</v>
      </c>
      <c r="JP1" s="48">
        <f t="shared" ref="JP1:LW1" si="4">JO1 + 1</f>
        <v>44231</v>
      </c>
      <c r="JQ1" s="48">
        <f t="shared" si="4"/>
        <v>44232</v>
      </c>
      <c r="JR1" s="48">
        <f t="shared" si="4"/>
        <v>44233</v>
      </c>
      <c r="JS1" s="50">
        <f t="shared" si="4"/>
        <v>44234</v>
      </c>
      <c r="JT1" s="48">
        <f t="shared" si="4"/>
        <v>44235</v>
      </c>
      <c r="JU1" s="48">
        <f t="shared" si="4"/>
        <v>44236</v>
      </c>
      <c r="JV1" s="48">
        <f t="shared" si="4"/>
        <v>44237</v>
      </c>
      <c r="JW1" s="48">
        <f t="shared" si="4"/>
        <v>44238</v>
      </c>
      <c r="JX1" s="48">
        <f t="shared" si="4"/>
        <v>44239</v>
      </c>
      <c r="JY1" s="48">
        <f t="shared" si="4"/>
        <v>44240</v>
      </c>
      <c r="JZ1" s="50">
        <f t="shared" si="4"/>
        <v>44241</v>
      </c>
      <c r="KA1" s="48">
        <f t="shared" si="4"/>
        <v>44242</v>
      </c>
      <c r="KB1" s="48">
        <f t="shared" si="4"/>
        <v>44243</v>
      </c>
      <c r="KC1" s="48">
        <f t="shared" si="4"/>
        <v>44244</v>
      </c>
      <c r="KD1" s="48">
        <f t="shared" si="4"/>
        <v>44245</v>
      </c>
      <c r="KE1" s="48">
        <f t="shared" si="4"/>
        <v>44246</v>
      </c>
      <c r="KF1" s="48">
        <f t="shared" si="4"/>
        <v>44247</v>
      </c>
      <c r="KG1" s="50">
        <f t="shared" si="4"/>
        <v>44248</v>
      </c>
      <c r="KH1" s="48">
        <f t="shared" si="4"/>
        <v>44249</v>
      </c>
      <c r="KI1" s="48">
        <f t="shared" si="4"/>
        <v>44250</v>
      </c>
      <c r="KJ1" s="48">
        <f t="shared" si="4"/>
        <v>44251</v>
      </c>
      <c r="KK1" s="48">
        <f t="shared" si="4"/>
        <v>44252</v>
      </c>
      <c r="KL1" s="48">
        <f t="shared" si="4"/>
        <v>44253</v>
      </c>
      <c r="KM1" s="48">
        <f t="shared" si="4"/>
        <v>44254</v>
      </c>
      <c r="KN1" s="50">
        <f t="shared" si="4"/>
        <v>44255</v>
      </c>
      <c r="KO1" s="48">
        <f t="shared" si="4"/>
        <v>44256</v>
      </c>
      <c r="KP1" s="48">
        <f t="shared" si="4"/>
        <v>44257</v>
      </c>
      <c r="KQ1" s="48">
        <f t="shared" si="4"/>
        <v>44258</v>
      </c>
      <c r="KR1" s="48">
        <f t="shared" si="4"/>
        <v>44259</v>
      </c>
      <c r="KS1" s="48">
        <f t="shared" si="4"/>
        <v>44260</v>
      </c>
      <c r="KT1" s="48">
        <f t="shared" si="4"/>
        <v>44261</v>
      </c>
      <c r="KU1" s="50">
        <f t="shared" si="4"/>
        <v>44262</v>
      </c>
      <c r="KV1" s="48">
        <f t="shared" si="4"/>
        <v>44263</v>
      </c>
      <c r="KW1" s="48">
        <f t="shared" si="4"/>
        <v>44264</v>
      </c>
      <c r="KX1" s="48">
        <f t="shared" si="4"/>
        <v>44265</v>
      </c>
      <c r="KY1" s="48">
        <f t="shared" si="4"/>
        <v>44266</v>
      </c>
      <c r="KZ1" s="48">
        <f t="shared" si="4"/>
        <v>44267</v>
      </c>
      <c r="LA1" s="48">
        <f t="shared" si="4"/>
        <v>44268</v>
      </c>
      <c r="LB1" s="50">
        <f t="shared" si="4"/>
        <v>44269</v>
      </c>
      <c r="LC1" s="48">
        <f t="shared" si="4"/>
        <v>44270</v>
      </c>
      <c r="LD1" s="48">
        <f t="shared" si="4"/>
        <v>44271</v>
      </c>
      <c r="LE1" s="48">
        <f t="shared" si="4"/>
        <v>44272</v>
      </c>
      <c r="LF1" s="48">
        <f t="shared" si="4"/>
        <v>44273</v>
      </c>
      <c r="LG1" s="48">
        <f t="shared" si="4"/>
        <v>44274</v>
      </c>
      <c r="LH1" s="48">
        <f t="shared" si="4"/>
        <v>44275</v>
      </c>
      <c r="LI1" s="50">
        <f t="shared" si="4"/>
        <v>44276</v>
      </c>
      <c r="LJ1" s="48">
        <f t="shared" si="4"/>
        <v>44277</v>
      </c>
      <c r="LK1" s="48">
        <f t="shared" si="4"/>
        <v>44278</v>
      </c>
      <c r="LL1" s="48">
        <f t="shared" si="4"/>
        <v>44279</v>
      </c>
      <c r="LM1" s="48">
        <f t="shared" si="4"/>
        <v>44280</v>
      </c>
      <c r="LN1" s="48">
        <f t="shared" si="4"/>
        <v>44281</v>
      </c>
      <c r="LO1" s="48">
        <f t="shared" si="4"/>
        <v>44282</v>
      </c>
      <c r="LP1" s="50">
        <f t="shared" si="4"/>
        <v>44283</v>
      </c>
      <c r="LQ1" s="48">
        <f t="shared" si="4"/>
        <v>44284</v>
      </c>
      <c r="LR1" s="48">
        <f t="shared" si="4"/>
        <v>44285</v>
      </c>
      <c r="LS1" s="48">
        <f t="shared" si="4"/>
        <v>44286</v>
      </c>
      <c r="LT1" s="48">
        <f t="shared" si="4"/>
        <v>44287</v>
      </c>
      <c r="LU1" s="48">
        <f t="shared" si="4"/>
        <v>44288</v>
      </c>
      <c r="LV1" s="48">
        <f t="shared" si="4"/>
        <v>44289</v>
      </c>
      <c r="LW1" s="50">
        <f t="shared" si="4"/>
        <v>44290</v>
      </c>
    </row>
    <row r="2" spans="1:335" ht="15" customHeight="1" x14ac:dyDescent="0.25">
      <c r="A2" s="92" t="s">
        <v>146</v>
      </c>
      <c r="B2" s="92"/>
      <c r="C2" s="92"/>
      <c r="D2" s="92"/>
      <c r="E2" s="92"/>
      <c r="F2" s="39"/>
      <c r="G2" s="39"/>
      <c r="H2" s="39"/>
      <c r="I2" s="39"/>
      <c r="J2" s="39"/>
      <c r="K2" s="39"/>
      <c r="L2" s="39"/>
      <c r="M2" s="39"/>
      <c r="N2" s="39"/>
      <c r="O2" s="27"/>
      <c r="P2" s="90" t="s">
        <v>50</v>
      </c>
      <c r="Q2" s="104" t="s">
        <v>49</v>
      </c>
      <c r="R2" s="51">
        <f t="shared" ref="R2" si="5">R1</f>
        <v>43975</v>
      </c>
      <c r="S2" s="49">
        <f t="shared" ref="S2" si="6">S1</f>
        <v>43976</v>
      </c>
      <c r="T2" s="49">
        <f t="shared" ref="T2" si="7">T1</f>
        <v>43977</v>
      </c>
      <c r="U2" s="49">
        <f t="shared" ref="U2" si="8">U1</f>
        <v>43978</v>
      </c>
      <c r="V2" s="49">
        <f t="shared" ref="V2" si="9">V1</f>
        <v>43979</v>
      </c>
      <c r="W2" s="49">
        <f t="shared" ref="W2" si="10">W1</f>
        <v>43980</v>
      </c>
      <c r="X2" s="49">
        <f t="shared" ref="X2" si="11">X1</f>
        <v>43981</v>
      </c>
      <c r="Y2" s="51">
        <f t="shared" ref="Y2" si="12">Y1</f>
        <v>43982</v>
      </c>
      <c r="Z2" s="49">
        <f t="shared" ref="Z2" si="13">Z1</f>
        <v>43983</v>
      </c>
      <c r="AA2" s="49">
        <f t="shared" ref="AA2" si="14">AA1</f>
        <v>43984</v>
      </c>
      <c r="AB2" s="49">
        <f t="shared" ref="AB2" si="15">AB1</f>
        <v>43985</v>
      </c>
      <c r="AC2" s="49">
        <f t="shared" ref="AC2" si="16">AC1</f>
        <v>43986</v>
      </c>
      <c r="AD2" s="49">
        <f t="shared" ref="AD2" si="17">AD1</f>
        <v>43987</v>
      </c>
      <c r="AE2" s="49">
        <f t="shared" ref="AE2" si="18">AE1</f>
        <v>43988</v>
      </c>
      <c r="AF2" s="51">
        <f t="shared" ref="AF2" si="19">AF1</f>
        <v>43989</v>
      </c>
      <c r="AG2" s="49">
        <f t="shared" ref="AG2" si="20">AG1</f>
        <v>43990</v>
      </c>
      <c r="AH2" s="49">
        <f t="shared" ref="AH2" si="21">AH1</f>
        <v>43991</v>
      </c>
      <c r="AI2" s="49">
        <f t="shared" ref="AI2" si="22">AI1</f>
        <v>43992</v>
      </c>
      <c r="AJ2" s="49">
        <f t="shared" ref="AJ2" si="23">AJ1</f>
        <v>43993</v>
      </c>
      <c r="AK2" s="49">
        <f t="shared" ref="AK2" si="24">AK1</f>
        <v>43994</v>
      </c>
      <c r="AL2" s="49">
        <f t="shared" ref="AL2" si="25">AL1</f>
        <v>43995</v>
      </c>
      <c r="AM2" s="51">
        <f t="shared" ref="AM2" si="26">AM1</f>
        <v>43996</v>
      </c>
      <c r="AN2" s="49">
        <f t="shared" ref="AN2" si="27">AN1</f>
        <v>43997</v>
      </c>
      <c r="AO2" s="49">
        <f t="shared" ref="AO2" si="28">AO1</f>
        <v>43998</v>
      </c>
      <c r="AP2" s="49">
        <f t="shared" ref="AP2" si="29">AP1</f>
        <v>43999</v>
      </c>
      <c r="AQ2" s="49">
        <f t="shared" ref="AQ2" si="30">AQ1</f>
        <v>44000</v>
      </c>
      <c r="AR2" s="49">
        <f t="shared" ref="AR2" si="31">AR1</f>
        <v>44001</v>
      </c>
      <c r="AS2" s="49">
        <f t="shared" ref="AS2" si="32">AS1</f>
        <v>44002</v>
      </c>
      <c r="AT2" s="51">
        <f t="shared" ref="AT2" si="33">AT1</f>
        <v>44003</v>
      </c>
      <c r="AU2" s="49">
        <f t="shared" ref="AU2" si="34">AU1</f>
        <v>44004</v>
      </c>
      <c r="AV2" s="49">
        <f t="shared" ref="AV2" si="35">AV1</f>
        <v>44005</v>
      </c>
      <c r="AW2" s="49">
        <f t="shared" ref="AW2" si="36">AW1</f>
        <v>44006</v>
      </c>
      <c r="AX2" s="49">
        <f t="shared" ref="AX2" si="37">AX1</f>
        <v>44007</v>
      </c>
      <c r="AY2" s="49">
        <f t="shared" ref="AY2" si="38">AY1</f>
        <v>44008</v>
      </c>
      <c r="AZ2" s="49">
        <f t="shared" ref="AZ2" si="39">AZ1</f>
        <v>44009</v>
      </c>
      <c r="BA2" s="51">
        <f t="shared" ref="BA2" si="40">BA1</f>
        <v>44010</v>
      </c>
      <c r="BB2" s="49">
        <f t="shared" ref="BB2" si="41">BB1</f>
        <v>44011</v>
      </c>
      <c r="BC2" s="49">
        <f t="shared" ref="BC2" si="42">BC1</f>
        <v>44012</v>
      </c>
      <c r="BD2" s="49">
        <f t="shared" ref="BD2" si="43">BD1</f>
        <v>44013</v>
      </c>
      <c r="BE2" s="49">
        <f t="shared" ref="BE2" si="44">BE1</f>
        <v>44014</v>
      </c>
      <c r="BF2" s="49">
        <f t="shared" ref="BF2" si="45">BF1</f>
        <v>44015</v>
      </c>
      <c r="BG2" s="49">
        <f t="shared" ref="BG2" si="46">BG1</f>
        <v>44016</v>
      </c>
      <c r="BH2" s="51">
        <f t="shared" ref="BH2" si="47">BH1</f>
        <v>44017</v>
      </c>
      <c r="BI2" s="49">
        <f t="shared" ref="BI2" si="48">BI1</f>
        <v>44018</v>
      </c>
      <c r="BJ2" s="49">
        <f t="shared" ref="BJ2" si="49">BJ1</f>
        <v>44019</v>
      </c>
      <c r="BK2" s="49">
        <f t="shared" ref="BK2" si="50">BK1</f>
        <v>44020</v>
      </c>
      <c r="BL2" s="49">
        <f t="shared" ref="BL2" si="51">BL1</f>
        <v>44021</v>
      </c>
      <c r="BM2" s="49">
        <f t="shared" ref="BM2" si="52">BM1</f>
        <v>44022</v>
      </c>
      <c r="BN2" s="49">
        <f t="shared" ref="BN2" si="53">BN1</f>
        <v>44023</v>
      </c>
      <c r="BO2" s="51">
        <v>12</v>
      </c>
      <c r="BP2" s="49">
        <f t="shared" ref="BP2" si="54">BP1</f>
        <v>44025</v>
      </c>
      <c r="BQ2" s="49">
        <f t="shared" ref="BQ2" si="55">BQ1</f>
        <v>44026</v>
      </c>
      <c r="BR2" s="49">
        <f t="shared" ref="BR2" si="56">BR1</f>
        <v>44027</v>
      </c>
      <c r="BS2" s="49">
        <f t="shared" ref="BS2" si="57">BS1</f>
        <v>44028</v>
      </c>
      <c r="BT2" s="49">
        <f t="shared" ref="BT2" si="58">BT1</f>
        <v>44029</v>
      </c>
      <c r="BU2" s="49">
        <f t="shared" ref="BU2:BV2" si="59">BU1</f>
        <v>44030</v>
      </c>
      <c r="BV2" s="49">
        <f t="shared" si="59"/>
        <v>44031</v>
      </c>
      <c r="BW2" s="51" t="s">
        <v>371</v>
      </c>
      <c r="BX2" s="49">
        <f t="shared" ref="BX2" si="60">BX1</f>
        <v>44032</v>
      </c>
      <c r="BY2" s="49">
        <f t="shared" ref="BY2" si="61">BY1</f>
        <v>44033</v>
      </c>
      <c r="BZ2" s="49">
        <f t="shared" ref="BZ2" si="62">BZ1</f>
        <v>44034</v>
      </c>
      <c r="CA2" s="49">
        <f t="shared" ref="CA2" si="63">CA1</f>
        <v>44035</v>
      </c>
      <c r="CB2" s="49">
        <f t="shared" ref="CB2" si="64">CB1</f>
        <v>44036</v>
      </c>
      <c r="CC2" s="49">
        <f t="shared" ref="CC2:CD2" si="65">CC1</f>
        <v>44037</v>
      </c>
      <c r="CD2" s="49">
        <f t="shared" si="65"/>
        <v>44038</v>
      </c>
      <c r="CE2" s="51" t="s">
        <v>374</v>
      </c>
      <c r="CF2" s="49">
        <f t="shared" ref="CF2" si="66">CF1</f>
        <v>44039</v>
      </c>
      <c r="CG2" s="49">
        <f t="shared" ref="CG2" si="67">CG1</f>
        <v>44040</v>
      </c>
      <c r="CH2" s="49">
        <f t="shared" ref="CH2" si="68">CH1</f>
        <v>44041</v>
      </c>
      <c r="CI2" s="49">
        <f t="shared" ref="CI2" si="69">CI1</f>
        <v>44042</v>
      </c>
      <c r="CJ2" s="49">
        <f t="shared" ref="CJ2" si="70">CJ1</f>
        <v>44043</v>
      </c>
      <c r="CK2" s="49">
        <f t="shared" ref="CK2" si="71">CK1</f>
        <v>44044</v>
      </c>
      <c r="CL2" s="51">
        <f t="shared" ref="CL2" si="72">CL1</f>
        <v>44045</v>
      </c>
      <c r="CM2" s="49">
        <f t="shared" ref="CM2" si="73">CM1</f>
        <v>44046</v>
      </c>
      <c r="CN2" s="49">
        <f t="shared" ref="CN2" si="74">CN1</f>
        <v>44047</v>
      </c>
      <c r="CO2" s="49">
        <f t="shared" ref="CO2" si="75">CO1</f>
        <v>44048</v>
      </c>
      <c r="CP2" s="49">
        <f t="shared" ref="CP2" si="76">CP1</f>
        <v>44049</v>
      </c>
      <c r="CQ2" s="49">
        <f t="shared" ref="CQ2" si="77">CQ1</f>
        <v>44050</v>
      </c>
      <c r="CR2" s="49">
        <f t="shared" ref="CR2" si="78">CR1</f>
        <v>44051</v>
      </c>
      <c r="CS2" s="51">
        <f t="shared" ref="CS2" si="79">CS1</f>
        <v>44052</v>
      </c>
      <c r="CT2" s="49">
        <f t="shared" ref="CT2" si="80">CT1</f>
        <v>44053</v>
      </c>
      <c r="CU2" s="49">
        <f t="shared" ref="CU2" si="81">CU1</f>
        <v>44054</v>
      </c>
      <c r="CV2" s="49">
        <f t="shared" ref="CV2" si="82">CV1</f>
        <v>44055</v>
      </c>
      <c r="CW2" s="49">
        <f t="shared" ref="CW2" si="83">CW1</f>
        <v>44056</v>
      </c>
      <c r="CX2" s="49">
        <f t="shared" ref="CX2" si="84">CX1</f>
        <v>44057</v>
      </c>
      <c r="CY2" s="49">
        <f t="shared" ref="CY2" si="85">CY1</f>
        <v>44058</v>
      </c>
      <c r="CZ2" s="51">
        <f t="shared" ref="CZ2" si="86">CZ1</f>
        <v>44059</v>
      </c>
      <c r="DA2" s="49">
        <f t="shared" ref="DA2" si="87">DA1</f>
        <v>44060</v>
      </c>
      <c r="DB2" s="49">
        <f t="shared" ref="DB2" si="88">DB1</f>
        <v>44061</v>
      </c>
      <c r="DC2" s="49">
        <f t="shared" ref="DC2" si="89">DC1</f>
        <v>44062</v>
      </c>
      <c r="DD2" s="49">
        <f t="shared" ref="DD2" si="90">DD1</f>
        <v>44063</v>
      </c>
      <c r="DE2" s="49">
        <f t="shared" ref="DE2" si="91">DE1</f>
        <v>44064</v>
      </c>
      <c r="DF2" s="49">
        <f t="shared" ref="DF2" si="92">DF1</f>
        <v>44065</v>
      </c>
      <c r="DG2" s="51">
        <f t="shared" ref="DG2" si="93">DG1</f>
        <v>44066</v>
      </c>
      <c r="DH2" s="49">
        <f t="shared" ref="DH2" si="94">DH1</f>
        <v>44067</v>
      </c>
      <c r="DI2" s="49">
        <f t="shared" ref="DI2" si="95">DI1</f>
        <v>44068</v>
      </c>
      <c r="DJ2" s="49">
        <f t="shared" ref="DJ2" si="96">DJ1</f>
        <v>44069</v>
      </c>
      <c r="DK2" s="49">
        <f t="shared" ref="DK2" si="97">DK1</f>
        <v>44070</v>
      </c>
      <c r="DL2" s="49">
        <f t="shared" ref="DL2" si="98">DL1</f>
        <v>44071</v>
      </c>
      <c r="DM2" s="49">
        <f t="shared" ref="DM2" si="99">DM1</f>
        <v>44072</v>
      </c>
      <c r="DN2" s="51">
        <f t="shared" ref="DN2" si="100">DN1</f>
        <v>44073</v>
      </c>
      <c r="DO2" s="49">
        <f t="shared" ref="DO2" si="101">DO1</f>
        <v>44074</v>
      </c>
      <c r="DP2" s="49">
        <f t="shared" ref="DP2" si="102">DP1</f>
        <v>44075</v>
      </c>
      <c r="DQ2" s="49">
        <f t="shared" ref="DQ2" si="103">DQ1</f>
        <v>44076</v>
      </c>
      <c r="DR2" s="49">
        <f t="shared" ref="DR2" si="104">DR1</f>
        <v>44077</v>
      </c>
      <c r="DS2" s="49">
        <f t="shared" ref="DS2" si="105">DS1</f>
        <v>44078</v>
      </c>
      <c r="DT2" s="49">
        <f t="shared" ref="DT2" si="106">DT1</f>
        <v>44079</v>
      </c>
      <c r="DU2" s="51">
        <f t="shared" ref="DU2" si="107">DU1</f>
        <v>44080</v>
      </c>
      <c r="DV2" s="49">
        <f t="shared" ref="DV2" si="108">DV1</f>
        <v>44081</v>
      </c>
      <c r="DW2" s="49">
        <f t="shared" ref="DW2" si="109">DW1</f>
        <v>44082</v>
      </c>
      <c r="DX2" s="49">
        <f t="shared" ref="DX2" si="110">DX1</f>
        <v>44083</v>
      </c>
      <c r="DY2" s="49">
        <f t="shared" ref="DY2" si="111">DY1</f>
        <v>44084</v>
      </c>
      <c r="DZ2" s="49">
        <f t="shared" ref="DZ2" si="112">DZ1</f>
        <v>44085</v>
      </c>
      <c r="EA2" s="49">
        <f t="shared" ref="EA2" si="113">EA1</f>
        <v>44086</v>
      </c>
      <c r="EB2" s="51">
        <f t="shared" ref="EB2" si="114">EB1</f>
        <v>44087</v>
      </c>
      <c r="EC2" s="49">
        <f t="shared" ref="EC2" si="115">EC1</f>
        <v>44088</v>
      </c>
      <c r="ED2" s="49">
        <f t="shared" ref="ED2" si="116">ED1</f>
        <v>44089</v>
      </c>
      <c r="EE2" s="49">
        <f t="shared" ref="EE2" si="117">EE1</f>
        <v>44090</v>
      </c>
      <c r="EF2" s="49">
        <f t="shared" ref="EF2" si="118">EF1</f>
        <v>44091</v>
      </c>
      <c r="EG2" s="49">
        <f t="shared" ref="EG2" si="119">EG1</f>
        <v>44092</v>
      </c>
      <c r="EH2" s="49">
        <f t="shared" ref="EH2" si="120">EH1</f>
        <v>44093</v>
      </c>
      <c r="EI2" s="51">
        <f t="shared" ref="EI2" si="121">EI1</f>
        <v>44094</v>
      </c>
      <c r="EJ2" s="49">
        <f t="shared" ref="EJ2" si="122">EJ1</f>
        <v>44095</v>
      </c>
      <c r="EK2" s="49">
        <f t="shared" ref="EK2" si="123">EK1</f>
        <v>44096</v>
      </c>
      <c r="EL2" s="49">
        <f t="shared" ref="EL2" si="124">EL1</f>
        <v>44097</v>
      </c>
      <c r="EM2" s="49">
        <f t="shared" ref="EM2" si="125">EM1</f>
        <v>44098</v>
      </c>
      <c r="EN2" s="49">
        <f t="shared" ref="EN2" si="126">EN1</f>
        <v>44099</v>
      </c>
      <c r="EO2" s="49">
        <f t="shared" ref="EO2" si="127">EO1</f>
        <v>44100</v>
      </c>
      <c r="EP2" s="51">
        <f t="shared" ref="EP2" si="128">EP1</f>
        <v>44101</v>
      </c>
      <c r="EQ2" s="49">
        <f t="shared" ref="EQ2" si="129">EQ1</f>
        <v>44102</v>
      </c>
      <c r="ER2" s="49">
        <f t="shared" ref="ER2" si="130">ER1</f>
        <v>44103</v>
      </c>
      <c r="ES2" s="49">
        <f t="shared" ref="ES2" si="131">ES1</f>
        <v>44104</v>
      </c>
      <c r="ET2" s="49">
        <f t="shared" ref="ET2" si="132">ET1</f>
        <v>44105</v>
      </c>
      <c r="EU2" s="49">
        <f t="shared" ref="EU2" si="133">EU1</f>
        <v>44106</v>
      </c>
      <c r="EV2" s="49">
        <f t="shared" ref="EV2" si="134">EV1</f>
        <v>44107</v>
      </c>
      <c r="EW2" s="51">
        <f t="shared" ref="EW2" si="135">EW1</f>
        <v>44108</v>
      </c>
      <c r="EX2" s="49">
        <f t="shared" ref="EX2" si="136">EX1</f>
        <v>44109</v>
      </c>
      <c r="EY2" s="49">
        <f t="shared" ref="EY2" si="137">EY1</f>
        <v>44110</v>
      </c>
      <c r="EZ2" s="49">
        <f t="shared" ref="EZ2" si="138">EZ1</f>
        <v>44111</v>
      </c>
      <c r="FA2" s="49">
        <f t="shared" ref="FA2" si="139">FA1</f>
        <v>44112</v>
      </c>
      <c r="FB2" s="49">
        <f t="shared" ref="FB2" si="140">FB1</f>
        <v>44113</v>
      </c>
      <c r="FC2" s="49">
        <f t="shared" ref="FC2" si="141">FC1</f>
        <v>44114</v>
      </c>
      <c r="FD2" s="51">
        <f t="shared" ref="FD2" si="142">FD1</f>
        <v>44115</v>
      </c>
      <c r="FE2" s="49">
        <f t="shared" ref="FE2" si="143">FE1</f>
        <v>44116</v>
      </c>
      <c r="FF2" s="49">
        <f t="shared" ref="FF2" si="144">FF1</f>
        <v>44117</v>
      </c>
      <c r="FG2" s="49">
        <f t="shared" ref="FG2" si="145">FG1</f>
        <v>44118</v>
      </c>
      <c r="FH2" s="49">
        <f t="shared" ref="FH2" si="146">FH1</f>
        <v>44119</v>
      </c>
      <c r="FI2" s="49">
        <f t="shared" ref="FI2" si="147">FI1</f>
        <v>44120</v>
      </c>
      <c r="FJ2" s="49">
        <f t="shared" ref="FJ2" si="148">FJ1</f>
        <v>44121</v>
      </c>
      <c r="FK2" s="51">
        <f t="shared" ref="FK2" si="149">FK1</f>
        <v>44122</v>
      </c>
      <c r="FL2" s="49">
        <f t="shared" ref="FL2" si="150">FL1</f>
        <v>44123</v>
      </c>
      <c r="FM2" s="49">
        <f t="shared" ref="FM2" si="151">FM1</f>
        <v>44124</v>
      </c>
      <c r="FN2" s="49">
        <f t="shared" ref="FN2" si="152">FN1</f>
        <v>44125</v>
      </c>
      <c r="FO2" s="49">
        <f t="shared" ref="FO2" si="153">FO1</f>
        <v>44126</v>
      </c>
      <c r="FP2" s="49">
        <f t="shared" ref="FP2" si="154">FP1</f>
        <v>44127</v>
      </c>
      <c r="FQ2" s="49">
        <f t="shared" ref="FQ2" si="155">FQ1</f>
        <v>44128</v>
      </c>
      <c r="FR2" s="51">
        <f t="shared" ref="FR2" si="156">FR1</f>
        <v>44129</v>
      </c>
      <c r="FS2" s="49">
        <f t="shared" ref="FS2" si="157">FS1</f>
        <v>44130</v>
      </c>
      <c r="FT2" s="49">
        <f t="shared" ref="FT2" si="158">FT1</f>
        <v>44131</v>
      </c>
      <c r="FU2" s="49">
        <f t="shared" ref="FU2" si="159">FU1</f>
        <v>44132</v>
      </c>
      <c r="FV2" s="49">
        <f t="shared" ref="FV2" si="160">FV1</f>
        <v>44133</v>
      </c>
      <c r="FW2" s="49">
        <f t="shared" ref="FW2" si="161">FW1</f>
        <v>44134</v>
      </c>
      <c r="FX2" s="49">
        <f t="shared" ref="FX2" si="162">FX1</f>
        <v>44135</v>
      </c>
      <c r="FY2" s="51">
        <f t="shared" ref="FY2" si="163">FY1</f>
        <v>44136</v>
      </c>
      <c r="FZ2" s="49">
        <f t="shared" ref="FZ2" si="164">FZ1</f>
        <v>44137</v>
      </c>
      <c r="GA2" s="49">
        <f t="shared" ref="GA2" si="165">GA1</f>
        <v>44138</v>
      </c>
      <c r="GB2" s="49">
        <f t="shared" ref="GB2" si="166">GB1</f>
        <v>44139</v>
      </c>
      <c r="GC2" s="49">
        <f t="shared" ref="GC2" si="167">GC1</f>
        <v>44140</v>
      </c>
      <c r="GD2" s="49">
        <f t="shared" ref="GD2" si="168">GD1</f>
        <v>44141</v>
      </c>
      <c r="GE2" s="49">
        <f t="shared" ref="GE2" si="169">GE1</f>
        <v>44142</v>
      </c>
      <c r="GF2" s="51">
        <f t="shared" ref="GF2" si="170">GF1</f>
        <v>44143</v>
      </c>
      <c r="GG2" s="49">
        <f t="shared" ref="GG2" si="171">GG1</f>
        <v>44144</v>
      </c>
      <c r="GH2" s="49">
        <f t="shared" ref="GH2" si="172">GH1</f>
        <v>44145</v>
      </c>
      <c r="GI2" s="49">
        <f t="shared" ref="GI2" si="173">GI1</f>
        <v>44146</v>
      </c>
      <c r="GJ2" s="49">
        <f t="shared" ref="GJ2" si="174">GJ1</f>
        <v>44147</v>
      </c>
      <c r="GK2" s="49">
        <f t="shared" ref="GK2" si="175">GK1</f>
        <v>44148</v>
      </c>
      <c r="GL2" s="49">
        <f t="shared" ref="GL2" si="176">GL1</f>
        <v>44149</v>
      </c>
      <c r="GM2" s="51">
        <f t="shared" ref="GM2" si="177">GM1</f>
        <v>44150</v>
      </c>
      <c r="GN2" s="49">
        <f t="shared" ref="GN2" si="178">GN1</f>
        <v>44151</v>
      </c>
      <c r="GO2" s="49">
        <f t="shared" ref="GO2" si="179">GO1</f>
        <v>44152</v>
      </c>
      <c r="GP2" s="49">
        <f t="shared" ref="GP2" si="180">GP1</f>
        <v>44153</v>
      </c>
      <c r="GQ2" s="49">
        <f t="shared" ref="GQ2" si="181">GQ1</f>
        <v>44154</v>
      </c>
      <c r="GR2" s="49">
        <f t="shared" ref="GR2" si="182">GR1</f>
        <v>44155</v>
      </c>
      <c r="GS2" s="49">
        <f t="shared" ref="GS2" si="183">GS1</f>
        <v>44156</v>
      </c>
      <c r="GT2" s="51">
        <f t="shared" ref="GT2" si="184">GT1</f>
        <v>44157</v>
      </c>
      <c r="GU2" s="49">
        <f t="shared" ref="GU2" si="185">GU1</f>
        <v>44158</v>
      </c>
      <c r="GV2" s="49">
        <f t="shared" ref="GV2" si="186">GV1</f>
        <v>44159</v>
      </c>
      <c r="GW2" s="49">
        <f t="shared" ref="GW2" si="187">GW1</f>
        <v>44160</v>
      </c>
      <c r="GX2" s="49">
        <f t="shared" ref="GX2" si="188">GX1</f>
        <v>44161</v>
      </c>
      <c r="GY2" s="49">
        <f t="shared" ref="GY2" si="189">GY1</f>
        <v>44162</v>
      </c>
      <c r="GZ2" s="49">
        <f t="shared" ref="GZ2" si="190">GZ1</f>
        <v>44163</v>
      </c>
      <c r="HA2" s="51">
        <f t="shared" ref="HA2" si="191">HA1</f>
        <v>44164</v>
      </c>
      <c r="HB2" s="49">
        <f t="shared" ref="HB2" si="192">HB1</f>
        <v>44165</v>
      </c>
      <c r="HC2" s="49">
        <f t="shared" ref="HC2" si="193">HC1</f>
        <v>44166</v>
      </c>
      <c r="HD2" s="49">
        <f t="shared" ref="HD2" si="194">HD1</f>
        <v>44167</v>
      </c>
      <c r="HE2" s="49">
        <f t="shared" ref="HE2" si="195">HE1</f>
        <v>44168</v>
      </c>
      <c r="HF2" s="49">
        <f t="shared" ref="HF2" si="196">HF1</f>
        <v>44169</v>
      </c>
      <c r="HG2" s="49">
        <f t="shared" ref="HG2" si="197">HG1</f>
        <v>44170</v>
      </c>
      <c r="HH2" s="51">
        <f t="shared" ref="HH2" si="198">HH1</f>
        <v>44171</v>
      </c>
      <c r="HI2" s="49">
        <f t="shared" ref="HI2" si="199">HI1</f>
        <v>44172</v>
      </c>
      <c r="HJ2" s="49">
        <f t="shared" ref="HJ2" si="200">HJ1</f>
        <v>44173</v>
      </c>
      <c r="HK2" s="49">
        <f t="shared" ref="HK2" si="201">HK1</f>
        <v>44174</v>
      </c>
      <c r="HL2" s="49">
        <f t="shared" ref="HL2" si="202">HL1</f>
        <v>44175</v>
      </c>
      <c r="HM2" s="49">
        <f t="shared" ref="HM2" si="203">HM1</f>
        <v>44176</v>
      </c>
      <c r="HN2" s="49">
        <f t="shared" ref="HN2" si="204">HN1</f>
        <v>44177</v>
      </c>
      <c r="HO2" s="51">
        <f t="shared" ref="HO2" si="205">HO1</f>
        <v>44178</v>
      </c>
      <c r="HP2" s="49">
        <f t="shared" ref="HP2" si="206">HP1</f>
        <v>44179</v>
      </c>
      <c r="HQ2" s="49">
        <f t="shared" ref="HQ2" si="207">HQ1</f>
        <v>44180</v>
      </c>
      <c r="HR2" s="49">
        <f t="shared" ref="HR2" si="208">HR1</f>
        <v>44181</v>
      </c>
      <c r="HS2" s="49">
        <f t="shared" ref="HS2" si="209">HS1</f>
        <v>44182</v>
      </c>
      <c r="HT2" s="49">
        <f t="shared" ref="HT2" si="210">HT1</f>
        <v>44183</v>
      </c>
      <c r="HU2" s="49">
        <f t="shared" ref="HU2" si="211">HU1</f>
        <v>44184</v>
      </c>
      <c r="HV2" s="51">
        <f t="shared" ref="HV2" si="212">HV1</f>
        <v>44185</v>
      </c>
      <c r="HW2" s="49">
        <f t="shared" ref="HW2" si="213">HW1</f>
        <v>44186</v>
      </c>
      <c r="HX2" s="49">
        <f t="shared" ref="HX2" si="214">HX1</f>
        <v>44187</v>
      </c>
      <c r="HY2" s="49">
        <f t="shared" ref="HY2" si="215">HY1</f>
        <v>44188</v>
      </c>
      <c r="HZ2" s="49">
        <f t="shared" ref="HZ2" si="216">HZ1</f>
        <v>44189</v>
      </c>
      <c r="IA2" s="49">
        <f t="shared" ref="IA2" si="217">IA1</f>
        <v>44190</v>
      </c>
      <c r="IB2" s="49">
        <f t="shared" ref="IB2" si="218">IB1</f>
        <v>44191</v>
      </c>
      <c r="IC2" s="51">
        <f t="shared" ref="IC2" si="219">IC1</f>
        <v>44192</v>
      </c>
      <c r="ID2" s="49">
        <f t="shared" ref="ID2" si="220">ID1</f>
        <v>44193</v>
      </c>
      <c r="IE2" s="49">
        <f t="shared" ref="IE2" si="221">IE1</f>
        <v>44194</v>
      </c>
      <c r="IF2" s="49">
        <f t="shared" ref="IF2" si="222">IF1</f>
        <v>44195</v>
      </c>
      <c r="IG2" s="49">
        <f t="shared" ref="IG2" si="223">IG1</f>
        <v>44196</v>
      </c>
      <c r="IH2" s="49">
        <f t="shared" ref="IH2" si="224">IH1</f>
        <v>44197</v>
      </c>
      <c r="II2" s="49">
        <f t="shared" ref="II2" si="225">II1</f>
        <v>44198</v>
      </c>
      <c r="IJ2" s="51">
        <f t="shared" ref="IJ2" si="226">IJ1</f>
        <v>44199</v>
      </c>
      <c r="IK2" s="49">
        <f t="shared" ref="IK2" si="227">IK1</f>
        <v>44200</v>
      </c>
      <c r="IL2" s="49">
        <f t="shared" ref="IL2" si="228">IL1</f>
        <v>44201</v>
      </c>
      <c r="IM2" s="49">
        <f t="shared" ref="IM2" si="229">IM1</f>
        <v>44202</v>
      </c>
      <c r="IN2" s="49">
        <f t="shared" ref="IN2" si="230">IN1</f>
        <v>44203</v>
      </c>
      <c r="IO2" s="49">
        <f t="shared" ref="IO2" si="231">IO1</f>
        <v>44204</v>
      </c>
      <c r="IP2" s="49">
        <f t="shared" ref="IP2" si="232">IP1</f>
        <v>44205</v>
      </c>
      <c r="IQ2" s="51">
        <f t="shared" ref="IQ2" si="233">IQ1</f>
        <v>44206</v>
      </c>
      <c r="IR2" s="49">
        <f t="shared" ref="IR2" si="234">IR1</f>
        <v>44207</v>
      </c>
      <c r="IS2" s="49">
        <f t="shared" ref="IS2" si="235">IS1</f>
        <v>44208</v>
      </c>
      <c r="IT2" s="49">
        <f t="shared" ref="IT2" si="236">IT1</f>
        <v>44209</v>
      </c>
      <c r="IU2" s="49">
        <f t="shared" ref="IU2" si="237">IU1</f>
        <v>44210</v>
      </c>
      <c r="IV2" s="49">
        <f t="shared" ref="IV2" si="238">IV1</f>
        <v>44211</v>
      </c>
      <c r="IW2" s="49">
        <f t="shared" ref="IW2" si="239">IW1</f>
        <v>44212</v>
      </c>
      <c r="IX2" s="51">
        <f t="shared" ref="IX2" si="240">IX1</f>
        <v>44213</v>
      </c>
      <c r="IY2" s="49">
        <f t="shared" ref="IY2" si="241">IY1</f>
        <v>44214</v>
      </c>
      <c r="IZ2" s="49">
        <f t="shared" ref="IZ2" si="242">IZ1</f>
        <v>44215</v>
      </c>
      <c r="JA2" s="49">
        <f t="shared" ref="JA2" si="243">JA1</f>
        <v>44216</v>
      </c>
      <c r="JB2" s="49">
        <f t="shared" ref="JB2" si="244">JB1</f>
        <v>44217</v>
      </c>
      <c r="JC2" s="49">
        <f t="shared" ref="JC2" si="245">JC1</f>
        <v>44218</v>
      </c>
      <c r="JD2" s="49">
        <f t="shared" ref="JD2" si="246">JD1</f>
        <v>44219</v>
      </c>
      <c r="JE2" s="51">
        <f t="shared" ref="JE2" si="247">JE1</f>
        <v>44220</v>
      </c>
      <c r="JF2" s="49">
        <f t="shared" ref="JF2" si="248">JF1</f>
        <v>44221</v>
      </c>
      <c r="JG2" s="49">
        <f t="shared" ref="JG2" si="249">JG1</f>
        <v>44222</v>
      </c>
      <c r="JH2" s="49">
        <f t="shared" ref="JH2" si="250">JH1</f>
        <v>44223</v>
      </c>
      <c r="JI2" s="49">
        <f t="shared" ref="JI2" si="251">JI1</f>
        <v>44224</v>
      </c>
      <c r="JJ2" s="49">
        <f t="shared" ref="JJ2" si="252">JJ1</f>
        <v>44225</v>
      </c>
      <c r="JK2" s="49">
        <f t="shared" ref="JK2" si="253">JK1</f>
        <v>44226</v>
      </c>
      <c r="JL2" s="51">
        <f t="shared" ref="JL2" si="254">JL1</f>
        <v>44227</v>
      </c>
      <c r="JM2" s="49">
        <f t="shared" ref="JM2" si="255">JM1</f>
        <v>44228</v>
      </c>
      <c r="JN2" s="49">
        <f t="shared" ref="JN2" si="256">JN1</f>
        <v>44229</v>
      </c>
      <c r="JO2" s="49">
        <f t="shared" ref="JO2" si="257">JO1</f>
        <v>44230</v>
      </c>
      <c r="JP2" s="49">
        <f t="shared" ref="JP2" si="258">JP1</f>
        <v>44231</v>
      </c>
      <c r="JQ2" s="49">
        <f t="shared" ref="JQ2" si="259">JQ1</f>
        <v>44232</v>
      </c>
      <c r="JR2" s="49">
        <f t="shared" ref="JR2" si="260">JR1</f>
        <v>44233</v>
      </c>
      <c r="JS2" s="51">
        <f t="shared" ref="JS2" si="261">JS1</f>
        <v>44234</v>
      </c>
      <c r="JT2" s="49">
        <f t="shared" ref="JT2" si="262">JT1</f>
        <v>44235</v>
      </c>
      <c r="JU2" s="49">
        <f t="shared" ref="JU2" si="263">JU1</f>
        <v>44236</v>
      </c>
      <c r="JV2" s="49">
        <f t="shared" ref="JV2" si="264">JV1</f>
        <v>44237</v>
      </c>
      <c r="JW2" s="49">
        <f t="shared" ref="JW2" si="265">JW1</f>
        <v>44238</v>
      </c>
      <c r="JX2" s="49">
        <f t="shared" ref="JX2" si="266">JX1</f>
        <v>44239</v>
      </c>
      <c r="JY2" s="49">
        <f t="shared" ref="JY2" si="267">JY1</f>
        <v>44240</v>
      </c>
      <c r="JZ2" s="51">
        <f t="shared" ref="JZ2" si="268">JZ1</f>
        <v>44241</v>
      </c>
      <c r="KA2" s="49">
        <f t="shared" ref="KA2" si="269">KA1</f>
        <v>44242</v>
      </c>
      <c r="KB2" s="49">
        <f t="shared" ref="KB2" si="270">KB1</f>
        <v>44243</v>
      </c>
      <c r="KC2" s="49">
        <f t="shared" ref="KC2" si="271">KC1</f>
        <v>44244</v>
      </c>
      <c r="KD2" s="49">
        <f t="shared" ref="KD2" si="272">KD1</f>
        <v>44245</v>
      </c>
      <c r="KE2" s="49">
        <f t="shared" ref="KE2" si="273">KE1</f>
        <v>44246</v>
      </c>
      <c r="KF2" s="49">
        <f t="shared" ref="KF2" si="274">KF1</f>
        <v>44247</v>
      </c>
      <c r="KG2" s="51">
        <f t="shared" ref="KG2" si="275">KG1</f>
        <v>44248</v>
      </c>
      <c r="KH2" s="49">
        <f t="shared" ref="KH2" si="276">KH1</f>
        <v>44249</v>
      </c>
      <c r="KI2" s="49">
        <f t="shared" ref="KI2" si="277">KI1</f>
        <v>44250</v>
      </c>
      <c r="KJ2" s="49">
        <f t="shared" ref="KJ2" si="278">KJ1</f>
        <v>44251</v>
      </c>
      <c r="KK2" s="49">
        <f t="shared" ref="KK2" si="279">KK1</f>
        <v>44252</v>
      </c>
      <c r="KL2" s="49">
        <f t="shared" ref="KL2" si="280">KL1</f>
        <v>44253</v>
      </c>
      <c r="KM2" s="49">
        <f t="shared" ref="KM2" si="281">KM1</f>
        <v>44254</v>
      </c>
      <c r="KN2" s="51">
        <f t="shared" ref="KN2" si="282">KN1</f>
        <v>44255</v>
      </c>
      <c r="KO2" s="49">
        <f t="shared" ref="KO2" si="283">KO1</f>
        <v>44256</v>
      </c>
      <c r="KP2" s="49">
        <f t="shared" ref="KP2" si="284">KP1</f>
        <v>44257</v>
      </c>
      <c r="KQ2" s="49">
        <f t="shared" ref="KQ2" si="285">KQ1</f>
        <v>44258</v>
      </c>
      <c r="KR2" s="49">
        <f t="shared" ref="KR2" si="286">KR1</f>
        <v>44259</v>
      </c>
      <c r="KS2" s="49">
        <f t="shared" ref="KS2" si="287">KS1</f>
        <v>44260</v>
      </c>
      <c r="KT2" s="49">
        <f t="shared" ref="KT2" si="288">KT1</f>
        <v>44261</v>
      </c>
      <c r="KU2" s="51">
        <f t="shared" ref="KU2" si="289">KU1</f>
        <v>44262</v>
      </c>
      <c r="KV2" s="49">
        <f t="shared" ref="KV2" si="290">KV1</f>
        <v>44263</v>
      </c>
      <c r="KW2" s="49">
        <f t="shared" ref="KW2" si="291">KW1</f>
        <v>44264</v>
      </c>
      <c r="KX2" s="49">
        <f t="shared" ref="KX2" si="292">KX1</f>
        <v>44265</v>
      </c>
      <c r="KY2" s="49">
        <f t="shared" ref="KY2" si="293">KY1</f>
        <v>44266</v>
      </c>
      <c r="KZ2" s="49">
        <f t="shared" ref="KZ2" si="294">KZ1</f>
        <v>44267</v>
      </c>
      <c r="LA2" s="49">
        <f t="shared" ref="LA2" si="295">LA1</f>
        <v>44268</v>
      </c>
      <c r="LB2" s="51">
        <f t="shared" ref="LB2" si="296">LB1</f>
        <v>44269</v>
      </c>
      <c r="LC2" s="49">
        <f t="shared" ref="LC2" si="297">LC1</f>
        <v>44270</v>
      </c>
      <c r="LD2" s="49">
        <f t="shared" ref="LD2" si="298">LD1</f>
        <v>44271</v>
      </c>
      <c r="LE2" s="49">
        <f t="shared" ref="LE2" si="299">LE1</f>
        <v>44272</v>
      </c>
      <c r="LF2" s="49">
        <f t="shared" ref="LF2" si="300">LF1</f>
        <v>44273</v>
      </c>
      <c r="LG2" s="49">
        <f t="shared" ref="LG2" si="301">LG1</f>
        <v>44274</v>
      </c>
      <c r="LH2" s="49">
        <f t="shared" ref="LH2" si="302">LH1</f>
        <v>44275</v>
      </c>
      <c r="LI2" s="51">
        <f t="shared" ref="LI2" si="303">LI1</f>
        <v>44276</v>
      </c>
      <c r="LJ2" s="49">
        <f t="shared" ref="LJ2" si="304">LJ1</f>
        <v>44277</v>
      </c>
      <c r="LK2" s="49">
        <f t="shared" ref="LK2" si="305">LK1</f>
        <v>44278</v>
      </c>
      <c r="LL2" s="49">
        <f t="shared" ref="LL2" si="306">LL1</f>
        <v>44279</v>
      </c>
      <c r="LM2" s="49">
        <f t="shared" ref="LM2" si="307">LM1</f>
        <v>44280</v>
      </c>
      <c r="LN2" s="49">
        <f t="shared" ref="LN2" si="308">LN1</f>
        <v>44281</v>
      </c>
      <c r="LO2" s="49">
        <f t="shared" ref="LO2" si="309">LO1</f>
        <v>44282</v>
      </c>
      <c r="LP2" s="51">
        <f t="shared" ref="LP2" si="310">LP1</f>
        <v>44283</v>
      </c>
      <c r="LQ2" s="49">
        <f t="shared" ref="LQ2" si="311">LQ1</f>
        <v>44284</v>
      </c>
      <c r="LR2" s="49">
        <f t="shared" ref="LR2" si="312">LR1</f>
        <v>44285</v>
      </c>
      <c r="LS2" s="49">
        <f t="shared" ref="LS2" si="313">LS1</f>
        <v>44286</v>
      </c>
      <c r="LT2" s="49">
        <f t="shared" ref="LT2" si="314">LT1</f>
        <v>44287</v>
      </c>
      <c r="LU2" s="49">
        <f t="shared" ref="LU2" si="315">LU1</f>
        <v>44288</v>
      </c>
      <c r="LV2" s="49">
        <f t="shared" ref="LV2" si="316">LV1</f>
        <v>44289</v>
      </c>
      <c r="LW2" s="51">
        <f t="shared" ref="LW2" si="317">LW1</f>
        <v>44290</v>
      </c>
    </row>
    <row r="3" spans="1:335" ht="15" customHeight="1" x14ac:dyDescent="0.25">
      <c r="A3" s="92"/>
      <c r="B3" s="92"/>
      <c r="C3" s="92"/>
      <c r="D3" s="92"/>
      <c r="E3" s="92"/>
      <c r="F3" s="39"/>
      <c r="G3" s="39"/>
      <c r="H3" s="39"/>
      <c r="I3" s="39"/>
      <c r="J3" s="39"/>
      <c r="K3" s="39"/>
      <c r="L3" s="39"/>
      <c r="M3" s="39"/>
      <c r="N3" s="39"/>
      <c r="O3" s="27"/>
      <c r="P3" s="91"/>
      <c r="Q3" s="105"/>
      <c r="R3" s="24" t="s">
        <v>150</v>
      </c>
      <c r="S3" s="38"/>
      <c r="T3" s="38" t="s">
        <v>38</v>
      </c>
      <c r="U3" s="38" t="s">
        <v>38</v>
      </c>
      <c r="V3" s="38"/>
      <c r="W3" s="38" t="s">
        <v>38</v>
      </c>
      <c r="X3" s="38"/>
      <c r="Y3" s="24"/>
      <c r="Z3" s="38"/>
      <c r="AA3" s="38" t="s">
        <v>38</v>
      </c>
      <c r="AB3" s="38"/>
      <c r="AC3" s="38" t="s">
        <v>38</v>
      </c>
      <c r="AD3" s="38" t="s">
        <v>38</v>
      </c>
      <c r="AE3" s="38"/>
      <c r="AF3" s="24"/>
      <c r="AG3" s="38"/>
      <c r="AH3" s="38" t="s">
        <v>38</v>
      </c>
      <c r="AI3" s="38"/>
      <c r="AJ3" s="38" t="s">
        <v>38</v>
      </c>
      <c r="AK3" s="38" t="s">
        <v>38</v>
      </c>
      <c r="AL3" s="38"/>
      <c r="AM3" s="24"/>
      <c r="AN3" s="38"/>
      <c r="AO3" s="38" t="s">
        <v>38</v>
      </c>
      <c r="AP3" s="38"/>
      <c r="AQ3" s="38" t="s">
        <v>38</v>
      </c>
      <c r="AR3" s="38" t="s">
        <v>38</v>
      </c>
      <c r="AS3" s="38"/>
      <c r="AT3" s="24"/>
      <c r="AU3" s="38"/>
      <c r="AV3" s="38" t="s">
        <v>38</v>
      </c>
      <c r="AW3" s="38" t="s">
        <v>266</v>
      </c>
      <c r="AX3" s="38" t="s">
        <v>38</v>
      </c>
      <c r="AY3" s="38" t="s">
        <v>38</v>
      </c>
      <c r="AZ3" s="38"/>
      <c r="BA3" s="24"/>
      <c r="BB3" s="38"/>
      <c r="BC3" s="38" t="s">
        <v>38</v>
      </c>
      <c r="BD3" s="38"/>
      <c r="BE3" s="38" t="s">
        <v>38</v>
      </c>
      <c r="BF3" s="38" t="s">
        <v>38</v>
      </c>
      <c r="BG3" s="38"/>
      <c r="BH3" s="24"/>
      <c r="BI3" s="38"/>
      <c r="BJ3" s="38" t="s">
        <v>38</v>
      </c>
      <c r="BK3" s="38"/>
      <c r="BL3" s="38" t="s">
        <v>38</v>
      </c>
      <c r="BM3" s="38"/>
      <c r="BN3" s="38"/>
      <c r="BO3" s="24" t="s">
        <v>150</v>
      </c>
      <c r="BP3" s="38" t="s">
        <v>383</v>
      </c>
      <c r="BQ3" s="38" t="s">
        <v>55</v>
      </c>
      <c r="BR3" s="38" t="s">
        <v>383</v>
      </c>
      <c r="BS3" s="38" t="s">
        <v>150</v>
      </c>
      <c r="BT3" s="38" t="s">
        <v>383</v>
      </c>
      <c r="BU3" s="38" t="s">
        <v>383</v>
      </c>
      <c r="BV3" s="38" t="s">
        <v>150</v>
      </c>
      <c r="BW3" s="24"/>
      <c r="BX3" s="38" t="s">
        <v>383</v>
      </c>
      <c r="BY3" s="38" t="s">
        <v>383</v>
      </c>
      <c r="BZ3" s="38" t="s">
        <v>383</v>
      </c>
      <c r="CA3" s="38" t="s">
        <v>150</v>
      </c>
      <c r="CB3" s="38" t="s">
        <v>383</v>
      </c>
      <c r="CC3" s="38"/>
      <c r="CD3" s="38" t="s">
        <v>150</v>
      </c>
      <c r="CE3" s="24"/>
      <c r="CF3" s="38"/>
      <c r="CG3" s="38"/>
      <c r="CH3" s="38"/>
      <c r="CI3" s="38"/>
      <c r="CJ3" s="38"/>
      <c r="CK3" s="38"/>
      <c r="CL3" s="24"/>
      <c r="CM3" s="25"/>
      <c r="CN3" s="25" t="s">
        <v>38</v>
      </c>
      <c r="CO3" s="25"/>
      <c r="CP3" s="38" t="s">
        <v>38</v>
      </c>
      <c r="CQ3" s="38" t="s">
        <v>38</v>
      </c>
      <c r="CR3" s="38"/>
      <c r="CS3" s="24"/>
      <c r="CT3" s="38"/>
      <c r="CU3" s="38" t="s">
        <v>38</v>
      </c>
      <c r="CV3" s="38"/>
      <c r="CW3" s="38" t="s">
        <v>38</v>
      </c>
      <c r="CX3" s="38" t="s">
        <v>38</v>
      </c>
      <c r="CY3" s="38"/>
      <c r="CZ3" s="24"/>
      <c r="DA3" s="38"/>
      <c r="DB3" s="38" t="s">
        <v>38</v>
      </c>
      <c r="DC3" s="38"/>
      <c r="DD3" s="38" t="s">
        <v>38</v>
      </c>
      <c r="DE3" s="38" t="s">
        <v>38</v>
      </c>
      <c r="DF3" s="38"/>
      <c r="DG3" s="24"/>
      <c r="DH3" s="38"/>
      <c r="DI3" s="38" t="s">
        <v>38</v>
      </c>
      <c r="DJ3" s="38"/>
      <c r="DK3" s="38" t="s">
        <v>38</v>
      </c>
      <c r="DL3" s="38" t="s">
        <v>38</v>
      </c>
      <c r="DM3" s="38"/>
      <c r="DN3" s="24"/>
      <c r="DO3" s="38"/>
      <c r="DP3" s="38" t="s">
        <v>38</v>
      </c>
      <c r="DQ3" s="38"/>
      <c r="DR3" s="38" t="s">
        <v>38</v>
      </c>
      <c r="DS3" s="38" t="s">
        <v>38</v>
      </c>
      <c r="DT3" s="38"/>
      <c r="DU3" s="24"/>
      <c r="DV3" s="38"/>
      <c r="DW3" s="38" t="s">
        <v>38</v>
      </c>
      <c r="DX3" s="38"/>
      <c r="DY3" s="38" t="s">
        <v>38</v>
      </c>
      <c r="DZ3" s="38" t="s">
        <v>38</v>
      </c>
      <c r="EA3" s="38"/>
      <c r="EB3" s="24" t="s">
        <v>47</v>
      </c>
      <c r="EC3" s="38"/>
      <c r="ED3" s="38" t="s">
        <v>38</v>
      </c>
      <c r="EE3" s="38"/>
      <c r="EF3" s="38" t="s">
        <v>38</v>
      </c>
      <c r="EG3" s="38">
        <v>12</v>
      </c>
      <c r="EH3" s="38" t="s">
        <v>47</v>
      </c>
      <c r="EI3" s="24">
        <v>16</v>
      </c>
      <c r="EJ3" s="38"/>
      <c r="EK3" s="38" t="s">
        <v>38</v>
      </c>
      <c r="EL3" s="38"/>
      <c r="EM3" s="38" t="s">
        <v>38</v>
      </c>
      <c r="EN3" s="38" t="s">
        <v>48</v>
      </c>
      <c r="EO3" s="38" t="s">
        <v>47</v>
      </c>
      <c r="EP3" s="24">
        <v>15</v>
      </c>
      <c r="EQ3" s="38"/>
      <c r="ER3" s="38"/>
      <c r="ES3" s="38"/>
      <c r="ET3" s="38"/>
      <c r="EU3" s="38" t="s">
        <v>38</v>
      </c>
      <c r="EV3" s="38"/>
      <c r="EW3" s="24"/>
      <c r="EX3" s="38" t="s">
        <v>38</v>
      </c>
      <c r="EY3" s="38"/>
      <c r="EZ3" s="38"/>
      <c r="FA3" s="38" t="s">
        <v>38</v>
      </c>
      <c r="FB3" s="38" t="s">
        <v>38</v>
      </c>
      <c r="FC3" s="38" t="s">
        <v>121</v>
      </c>
      <c r="FD3" s="24"/>
      <c r="FE3" s="38"/>
      <c r="FF3" s="38" t="s">
        <v>38</v>
      </c>
      <c r="FG3" s="38"/>
      <c r="FH3" s="38" t="s">
        <v>38</v>
      </c>
      <c r="FI3" s="38" t="s">
        <v>38</v>
      </c>
      <c r="FJ3" s="38">
        <v>15</v>
      </c>
      <c r="FK3" s="24"/>
      <c r="FL3" s="38"/>
      <c r="FM3" s="38" t="s">
        <v>38</v>
      </c>
      <c r="FN3" s="38"/>
      <c r="FO3" s="38" t="s">
        <v>38</v>
      </c>
      <c r="FP3" s="38" t="s">
        <v>38</v>
      </c>
      <c r="FQ3" s="38">
        <v>15</v>
      </c>
      <c r="FR3" s="24"/>
      <c r="FS3" s="38"/>
      <c r="FT3" s="38" t="s">
        <v>38</v>
      </c>
      <c r="FU3" s="38"/>
      <c r="FV3" s="38" t="s">
        <v>38</v>
      </c>
      <c r="FW3" s="38" t="s">
        <v>38</v>
      </c>
      <c r="FX3" s="38" t="s">
        <v>47</v>
      </c>
      <c r="FY3" s="24">
        <v>14</v>
      </c>
      <c r="FZ3" s="38"/>
      <c r="GA3" s="38" t="s">
        <v>38</v>
      </c>
      <c r="GB3" s="38"/>
      <c r="GC3" s="38" t="s">
        <v>38</v>
      </c>
      <c r="GD3" s="38" t="s">
        <v>47</v>
      </c>
      <c r="GE3" s="38">
        <v>13</v>
      </c>
      <c r="GF3" s="24">
        <v>14</v>
      </c>
      <c r="GG3" s="38"/>
      <c r="GH3" s="38" t="s">
        <v>38</v>
      </c>
      <c r="GI3" s="38"/>
      <c r="GJ3" s="38" t="s">
        <v>38</v>
      </c>
      <c r="GK3" s="38" t="s">
        <v>47</v>
      </c>
      <c r="GL3" s="38">
        <v>15</v>
      </c>
      <c r="GM3" s="24"/>
      <c r="GN3" s="38"/>
      <c r="GO3" s="38"/>
      <c r="GP3" s="38"/>
      <c r="GQ3" s="38"/>
      <c r="GR3" s="38"/>
      <c r="GS3" s="38"/>
      <c r="GT3" s="24">
        <v>15</v>
      </c>
      <c r="GU3" s="38"/>
      <c r="GV3" s="38" t="s">
        <v>47</v>
      </c>
      <c r="GW3" s="38"/>
      <c r="GX3" s="38" t="s">
        <v>38</v>
      </c>
      <c r="GY3" s="38" t="s">
        <v>38</v>
      </c>
      <c r="GZ3" s="38"/>
      <c r="HA3" s="24" t="s">
        <v>47</v>
      </c>
      <c r="HB3" s="38"/>
      <c r="HC3" s="38" t="s">
        <v>38</v>
      </c>
      <c r="HD3" s="38" t="s">
        <v>38</v>
      </c>
      <c r="HE3" s="38"/>
      <c r="HF3" s="38" t="s">
        <v>38</v>
      </c>
      <c r="HG3" s="38">
        <v>14</v>
      </c>
      <c r="HH3" s="24"/>
      <c r="HI3" s="38"/>
      <c r="HJ3" s="38" t="s">
        <v>38</v>
      </c>
      <c r="HK3" s="38"/>
      <c r="HL3" s="38" t="s">
        <v>38</v>
      </c>
      <c r="HM3" s="38" t="s">
        <v>38</v>
      </c>
      <c r="HN3" s="38"/>
      <c r="HO3" s="24"/>
      <c r="HP3" s="38"/>
      <c r="HQ3" s="38" t="s">
        <v>38</v>
      </c>
      <c r="HR3" s="38"/>
      <c r="HS3" s="38" t="s">
        <v>38</v>
      </c>
      <c r="HT3" s="38" t="s">
        <v>38</v>
      </c>
      <c r="HU3" s="38">
        <v>10</v>
      </c>
      <c r="HV3" s="24"/>
      <c r="HW3" s="38"/>
      <c r="HX3" s="38" t="s">
        <v>38</v>
      </c>
      <c r="HY3" s="38"/>
      <c r="HZ3" s="38" t="s">
        <v>38</v>
      </c>
      <c r="IA3" s="38" t="s">
        <v>38</v>
      </c>
      <c r="IB3" s="38">
        <v>11</v>
      </c>
      <c r="IC3" s="24" t="s">
        <v>47</v>
      </c>
      <c r="ID3" s="38"/>
      <c r="IE3" s="38" t="s">
        <v>38</v>
      </c>
      <c r="IF3" s="38" t="s">
        <v>40</v>
      </c>
      <c r="IG3" s="38" t="s">
        <v>38</v>
      </c>
      <c r="IH3" s="38" t="s">
        <v>38</v>
      </c>
      <c r="II3" s="38">
        <v>11</v>
      </c>
      <c r="IJ3" s="24">
        <v>13</v>
      </c>
      <c r="IK3" s="38"/>
      <c r="IL3" s="38" t="s">
        <v>38</v>
      </c>
      <c r="IM3" s="38"/>
      <c r="IN3" s="38" t="s">
        <v>38</v>
      </c>
      <c r="IO3" s="38" t="s">
        <v>38</v>
      </c>
      <c r="IP3" s="38" t="s">
        <v>40</v>
      </c>
      <c r="IQ3" s="24">
        <v>12</v>
      </c>
      <c r="IR3" s="38"/>
      <c r="IS3" s="38" t="s">
        <v>38</v>
      </c>
      <c r="IT3" s="38"/>
      <c r="IU3" s="38" t="s">
        <v>38</v>
      </c>
      <c r="IV3" s="38"/>
      <c r="IW3" s="38" t="s">
        <v>45</v>
      </c>
      <c r="IX3" s="24" t="s">
        <v>45</v>
      </c>
      <c r="IY3" s="38"/>
      <c r="IZ3" s="38"/>
      <c r="JA3" s="38"/>
      <c r="JB3" s="38" t="s">
        <v>38</v>
      </c>
      <c r="JC3" s="38" t="s">
        <v>44</v>
      </c>
      <c r="JD3" s="38" t="s">
        <v>44</v>
      </c>
      <c r="JE3" s="24"/>
      <c r="JF3" s="38" t="s">
        <v>38</v>
      </c>
      <c r="JG3" s="38" t="s">
        <v>38</v>
      </c>
      <c r="JH3" s="38"/>
      <c r="JI3" s="38" t="s">
        <v>38</v>
      </c>
      <c r="JJ3" s="38" t="s">
        <v>38</v>
      </c>
      <c r="JK3" s="38"/>
      <c r="JL3" s="24" t="s">
        <v>43</v>
      </c>
      <c r="JM3" s="38"/>
      <c r="JN3" s="38" t="s">
        <v>38</v>
      </c>
      <c r="JO3" s="38" t="s">
        <v>43</v>
      </c>
      <c r="JP3" s="38" t="s">
        <v>38</v>
      </c>
      <c r="JQ3" s="38" t="s">
        <v>38</v>
      </c>
      <c r="JR3" s="38" t="s">
        <v>43</v>
      </c>
      <c r="JS3" s="24" t="s">
        <v>41</v>
      </c>
      <c r="JT3" s="38" t="s">
        <v>40</v>
      </c>
      <c r="JU3" s="38" t="s">
        <v>38</v>
      </c>
      <c r="JV3" s="38"/>
      <c r="JW3" s="38" t="s">
        <v>38</v>
      </c>
      <c r="JX3" s="38" t="s">
        <v>38</v>
      </c>
      <c r="JY3" s="38">
        <v>12</v>
      </c>
      <c r="JZ3" s="24">
        <v>12</v>
      </c>
      <c r="KA3" s="38"/>
      <c r="KB3" s="38" t="s">
        <v>38</v>
      </c>
      <c r="KC3" s="38"/>
      <c r="KD3" s="38" t="s">
        <v>38</v>
      </c>
      <c r="KE3" s="38" t="s">
        <v>38</v>
      </c>
      <c r="KF3" s="38" t="s">
        <v>38</v>
      </c>
      <c r="KG3" s="24">
        <v>11</v>
      </c>
      <c r="KH3" s="38"/>
      <c r="KI3" s="38" t="s">
        <v>38</v>
      </c>
      <c r="KJ3" s="38"/>
      <c r="KK3" s="38" t="s">
        <v>38</v>
      </c>
      <c r="KL3" s="38" t="s">
        <v>38</v>
      </c>
      <c r="KM3" s="38">
        <v>13</v>
      </c>
      <c r="KN3" s="24">
        <v>13</v>
      </c>
      <c r="KO3" s="38"/>
      <c r="KP3" s="38" t="s">
        <v>38</v>
      </c>
      <c r="KQ3" s="38"/>
      <c r="KR3" s="38">
        <v>10</v>
      </c>
      <c r="KS3" s="38"/>
      <c r="KT3" s="38"/>
      <c r="KU3" s="26" t="s">
        <v>39</v>
      </c>
      <c r="KV3" s="38"/>
      <c r="KW3" s="38" t="s">
        <v>38</v>
      </c>
      <c r="KX3" s="38"/>
      <c r="KY3" s="38" t="s">
        <v>38</v>
      </c>
      <c r="KZ3" s="38" t="s">
        <v>38</v>
      </c>
      <c r="LA3" s="38"/>
      <c r="LB3" s="24"/>
      <c r="LC3" s="38"/>
      <c r="LD3" s="38"/>
      <c r="LE3" s="38"/>
      <c r="LF3" s="38"/>
      <c r="LG3" s="38"/>
      <c r="LH3" s="38"/>
      <c r="LI3" s="24"/>
      <c r="LJ3" s="38"/>
      <c r="LK3" s="38"/>
      <c r="LL3" s="38"/>
      <c r="LM3" s="38"/>
      <c r="LN3" s="38"/>
      <c r="LO3" s="38"/>
      <c r="LP3" s="24"/>
      <c r="LQ3" s="38"/>
      <c r="LR3" s="38"/>
      <c r="LS3" s="38"/>
      <c r="LT3" s="38"/>
      <c r="LU3" s="38"/>
      <c r="LV3" s="38"/>
      <c r="LW3" s="24"/>
    </row>
    <row r="4" spans="1:335" x14ac:dyDescent="0.25">
      <c r="A4" s="11" t="s">
        <v>147</v>
      </c>
      <c r="B4" s="11"/>
      <c r="C4" s="11"/>
      <c r="D4" s="11"/>
      <c r="E4" s="11"/>
      <c r="F4" s="13" t="s">
        <v>149</v>
      </c>
      <c r="G4" s="40" t="s">
        <v>148</v>
      </c>
      <c r="H4" s="40" t="s">
        <v>120</v>
      </c>
      <c r="I4" s="11" t="s">
        <v>41</v>
      </c>
      <c r="J4" s="11" t="s">
        <v>119</v>
      </c>
      <c r="K4" s="11" t="s">
        <v>42</v>
      </c>
      <c r="L4" s="11" t="s">
        <v>118</v>
      </c>
      <c r="M4" s="11" t="s">
        <v>47</v>
      </c>
      <c r="N4" s="11" t="s">
        <v>101</v>
      </c>
      <c r="O4" s="12" t="s">
        <v>46</v>
      </c>
      <c r="P4" s="11"/>
      <c r="Q4" s="12"/>
      <c r="R4" s="12"/>
      <c r="S4" s="11"/>
      <c r="T4" s="11"/>
      <c r="U4" s="11"/>
      <c r="V4" s="11"/>
      <c r="W4" s="11"/>
      <c r="X4" s="11"/>
      <c r="Y4" s="12"/>
      <c r="Z4" s="11"/>
      <c r="AA4" s="11"/>
      <c r="AB4" s="11"/>
      <c r="AC4" s="11"/>
      <c r="AD4" s="11"/>
      <c r="AE4" s="11"/>
      <c r="AF4" s="12"/>
      <c r="AG4" s="11"/>
      <c r="AH4" s="11"/>
      <c r="AI4" s="11"/>
      <c r="AJ4" s="11"/>
      <c r="AK4" s="11"/>
      <c r="AL4" s="11"/>
      <c r="AM4" s="12"/>
      <c r="AN4" s="11"/>
      <c r="AO4" s="11"/>
      <c r="AP4" s="11"/>
      <c r="AQ4" s="11"/>
      <c r="AR4" s="11"/>
      <c r="AS4" s="11"/>
      <c r="AT4" s="12"/>
      <c r="AU4" s="11"/>
      <c r="AV4" s="11"/>
      <c r="AW4" s="11"/>
      <c r="AX4" s="11"/>
      <c r="AY4" s="11"/>
      <c r="AZ4" s="11"/>
      <c r="BA4" s="12"/>
      <c r="BB4" s="11"/>
      <c r="BC4" s="11"/>
      <c r="BD4" s="11"/>
      <c r="BE4" s="11"/>
      <c r="BF4" s="11"/>
      <c r="BG4" s="11"/>
      <c r="BH4" s="12"/>
      <c r="BI4" s="11"/>
      <c r="BJ4" s="11"/>
      <c r="BK4" s="11"/>
      <c r="BL4" s="11"/>
      <c r="BM4" s="11"/>
      <c r="BN4" s="11"/>
      <c r="BO4" s="12"/>
      <c r="BP4" s="11"/>
      <c r="BQ4" s="11"/>
      <c r="BR4" s="11"/>
      <c r="BS4" s="11"/>
      <c r="BT4" s="11"/>
      <c r="BU4" s="11"/>
      <c r="BV4" s="11"/>
      <c r="BW4" s="12"/>
      <c r="BX4" s="11"/>
      <c r="BY4" s="11"/>
      <c r="BZ4" s="11"/>
      <c r="CA4" s="11"/>
      <c r="CB4" s="11"/>
      <c r="CC4" s="11"/>
      <c r="CD4" s="11"/>
      <c r="CE4" s="12"/>
      <c r="CF4" s="11"/>
      <c r="CG4" s="11"/>
      <c r="CH4" s="11"/>
      <c r="CI4" s="11"/>
      <c r="CJ4" s="11"/>
      <c r="CK4" s="11"/>
      <c r="CL4" s="12"/>
      <c r="CM4" s="11"/>
      <c r="CN4" s="11"/>
      <c r="CO4" s="11"/>
      <c r="CP4" s="11"/>
      <c r="CQ4" s="11"/>
      <c r="CR4" s="11"/>
      <c r="CS4" s="12"/>
      <c r="CT4" s="11"/>
      <c r="CU4" s="11"/>
      <c r="CV4" s="11"/>
      <c r="CW4" s="11"/>
      <c r="CX4" s="11"/>
      <c r="CY4" s="11"/>
      <c r="CZ4" s="12"/>
      <c r="DA4" s="11"/>
      <c r="DB4" s="11"/>
      <c r="DC4" s="11"/>
      <c r="DD4" s="11"/>
      <c r="DE4" s="11"/>
      <c r="DF4" s="11"/>
      <c r="DG4" s="12"/>
      <c r="DH4" s="11"/>
      <c r="DI4" s="11"/>
      <c r="DJ4" s="11"/>
      <c r="DK4" s="11"/>
      <c r="DL4" s="11"/>
      <c r="DM4" s="11"/>
      <c r="DN4" s="12"/>
      <c r="DO4" s="11"/>
      <c r="DP4" s="11"/>
      <c r="DQ4" s="11"/>
      <c r="DR4" s="11"/>
      <c r="DS4" s="11"/>
      <c r="DT4" s="11"/>
      <c r="DU4" s="12"/>
      <c r="DV4" s="11"/>
      <c r="DW4" s="11"/>
      <c r="DX4" s="11"/>
      <c r="DY4" s="11"/>
      <c r="DZ4" s="11"/>
      <c r="EA4" s="11"/>
      <c r="EB4" s="12"/>
      <c r="EC4" s="11"/>
      <c r="ED4" s="11"/>
      <c r="EE4" s="11"/>
      <c r="EF4" s="11"/>
      <c r="EG4" s="11"/>
      <c r="EH4" s="11"/>
      <c r="EI4" s="12"/>
      <c r="EJ4" s="11"/>
      <c r="EK4" s="11"/>
      <c r="EL4" s="11"/>
      <c r="EM4" s="11"/>
      <c r="EN4" s="11"/>
      <c r="EO4" s="11"/>
      <c r="EP4" s="12"/>
      <c r="EQ4" s="11"/>
      <c r="ER4" s="11"/>
      <c r="ES4" s="11"/>
      <c r="ET4" s="11"/>
      <c r="EU4" s="11"/>
      <c r="EV4" s="11"/>
      <c r="EW4" s="12"/>
      <c r="EX4" s="11"/>
      <c r="EY4" s="11"/>
      <c r="EZ4" s="11"/>
      <c r="FA4" s="11"/>
      <c r="FB4" s="11"/>
      <c r="FC4" s="11"/>
      <c r="FD4" s="12"/>
      <c r="FE4" s="11"/>
      <c r="FF4" s="11"/>
      <c r="FG4" s="11"/>
      <c r="FH4" s="11"/>
      <c r="FI4" s="11"/>
      <c r="FJ4" s="11"/>
      <c r="FK4" s="12"/>
      <c r="FL4" s="11"/>
      <c r="FM4" s="11"/>
      <c r="FN4" s="11"/>
      <c r="FO4" s="11"/>
      <c r="FP4" s="11"/>
      <c r="FQ4" s="11"/>
      <c r="FR4" s="12"/>
      <c r="FS4" s="11"/>
      <c r="FT4" s="11"/>
      <c r="FU4" s="11"/>
      <c r="FV4" s="11"/>
      <c r="FW4" s="11"/>
      <c r="FX4" s="11"/>
      <c r="FY4" s="12"/>
      <c r="FZ4" s="11"/>
      <c r="GA4" s="11"/>
      <c r="GB4" s="11"/>
      <c r="GC4" s="11"/>
      <c r="GD4" s="11"/>
      <c r="GE4" s="11"/>
      <c r="GF4" s="12"/>
      <c r="GG4" s="11"/>
      <c r="GH4" s="11"/>
      <c r="GI4" s="11"/>
      <c r="GJ4" s="11"/>
      <c r="GK4" s="11"/>
      <c r="GL4" s="11"/>
      <c r="GM4" s="12"/>
      <c r="GN4" s="11"/>
      <c r="GO4" s="11"/>
      <c r="GP4" s="11"/>
      <c r="GQ4" s="11"/>
      <c r="GR4" s="11"/>
      <c r="GS4" s="11"/>
      <c r="GT4" s="12"/>
      <c r="GU4" s="11"/>
      <c r="GV4" s="11"/>
      <c r="GW4" s="11"/>
      <c r="GX4" s="11"/>
      <c r="GY4" s="11"/>
      <c r="GZ4" s="11"/>
      <c r="HA4" s="12"/>
      <c r="HB4" s="11"/>
      <c r="HC4" s="11"/>
      <c r="HD4" s="11"/>
      <c r="HE4" s="11"/>
      <c r="HF4" s="11"/>
      <c r="HG4" s="11"/>
      <c r="HH4" s="12"/>
      <c r="HI4" s="11"/>
      <c r="HJ4" s="11"/>
      <c r="HK4" s="11"/>
      <c r="HL4" s="11"/>
      <c r="HM4" s="11"/>
      <c r="HN4" s="11"/>
      <c r="HO4" s="12"/>
      <c r="HP4" s="11"/>
      <c r="HQ4" s="11"/>
      <c r="HR4" s="11"/>
      <c r="HS4" s="11"/>
      <c r="HT4" s="11"/>
      <c r="HU4" s="11"/>
      <c r="HV4" s="12"/>
      <c r="HW4" s="11"/>
      <c r="HX4" s="11"/>
      <c r="HY4" s="11"/>
      <c r="HZ4" s="11"/>
      <c r="IA4" s="11"/>
      <c r="IB4" s="11"/>
      <c r="IC4" s="12"/>
      <c r="ID4" s="11"/>
      <c r="IE4" s="11"/>
      <c r="IF4" s="11"/>
      <c r="IG4" s="11"/>
      <c r="IH4" s="11"/>
      <c r="II4" s="11"/>
      <c r="IJ4" s="12"/>
      <c r="IK4" s="11"/>
      <c r="IL4" s="11"/>
      <c r="IM4" s="11"/>
      <c r="IN4" s="11"/>
      <c r="IO4" s="11"/>
      <c r="IP4" s="11"/>
      <c r="IQ4" s="12"/>
      <c r="IR4" s="11"/>
      <c r="IS4" s="11"/>
      <c r="IT4" s="11"/>
      <c r="IU4" s="11"/>
      <c r="IV4" s="11"/>
      <c r="IW4" s="11"/>
      <c r="IX4" s="12"/>
      <c r="IY4" s="11"/>
      <c r="IZ4" s="11"/>
      <c r="JA4" s="11"/>
      <c r="JB4" s="11"/>
      <c r="JC4" s="11"/>
      <c r="JD4" s="11"/>
      <c r="JE4" s="12"/>
      <c r="JF4" s="11"/>
      <c r="JG4" s="11"/>
      <c r="JH4" s="11"/>
      <c r="JI4" s="11"/>
      <c r="JJ4" s="11"/>
      <c r="JK4" s="11"/>
      <c r="JL4" s="12"/>
      <c r="JM4" s="11"/>
      <c r="JN4" s="11"/>
      <c r="JO4" s="11"/>
      <c r="JP4" s="11"/>
      <c r="JQ4" s="11"/>
      <c r="JR4" s="11"/>
      <c r="JS4" s="12"/>
      <c r="JT4" s="11"/>
      <c r="JU4" s="11"/>
      <c r="JV4" s="11"/>
      <c r="JW4" s="11"/>
      <c r="JX4" s="11"/>
      <c r="JY4" s="11"/>
      <c r="JZ4" s="12"/>
      <c r="KA4" s="11"/>
      <c r="KB4" s="11"/>
      <c r="KC4" s="11"/>
      <c r="KD4" s="11"/>
      <c r="KE4" s="11"/>
      <c r="KF4" s="11"/>
      <c r="KG4" s="12"/>
      <c r="KH4" s="11"/>
      <c r="KI4" s="11"/>
      <c r="KJ4" s="11"/>
      <c r="KK4" s="11"/>
      <c r="KL4" s="11"/>
      <c r="KM4" s="11"/>
      <c r="KN4" s="12"/>
      <c r="KO4" s="11"/>
      <c r="KP4" s="11"/>
      <c r="KQ4" s="11"/>
      <c r="KR4" s="11"/>
      <c r="KS4" s="11"/>
      <c r="KT4" s="11"/>
      <c r="KU4" s="12"/>
      <c r="KV4" s="11"/>
      <c r="KW4" s="11"/>
      <c r="KX4" s="11"/>
      <c r="KY4" s="11"/>
      <c r="KZ4" s="11"/>
      <c r="LA4" s="11"/>
      <c r="LB4" s="12"/>
      <c r="LC4" s="11"/>
      <c r="LD4" s="11"/>
      <c r="LE4" s="11"/>
      <c r="LF4" s="11"/>
      <c r="LG4" s="11"/>
      <c r="LH4" s="11"/>
      <c r="LI4" s="12"/>
      <c r="LJ4" s="11"/>
      <c r="LK4" s="11"/>
      <c r="LL4" s="11"/>
      <c r="LM4" s="11"/>
      <c r="LN4" s="11"/>
      <c r="LO4" s="11"/>
      <c r="LP4" s="12"/>
      <c r="LQ4" s="11"/>
      <c r="LR4" s="11"/>
      <c r="LS4" s="11"/>
      <c r="LT4" s="11"/>
      <c r="LU4" s="11"/>
      <c r="LV4" s="11"/>
      <c r="LW4" s="12"/>
    </row>
    <row r="5" spans="1:335" hidden="1" x14ac:dyDescent="0.25">
      <c r="A5" s="11"/>
      <c r="B5" s="11"/>
      <c r="C5" s="11"/>
      <c r="D5" s="11"/>
      <c r="E5" s="11"/>
      <c r="F5" s="33">
        <v>37257</v>
      </c>
      <c r="G5" s="32">
        <v>37987</v>
      </c>
      <c r="H5" s="32">
        <v>38718</v>
      </c>
      <c r="I5" s="32">
        <v>39083</v>
      </c>
      <c r="J5" s="32">
        <v>39448</v>
      </c>
      <c r="K5" s="32">
        <v>39814</v>
      </c>
      <c r="L5" s="32">
        <v>40179</v>
      </c>
      <c r="M5" s="11"/>
      <c r="N5" s="11"/>
      <c r="O5" s="12"/>
      <c r="P5" s="11"/>
      <c r="Q5" s="12"/>
      <c r="R5" s="12"/>
      <c r="S5" s="11"/>
      <c r="T5" s="11"/>
      <c r="U5" s="11"/>
      <c r="V5" s="11"/>
      <c r="W5" s="11"/>
      <c r="X5" s="11"/>
      <c r="Y5" s="12"/>
      <c r="Z5" s="11"/>
      <c r="AA5" s="11"/>
      <c r="AB5" s="11"/>
      <c r="AC5" s="11"/>
      <c r="AD5" s="11"/>
      <c r="AE5" s="11"/>
      <c r="AF5" s="12"/>
      <c r="AG5" s="11"/>
      <c r="AH5" s="11"/>
      <c r="AI5" s="11"/>
      <c r="AJ5" s="11"/>
      <c r="AK5" s="11"/>
      <c r="AL5" s="11"/>
      <c r="AM5" s="12"/>
      <c r="AN5" s="11"/>
      <c r="AO5" s="11"/>
      <c r="AP5" s="11"/>
      <c r="AQ5" s="11"/>
      <c r="AR5" s="11"/>
      <c r="AS5" s="11"/>
      <c r="AT5" s="12"/>
      <c r="AU5" s="11"/>
      <c r="AV5" s="11"/>
      <c r="AW5" s="11"/>
      <c r="AX5" s="11"/>
      <c r="AY5" s="11"/>
      <c r="AZ5" s="11"/>
      <c r="BA5" s="12"/>
      <c r="BB5" s="11"/>
      <c r="BC5" s="11"/>
      <c r="BD5" s="11"/>
      <c r="BE5" s="11"/>
      <c r="BF5" s="11"/>
      <c r="BG5" s="11"/>
      <c r="BH5" s="12"/>
      <c r="BI5" s="11"/>
      <c r="BJ5" s="11"/>
      <c r="BK5" s="11"/>
      <c r="BL5" s="11"/>
      <c r="BM5" s="11"/>
      <c r="BN5" s="11"/>
      <c r="BO5" s="12"/>
      <c r="BP5" s="11"/>
      <c r="BQ5" s="11"/>
      <c r="BR5" s="11"/>
      <c r="BS5" s="11"/>
      <c r="BT5" s="11"/>
      <c r="BU5" s="11"/>
      <c r="BV5" s="11"/>
      <c r="BW5" s="12"/>
      <c r="BX5" s="11"/>
      <c r="BY5" s="11"/>
      <c r="BZ5" s="11"/>
      <c r="CA5" s="11"/>
      <c r="CB5" s="11"/>
      <c r="CC5" s="11"/>
      <c r="CD5" s="11"/>
      <c r="CE5" s="12"/>
      <c r="CF5" s="11"/>
      <c r="CG5" s="11"/>
      <c r="CH5" s="11"/>
      <c r="CI5" s="11"/>
      <c r="CJ5" s="11"/>
      <c r="CK5" s="11"/>
      <c r="CL5" s="12"/>
      <c r="CM5" s="11"/>
      <c r="CN5" s="11"/>
      <c r="CO5" s="11"/>
      <c r="CP5" s="11"/>
      <c r="CQ5" s="11"/>
      <c r="CR5" s="11"/>
      <c r="CS5" s="12"/>
      <c r="CT5" s="11"/>
      <c r="CU5" s="11"/>
      <c r="CV5" s="11"/>
      <c r="CW5" s="11"/>
      <c r="CX5" s="11"/>
      <c r="CY5" s="11"/>
      <c r="CZ5" s="12"/>
      <c r="DA5" s="11"/>
      <c r="DB5" s="11"/>
      <c r="DC5" s="11"/>
      <c r="DD5" s="11"/>
      <c r="DE5" s="11"/>
      <c r="DF5" s="11"/>
      <c r="DG5" s="12"/>
      <c r="DH5" s="11"/>
      <c r="DI5" s="11"/>
      <c r="DJ5" s="11"/>
      <c r="DK5" s="11"/>
      <c r="DL5" s="11"/>
      <c r="DM5" s="11"/>
      <c r="DN5" s="12"/>
      <c r="DO5" s="11"/>
      <c r="DP5" s="11"/>
      <c r="DQ5" s="11"/>
      <c r="DR5" s="11"/>
      <c r="DS5" s="11"/>
      <c r="DT5" s="11"/>
      <c r="DU5" s="12"/>
      <c r="DV5" s="11"/>
      <c r="DW5" s="11"/>
      <c r="DX5" s="11"/>
      <c r="DY5" s="11"/>
      <c r="DZ5" s="11"/>
      <c r="EA5" s="11"/>
      <c r="EB5" s="12"/>
      <c r="EC5" s="11"/>
      <c r="ED5" s="11"/>
      <c r="EE5" s="11"/>
      <c r="EF5" s="11"/>
      <c r="EG5" s="11"/>
      <c r="EH5" s="11"/>
      <c r="EI5" s="12"/>
      <c r="EJ5" s="11"/>
      <c r="EK5" s="11"/>
      <c r="EL5" s="11"/>
      <c r="EM5" s="11"/>
      <c r="EN5" s="11"/>
      <c r="EO5" s="11"/>
      <c r="EP5" s="12"/>
      <c r="EQ5" s="11"/>
      <c r="ER5" s="11"/>
      <c r="ES5" s="11"/>
      <c r="ET5" s="11"/>
      <c r="EU5" s="11"/>
      <c r="EV5" s="11"/>
      <c r="EW5" s="12"/>
      <c r="EX5" s="11"/>
      <c r="EY5" s="11"/>
      <c r="EZ5" s="11"/>
      <c r="FA5" s="11"/>
      <c r="FB5" s="11"/>
      <c r="FC5" s="11"/>
      <c r="FD5" s="12"/>
      <c r="FE5" s="11"/>
      <c r="FF5" s="11"/>
      <c r="FG5" s="11"/>
      <c r="FH5" s="11"/>
      <c r="FI5" s="11"/>
      <c r="FJ5" s="11"/>
      <c r="FK5" s="12"/>
      <c r="FL5" s="11"/>
      <c r="FM5" s="11"/>
      <c r="FN5" s="11"/>
      <c r="FO5" s="11"/>
      <c r="FP5" s="11"/>
      <c r="FQ5" s="11"/>
      <c r="FR5" s="12"/>
      <c r="FS5" s="11"/>
      <c r="FT5" s="11"/>
      <c r="FU5" s="11"/>
      <c r="FV5" s="11"/>
      <c r="FW5" s="11"/>
      <c r="FX5" s="11"/>
      <c r="FY5" s="12"/>
      <c r="FZ5" s="11"/>
      <c r="GA5" s="11"/>
      <c r="GB5" s="11"/>
      <c r="GC5" s="11"/>
      <c r="GD5" s="11"/>
      <c r="GE5" s="11"/>
      <c r="GF5" s="12"/>
      <c r="GG5" s="11"/>
      <c r="GH5" s="11"/>
      <c r="GI5" s="11"/>
      <c r="GJ5" s="11"/>
      <c r="GK5" s="11"/>
      <c r="GL5" s="11"/>
      <c r="GM5" s="12"/>
      <c r="GN5" s="11"/>
      <c r="GO5" s="11"/>
      <c r="GP5" s="11"/>
      <c r="GQ5" s="11"/>
      <c r="GR5" s="11"/>
      <c r="GS5" s="11"/>
      <c r="GT5" s="12"/>
      <c r="GU5" s="11"/>
      <c r="GV5" s="11"/>
      <c r="GW5" s="11"/>
      <c r="GX5" s="11"/>
      <c r="GY5" s="11"/>
      <c r="GZ5" s="11"/>
      <c r="HA5" s="12"/>
      <c r="HB5" s="11"/>
      <c r="HC5" s="11"/>
      <c r="HD5" s="11"/>
      <c r="HE5" s="11"/>
      <c r="HF5" s="11"/>
      <c r="HG5" s="11"/>
      <c r="HH5" s="12"/>
      <c r="HI5" s="11"/>
      <c r="HJ5" s="11"/>
      <c r="HK5" s="11"/>
      <c r="HL5" s="11"/>
      <c r="HM5" s="11"/>
      <c r="HN5" s="11"/>
      <c r="HO5" s="12"/>
      <c r="HP5" s="11"/>
      <c r="HQ5" s="11"/>
      <c r="HR5" s="11"/>
      <c r="HS5" s="11"/>
      <c r="HT5" s="11"/>
      <c r="HU5" s="11"/>
      <c r="HV5" s="12"/>
      <c r="HW5" s="11"/>
      <c r="HX5" s="11"/>
      <c r="HY5" s="11"/>
      <c r="HZ5" s="11"/>
      <c r="IA5" s="11"/>
      <c r="IB5" s="11"/>
      <c r="IC5" s="12"/>
      <c r="ID5" s="11"/>
      <c r="IE5" s="11"/>
      <c r="IF5" s="11"/>
      <c r="IG5" s="11"/>
      <c r="IH5" s="11"/>
      <c r="II5" s="11"/>
      <c r="IJ5" s="12"/>
      <c r="IK5" s="11"/>
      <c r="IL5" s="11"/>
      <c r="IM5" s="11"/>
      <c r="IN5" s="11"/>
      <c r="IO5" s="11"/>
      <c r="IP5" s="11"/>
      <c r="IQ5" s="12"/>
      <c r="IR5" s="11"/>
      <c r="IS5" s="11"/>
      <c r="IT5" s="11"/>
      <c r="IU5" s="11"/>
      <c r="IV5" s="11"/>
      <c r="IW5" s="11"/>
      <c r="IX5" s="12"/>
      <c r="IY5" s="11"/>
      <c r="IZ5" s="11"/>
      <c r="JA5" s="11"/>
      <c r="JB5" s="11"/>
      <c r="JC5" s="11"/>
      <c r="JD5" s="11"/>
      <c r="JE5" s="12"/>
      <c r="JF5" s="11"/>
      <c r="JG5" s="11"/>
      <c r="JH5" s="11"/>
      <c r="JI5" s="11"/>
      <c r="JJ5" s="11"/>
      <c r="JK5" s="11"/>
      <c r="JL5" s="12"/>
      <c r="JM5" s="11"/>
      <c r="JN5" s="11"/>
      <c r="JO5" s="11"/>
      <c r="JP5" s="11"/>
      <c r="JQ5" s="11"/>
      <c r="JR5" s="11"/>
      <c r="JS5" s="12"/>
      <c r="JT5" s="11"/>
      <c r="JU5" s="11"/>
      <c r="JV5" s="11"/>
      <c r="JW5" s="11"/>
      <c r="JX5" s="11"/>
      <c r="JY5" s="11"/>
      <c r="JZ5" s="12"/>
      <c r="KA5" s="11"/>
      <c r="KB5" s="11"/>
      <c r="KC5" s="11"/>
      <c r="KD5" s="11"/>
      <c r="KE5" s="11"/>
      <c r="KF5" s="11"/>
      <c r="KG5" s="12"/>
      <c r="KH5" s="11"/>
      <c r="KI5" s="11"/>
      <c r="KJ5" s="11"/>
      <c r="KK5" s="11"/>
      <c r="KL5" s="11"/>
      <c r="KM5" s="11"/>
      <c r="KN5" s="12"/>
      <c r="KO5" s="11"/>
      <c r="KP5" s="11"/>
      <c r="KQ5" s="11"/>
      <c r="KR5" s="11"/>
      <c r="KS5" s="11"/>
      <c r="KT5" s="11"/>
      <c r="KU5" s="12"/>
      <c r="KV5" s="11"/>
      <c r="KW5" s="11"/>
      <c r="KX5" s="11"/>
      <c r="KY5" s="11"/>
      <c r="KZ5" s="11"/>
      <c r="LA5" s="11"/>
      <c r="LB5" s="12"/>
      <c r="LC5" s="11"/>
      <c r="LD5" s="11"/>
      <c r="LE5" s="11"/>
      <c r="LF5" s="11"/>
      <c r="LG5" s="11"/>
      <c r="LH5" s="11"/>
      <c r="LI5" s="12"/>
      <c r="LJ5" s="11"/>
      <c r="LK5" s="11"/>
      <c r="LL5" s="11"/>
      <c r="LM5" s="11"/>
      <c r="LN5" s="11"/>
      <c r="LO5" s="11"/>
      <c r="LP5" s="12"/>
      <c r="LQ5" s="11"/>
      <c r="LR5" s="11"/>
      <c r="LS5" s="11"/>
      <c r="LT5" s="11"/>
      <c r="LU5" s="11"/>
      <c r="LV5" s="11"/>
      <c r="LW5" s="12"/>
    </row>
    <row r="6" spans="1:335" ht="7.5" customHeight="1" x14ac:dyDescent="0.25">
      <c r="A6" s="8"/>
      <c r="B6" s="8"/>
      <c r="C6" s="8"/>
      <c r="D6" s="8"/>
      <c r="E6" s="8"/>
      <c r="F6" s="10"/>
      <c r="G6" s="19"/>
      <c r="H6" s="19"/>
      <c r="I6" s="8"/>
      <c r="J6" s="8"/>
      <c r="K6" s="8"/>
      <c r="L6" s="8"/>
      <c r="M6" s="8"/>
      <c r="N6" s="8"/>
      <c r="O6" s="9"/>
      <c r="P6" s="8" t="str">
        <f t="shared" ref="P6:P29" si="318">IF(SUM(R6:LW6) &gt; 0, SUM(R6:LW6), "")</f>
        <v/>
      </c>
      <c r="Q6" s="106" t="str">
        <f t="shared" ref="Q6:Q26" si="319">IF(SUM(R6:XFD6) &gt; 0, SUM(R6:XFD6) / $P$32 * 100, "")</f>
        <v/>
      </c>
      <c r="R6" s="7"/>
      <c r="Y6" s="7"/>
      <c r="AF6" s="7"/>
      <c r="AM6" s="7"/>
      <c r="AT6" s="7"/>
      <c r="BA6" s="7"/>
      <c r="BH6" s="7"/>
      <c r="BO6" s="7"/>
      <c r="BW6" s="82"/>
      <c r="CE6" s="7"/>
      <c r="CL6" s="7"/>
      <c r="CS6" s="7"/>
      <c r="CZ6" s="7"/>
      <c r="DG6" s="7"/>
      <c r="DN6" s="7"/>
      <c r="DU6" s="7"/>
      <c r="EB6" s="7"/>
      <c r="EI6" s="7"/>
      <c r="EP6" s="7"/>
      <c r="EW6" s="7"/>
      <c r="FD6" s="7"/>
      <c r="FK6" s="7"/>
      <c r="FR6" s="7"/>
      <c r="FY6" s="7"/>
      <c r="GF6" s="7"/>
      <c r="GM6" s="7"/>
      <c r="GT6" s="7"/>
      <c r="HA6" s="7"/>
      <c r="HH6" s="7"/>
      <c r="HO6" s="7"/>
      <c r="HV6" s="7"/>
      <c r="IC6" s="7"/>
      <c r="IJ6" s="7"/>
      <c r="IQ6" s="7"/>
      <c r="IX6" s="7"/>
      <c r="JE6" s="7"/>
      <c r="JL6" s="7"/>
      <c r="JS6" s="7"/>
      <c r="JZ6" s="7"/>
      <c r="KG6" s="7"/>
      <c r="KN6" s="7"/>
      <c r="KU6" s="7"/>
      <c r="LB6" s="7"/>
      <c r="LI6" s="7"/>
      <c r="LP6" s="7"/>
      <c r="LW6" s="7"/>
    </row>
    <row r="7" spans="1:335" ht="15" customHeight="1" x14ac:dyDescent="0.25">
      <c r="A7" s="8" t="s">
        <v>130</v>
      </c>
      <c r="B7" s="8" t="s">
        <v>129</v>
      </c>
      <c r="C7" s="8" t="s">
        <v>159</v>
      </c>
      <c r="D7" s="8" t="s">
        <v>128</v>
      </c>
      <c r="E7" s="18">
        <v>38532</v>
      </c>
      <c r="F7" s="10">
        <f>IF($E7 &gt;= F$5, 1, "")</f>
        <v>1</v>
      </c>
      <c r="G7" s="19">
        <f>IF($E7 &gt;= G$5, 1, "")</f>
        <v>1</v>
      </c>
      <c r="H7" s="19" t="str">
        <f t="shared" ref="H7:L7" si="320">IF($E7 &gt;= H$5, 1, "")</f>
        <v/>
      </c>
      <c r="I7" s="19" t="str">
        <f t="shared" si="320"/>
        <v/>
      </c>
      <c r="J7" s="19" t="str">
        <f t="shared" si="320"/>
        <v/>
      </c>
      <c r="K7" s="19" t="str">
        <f t="shared" si="320"/>
        <v/>
      </c>
      <c r="L7" s="19" t="str">
        <f t="shared" si="320"/>
        <v/>
      </c>
      <c r="M7" s="8"/>
      <c r="N7" s="8">
        <v>1</v>
      </c>
      <c r="O7" s="9">
        <v>1</v>
      </c>
      <c r="P7" s="8">
        <f t="shared" si="318"/>
        <v>29</v>
      </c>
      <c r="Q7" s="106">
        <f t="shared" si="319"/>
        <v>85.294117647058826</v>
      </c>
      <c r="R7" s="7">
        <v>1</v>
      </c>
      <c r="T7">
        <v>1</v>
      </c>
      <c r="U7">
        <v>1</v>
      </c>
      <c r="W7">
        <v>1</v>
      </c>
      <c r="Y7" s="7"/>
      <c r="AA7">
        <v>1</v>
      </c>
      <c r="AC7">
        <v>1</v>
      </c>
      <c r="AD7">
        <v>1</v>
      </c>
      <c r="AF7" s="7"/>
      <c r="AH7">
        <v>1</v>
      </c>
      <c r="AJ7">
        <v>1</v>
      </c>
      <c r="AK7">
        <v>1</v>
      </c>
      <c r="AM7" s="7"/>
      <c r="AO7">
        <v>1</v>
      </c>
      <c r="AQ7">
        <v>1</v>
      </c>
      <c r="AT7" s="7"/>
      <c r="AV7">
        <v>1</v>
      </c>
      <c r="AX7">
        <v>1</v>
      </c>
      <c r="AY7">
        <v>1</v>
      </c>
      <c r="BA7" s="7"/>
      <c r="BC7">
        <v>1</v>
      </c>
      <c r="BE7">
        <v>1</v>
      </c>
      <c r="BF7">
        <v>1</v>
      </c>
      <c r="BH7" s="7"/>
      <c r="BJ7">
        <v>1</v>
      </c>
      <c r="BL7">
        <v>1</v>
      </c>
      <c r="BO7" s="7">
        <v>1</v>
      </c>
      <c r="BP7">
        <v>1</v>
      </c>
      <c r="BQ7">
        <v>1</v>
      </c>
      <c r="BR7">
        <v>2</v>
      </c>
      <c r="BT7">
        <v>2</v>
      </c>
      <c r="BU7">
        <v>1</v>
      </c>
      <c r="BW7" s="83" t="s">
        <v>375</v>
      </c>
      <c r="CA7">
        <v>1</v>
      </c>
      <c r="CE7" s="83" t="s">
        <v>380</v>
      </c>
      <c r="CG7" t="s">
        <v>354</v>
      </c>
      <c r="CL7" s="7"/>
      <c r="CS7" s="7"/>
      <c r="CZ7" s="7"/>
      <c r="DG7" s="7"/>
      <c r="DN7" s="7"/>
      <c r="DU7" s="7"/>
      <c r="EB7" s="7"/>
      <c r="EI7" s="7"/>
      <c r="EP7" s="7"/>
      <c r="EW7" s="7"/>
      <c r="FD7" s="7"/>
      <c r="FK7" s="7"/>
      <c r="FR7" s="7"/>
      <c r="FY7" s="7"/>
      <c r="GF7" s="7"/>
      <c r="GM7" s="7"/>
      <c r="GT7" s="7"/>
      <c r="HA7" s="7"/>
      <c r="HH7" s="7"/>
      <c r="HO7" s="7"/>
      <c r="HV7" s="7"/>
      <c r="IC7" s="7"/>
      <c r="IJ7" s="7"/>
      <c r="IQ7" s="7"/>
      <c r="IX7" s="7"/>
      <c r="JE7" s="7"/>
      <c r="JL7" s="7"/>
      <c r="JS7" s="7"/>
      <c r="JZ7" s="7"/>
      <c r="KG7" s="7"/>
      <c r="KN7" s="7"/>
      <c r="KU7" s="7"/>
      <c r="LB7" s="7"/>
      <c r="LI7" s="7"/>
      <c r="LP7" s="7"/>
      <c r="LW7" s="7"/>
    </row>
    <row r="8" spans="1:335" ht="15" customHeight="1" x14ac:dyDescent="0.25">
      <c r="A8" s="8" t="s">
        <v>153</v>
      </c>
      <c r="B8" s="8" t="s">
        <v>154</v>
      </c>
      <c r="C8" s="8" t="s">
        <v>155</v>
      </c>
      <c r="D8" s="8" t="s">
        <v>156</v>
      </c>
      <c r="E8" s="18">
        <v>36859</v>
      </c>
      <c r="F8" s="10" t="str">
        <f t="shared" ref="F8:L28" si="321">IF($E8 &gt;= F$5, 1, "")</f>
        <v/>
      </c>
      <c r="G8" s="19" t="str">
        <f t="shared" si="321"/>
        <v/>
      </c>
      <c r="H8" s="19" t="str">
        <f t="shared" si="321"/>
        <v/>
      </c>
      <c r="I8" s="19" t="str">
        <f t="shared" si="321"/>
        <v/>
      </c>
      <c r="J8" s="19" t="str">
        <f t="shared" si="321"/>
        <v/>
      </c>
      <c r="K8" s="19" t="str">
        <f t="shared" si="321"/>
        <v/>
      </c>
      <c r="L8" s="19" t="str">
        <f t="shared" si="321"/>
        <v/>
      </c>
      <c r="M8" s="8"/>
      <c r="N8" s="8"/>
      <c r="O8" s="9">
        <v>1</v>
      </c>
      <c r="P8" s="8">
        <f t="shared" si="318"/>
        <v>11</v>
      </c>
      <c r="Q8" s="106">
        <f t="shared" si="319"/>
        <v>32.352941176470587</v>
      </c>
      <c r="R8" s="7">
        <v>1</v>
      </c>
      <c r="T8">
        <v>1</v>
      </c>
      <c r="U8">
        <v>1</v>
      </c>
      <c r="W8">
        <v>1</v>
      </c>
      <c r="Y8" s="7"/>
      <c r="AA8">
        <v>1</v>
      </c>
      <c r="AD8">
        <v>1</v>
      </c>
      <c r="AF8" s="7"/>
      <c r="AH8">
        <v>1</v>
      </c>
      <c r="AJ8">
        <v>1</v>
      </c>
      <c r="AM8" s="7"/>
      <c r="AQ8">
        <v>1</v>
      </c>
      <c r="AT8" s="7"/>
      <c r="AV8">
        <v>1</v>
      </c>
      <c r="BA8" s="7"/>
      <c r="BH8" s="7"/>
      <c r="BO8" s="7"/>
      <c r="BQ8">
        <v>1</v>
      </c>
      <c r="BW8" s="83" t="s">
        <v>380</v>
      </c>
      <c r="CE8" s="83" t="s">
        <v>380</v>
      </c>
      <c r="CG8" t="s">
        <v>369</v>
      </c>
      <c r="CL8" s="7"/>
      <c r="CS8" s="7"/>
      <c r="CZ8" s="7"/>
      <c r="DG8" s="7"/>
      <c r="DN8" s="7"/>
      <c r="DU8" s="7"/>
      <c r="EB8" s="7"/>
      <c r="EI8" s="7"/>
      <c r="EP8" s="7"/>
      <c r="EW8" s="7"/>
      <c r="FD8" s="7"/>
      <c r="FK8" s="7"/>
      <c r="FR8" s="7"/>
      <c r="FY8" s="7"/>
      <c r="GF8" s="7"/>
      <c r="GM8" s="7"/>
      <c r="GT8" s="7"/>
      <c r="HA8" s="7"/>
      <c r="HH8" s="7"/>
      <c r="HO8" s="7"/>
      <c r="HV8" s="7"/>
      <c r="IC8" s="7"/>
      <c r="IJ8" s="7"/>
      <c r="IQ8" s="7"/>
      <c r="IX8" s="7"/>
      <c r="JE8" s="7"/>
      <c r="JL8" s="7"/>
      <c r="JS8" s="7"/>
      <c r="JZ8" s="7"/>
      <c r="KG8" s="7"/>
      <c r="KN8" s="7"/>
      <c r="KU8" s="7"/>
      <c r="LB8" s="7"/>
      <c r="LI8" s="7"/>
      <c r="LP8" s="7"/>
      <c r="LW8" s="7"/>
    </row>
    <row r="9" spans="1:335" ht="15" customHeight="1" x14ac:dyDescent="0.25">
      <c r="A9" s="8" t="s">
        <v>20</v>
      </c>
      <c r="B9" s="8"/>
      <c r="C9" s="8" t="s">
        <v>151</v>
      </c>
      <c r="D9" s="8" t="s">
        <v>152</v>
      </c>
      <c r="E9" s="18">
        <v>37414</v>
      </c>
      <c r="F9" s="10">
        <f t="shared" si="321"/>
        <v>1</v>
      </c>
      <c r="G9" s="19" t="str">
        <f t="shared" si="321"/>
        <v/>
      </c>
      <c r="H9" s="19" t="str">
        <f t="shared" si="321"/>
        <v/>
      </c>
      <c r="I9" s="19" t="str">
        <f t="shared" si="321"/>
        <v/>
      </c>
      <c r="J9" s="19" t="str">
        <f t="shared" si="321"/>
        <v/>
      </c>
      <c r="K9" s="19" t="str">
        <f t="shared" si="321"/>
        <v/>
      </c>
      <c r="L9" s="19" t="str">
        <f t="shared" si="321"/>
        <v/>
      </c>
      <c r="M9" s="8"/>
      <c r="N9" s="8">
        <v>1</v>
      </c>
      <c r="O9" s="9">
        <v>1</v>
      </c>
      <c r="P9" s="8">
        <f t="shared" si="318"/>
        <v>22</v>
      </c>
      <c r="Q9" s="106">
        <f t="shared" si="319"/>
        <v>64.705882352941174</v>
      </c>
      <c r="R9" s="7">
        <v>1</v>
      </c>
      <c r="T9">
        <v>1</v>
      </c>
      <c r="U9">
        <v>1</v>
      </c>
      <c r="Y9" s="7"/>
      <c r="AA9">
        <v>1</v>
      </c>
      <c r="AC9">
        <v>1</v>
      </c>
      <c r="AD9">
        <v>1</v>
      </c>
      <c r="AF9" s="7"/>
      <c r="AH9">
        <v>1</v>
      </c>
      <c r="AJ9">
        <v>1</v>
      </c>
      <c r="AK9">
        <v>1</v>
      </c>
      <c r="AM9" s="7"/>
      <c r="AO9">
        <v>1</v>
      </c>
      <c r="AQ9">
        <v>1</v>
      </c>
      <c r="AT9" s="7"/>
      <c r="AV9">
        <v>1</v>
      </c>
      <c r="AX9">
        <v>1</v>
      </c>
      <c r="AY9">
        <v>1</v>
      </c>
      <c r="BA9" s="7"/>
      <c r="BE9">
        <v>1</v>
      </c>
      <c r="BH9" s="7"/>
      <c r="BJ9">
        <v>1</v>
      </c>
      <c r="BL9">
        <v>1</v>
      </c>
      <c r="BO9" s="7">
        <v>1</v>
      </c>
      <c r="BQ9">
        <v>1</v>
      </c>
      <c r="BS9">
        <v>1</v>
      </c>
      <c r="BV9">
        <v>1</v>
      </c>
      <c r="BW9" s="83" t="s">
        <v>379</v>
      </c>
      <c r="CA9">
        <v>1</v>
      </c>
      <c r="CE9" s="83" t="s">
        <v>380</v>
      </c>
      <c r="CL9" s="7"/>
      <c r="CS9" s="7"/>
      <c r="CZ9" s="7"/>
      <c r="DG9" s="7"/>
      <c r="DN9" s="7"/>
      <c r="DU9" s="7"/>
      <c r="EB9" s="7"/>
      <c r="EI9" s="7"/>
      <c r="EP9" s="7"/>
      <c r="EW9" s="7"/>
      <c r="FD9" s="7"/>
      <c r="FK9" s="7"/>
      <c r="FR9" s="7"/>
      <c r="FY9" s="7"/>
      <c r="GF9" s="7"/>
      <c r="GM9" s="7"/>
      <c r="GT9" s="7"/>
      <c r="HA9" s="7"/>
      <c r="HH9" s="7"/>
      <c r="HO9" s="7"/>
      <c r="HV9" s="7"/>
      <c r="IC9" s="7"/>
      <c r="IJ9" s="7"/>
      <c r="IQ9" s="7"/>
      <c r="IX9" s="7"/>
      <c r="JE9" s="7"/>
      <c r="JL9" s="7"/>
      <c r="JS9" s="7"/>
      <c r="JZ9" s="7"/>
      <c r="KG9" s="7"/>
      <c r="KN9" s="7"/>
      <c r="KU9" s="7"/>
      <c r="LB9" s="7"/>
      <c r="LI9" s="7"/>
      <c r="LP9" s="7"/>
      <c r="LW9" s="7"/>
    </row>
    <row r="10" spans="1:335" ht="15" customHeight="1" x14ac:dyDescent="0.25">
      <c r="A10" s="8" t="s">
        <v>251</v>
      </c>
      <c r="B10" s="8" t="s">
        <v>180</v>
      </c>
      <c r="C10" s="8" t="s">
        <v>181</v>
      </c>
      <c r="D10" s="8" t="s">
        <v>114</v>
      </c>
      <c r="E10" s="18">
        <v>37608</v>
      </c>
      <c r="F10" s="10">
        <f t="shared" si="321"/>
        <v>1</v>
      </c>
      <c r="G10" s="19" t="str">
        <f t="shared" si="321"/>
        <v/>
      </c>
      <c r="H10" s="19" t="str">
        <f t="shared" si="321"/>
        <v/>
      </c>
      <c r="I10" s="19" t="str">
        <f t="shared" si="321"/>
        <v/>
      </c>
      <c r="J10" s="19" t="str">
        <f t="shared" si="321"/>
        <v/>
      </c>
      <c r="K10" s="19" t="str">
        <f t="shared" si="321"/>
        <v/>
      </c>
      <c r="L10" s="19" t="str">
        <f t="shared" si="321"/>
        <v/>
      </c>
      <c r="M10" s="8"/>
      <c r="N10" s="8">
        <v>1</v>
      </c>
      <c r="O10" s="9">
        <v>1</v>
      </c>
      <c r="P10" s="8">
        <f t="shared" si="318"/>
        <v>23</v>
      </c>
      <c r="Q10" s="106">
        <f t="shared" si="319"/>
        <v>67.64705882352942</v>
      </c>
      <c r="R10" s="7">
        <v>1</v>
      </c>
      <c r="U10">
        <v>1</v>
      </c>
      <c r="W10">
        <v>1</v>
      </c>
      <c r="Y10" s="7"/>
      <c r="AA10">
        <v>1</v>
      </c>
      <c r="AC10">
        <v>1</v>
      </c>
      <c r="AD10">
        <v>1</v>
      </c>
      <c r="AF10" s="7"/>
      <c r="AH10">
        <v>1</v>
      </c>
      <c r="AJ10">
        <v>1</v>
      </c>
      <c r="AK10">
        <v>1</v>
      </c>
      <c r="AM10" s="7"/>
      <c r="AO10">
        <v>1</v>
      </c>
      <c r="AQ10">
        <v>1</v>
      </c>
      <c r="AR10">
        <v>1</v>
      </c>
      <c r="AT10" s="7"/>
      <c r="AV10">
        <v>1</v>
      </c>
      <c r="AX10">
        <v>1</v>
      </c>
      <c r="BA10" s="7"/>
      <c r="BC10">
        <v>1</v>
      </c>
      <c r="BE10">
        <v>1</v>
      </c>
      <c r="BF10">
        <v>1</v>
      </c>
      <c r="BH10" s="7"/>
      <c r="BJ10">
        <v>1</v>
      </c>
      <c r="BL10">
        <v>1</v>
      </c>
      <c r="BO10" s="7">
        <v>1</v>
      </c>
      <c r="BQ10">
        <v>1</v>
      </c>
      <c r="BS10">
        <v>1</v>
      </c>
      <c r="BW10" s="83" t="s">
        <v>381</v>
      </c>
      <c r="CA10">
        <v>1</v>
      </c>
      <c r="CE10" s="83" t="s">
        <v>380</v>
      </c>
      <c r="CL10" s="7"/>
      <c r="CS10" s="7"/>
      <c r="CZ10" s="7"/>
      <c r="DG10" s="7"/>
      <c r="DN10" s="7"/>
      <c r="DU10" s="7"/>
      <c r="EB10" s="7"/>
      <c r="EI10" s="7"/>
      <c r="EP10" s="7"/>
      <c r="EW10" s="7"/>
      <c r="FD10" s="7"/>
      <c r="FK10" s="7"/>
      <c r="FR10" s="7"/>
      <c r="FY10" s="7"/>
      <c r="GF10" s="7"/>
      <c r="GM10" s="7"/>
      <c r="GT10" s="7"/>
      <c r="HA10" s="7"/>
      <c r="HH10" s="7"/>
      <c r="HO10" s="7"/>
      <c r="HV10" s="7"/>
      <c r="IC10" s="7"/>
      <c r="IJ10" s="7"/>
      <c r="IQ10" s="7"/>
      <c r="IX10" s="7"/>
      <c r="JE10" s="7"/>
      <c r="JL10" s="7"/>
      <c r="JS10" s="7"/>
      <c r="JZ10" s="7"/>
      <c r="KG10" s="7"/>
      <c r="KN10" s="7"/>
      <c r="KU10" s="7"/>
      <c r="LB10" s="7"/>
      <c r="LI10" s="7"/>
      <c r="LP10" s="7"/>
      <c r="LW10" s="7"/>
    </row>
    <row r="11" spans="1:335" x14ac:dyDescent="0.25">
      <c r="A11" s="8" t="s">
        <v>164</v>
      </c>
      <c r="B11" s="8"/>
      <c r="C11" s="8" t="s">
        <v>165</v>
      </c>
      <c r="D11" s="8" t="s">
        <v>166</v>
      </c>
      <c r="E11" s="18">
        <v>37133</v>
      </c>
      <c r="F11" s="10" t="str">
        <f t="shared" si="321"/>
        <v/>
      </c>
      <c r="G11" s="19" t="str">
        <f t="shared" si="321"/>
        <v/>
      </c>
      <c r="H11" s="19" t="str">
        <f t="shared" si="321"/>
        <v/>
      </c>
      <c r="I11" s="19" t="str">
        <f t="shared" si="321"/>
        <v/>
      </c>
      <c r="J11" s="19" t="str">
        <f t="shared" si="321"/>
        <v/>
      </c>
      <c r="K11" s="19" t="str">
        <f t="shared" si="321"/>
        <v/>
      </c>
      <c r="L11" s="19" t="str">
        <f t="shared" si="321"/>
        <v/>
      </c>
      <c r="M11" s="8"/>
      <c r="N11" s="8"/>
      <c r="O11" s="9">
        <v>1</v>
      </c>
      <c r="P11" s="8">
        <f t="shared" si="318"/>
        <v>21</v>
      </c>
      <c r="Q11" s="106">
        <f t="shared" si="319"/>
        <v>61.764705882352942</v>
      </c>
      <c r="R11" s="7"/>
      <c r="U11">
        <v>1</v>
      </c>
      <c r="W11">
        <v>1</v>
      </c>
      <c r="Y11" s="7"/>
      <c r="AA11">
        <v>1</v>
      </c>
      <c r="AC11">
        <v>1</v>
      </c>
      <c r="AD11">
        <v>1</v>
      </c>
      <c r="AF11" s="7"/>
      <c r="AH11">
        <v>1</v>
      </c>
      <c r="AJ11">
        <v>1</v>
      </c>
      <c r="AK11">
        <v>1</v>
      </c>
      <c r="AM11" s="7"/>
      <c r="AO11">
        <v>1</v>
      </c>
      <c r="AQ11">
        <v>1</v>
      </c>
      <c r="AR11">
        <v>1</v>
      </c>
      <c r="AT11" s="7"/>
      <c r="AV11">
        <v>1</v>
      </c>
      <c r="AX11">
        <v>1</v>
      </c>
      <c r="AY11">
        <v>1</v>
      </c>
      <c r="BA11" s="7"/>
      <c r="BC11">
        <v>1</v>
      </c>
      <c r="BH11" s="7"/>
      <c r="BJ11">
        <v>1</v>
      </c>
      <c r="BL11">
        <v>1</v>
      </c>
      <c r="BO11" s="7"/>
      <c r="BQ11">
        <v>1</v>
      </c>
      <c r="BS11">
        <v>1</v>
      </c>
      <c r="BV11">
        <v>1</v>
      </c>
      <c r="BW11" s="83" t="s">
        <v>379</v>
      </c>
      <c r="CA11">
        <v>1</v>
      </c>
      <c r="CE11" s="83" t="s">
        <v>380</v>
      </c>
      <c r="CL11" s="7"/>
      <c r="CS11" s="7"/>
      <c r="CZ11" s="7"/>
      <c r="DG11" s="7"/>
      <c r="DN11" s="7"/>
      <c r="DU11" s="7"/>
      <c r="EB11" s="7"/>
      <c r="EI11" s="7"/>
      <c r="EP11" s="7"/>
      <c r="EW11" s="7"/>
      <c r="FD11" s="7"/>
      <c r="FK11" s="7"/>
      <c r="FR11" s="7"/>
      <c r="FY11" s="7"/>
      <c r="GF11" s="7"/>
      <c r="GM11" s="7"/>
      <c r="GT11" s="7"/>
      <c r="HA11" s="7"/>
      <c r="HH11" s="7"/>
      <c r="HO11" s="7"/>
      <c r="HV11" s="7"/>
      <c r="IC11" s="7"/>
      <c r="IJ11" s="7"/>
      <c r="IQ11" s="7"/>
      <c r="IX11" s="7"/>
      <c r="JE11" s="7"/>
      <c r="JL11" s="7"/>
      <c r="JS11" s="7"/>
      <c r="JZ11" s="7"/>
      <c r="KG11" s="7"/>
      <c r="KN11" s="7"/>
      <c r="KU11" s="7"/>
      <c r="LB11" s="7"/>
      <c r="LI11" s="7"/>
      <c r="LP11" s="7"/>
      <c r="LW11" s="7"/>
    </row>
    <row r="12" spans="1:335" x14ac:dyDescent="0.25">
      <c r="A12" s="8" t="s">
        <v>122</v>
      </c>
      <c r="B12" s="8" t="s">
        <v>163</v>
      </c>
      <c r="C12" s="8" t="s">
        <v>178</v>
      </c>
      <c r="D12" s="8" t="s">
        <v>179</v>
      </c>
      <c r="E12" s="18">
        <v>37808</v>
      </c>
      <c r="F12" s="10">
        <f t="shared" si="321"/>
        <v>1</v>
      </c>
      <c r="G12" s="19" t="str">
        <f t="shared" si="321"/>
        <v/>
      </c>
      <c r="H12" s="19" t="str">
        <f t="shared" si="321"/>
        <v/>
      </c>
      <c r="I12" s="19" t="str">
        <f t="shared" si="321"/>
        <v/>
      </c>
      <c r="J12" s="19" t="str">
        <f t="shared" si="321"/>
        <v/>
      </c>
      <c r="K12" s="19" t="str">
        <f t="shared" si="321"/>
        <v/>
      </c>
      <c r="L12" s="19" t="str">
        <f t="shared" si="321"/>
        <v/>
      </c>
      <c r="M12" s="8"/>
      <c r="N12" s="8">
        <v>1</v>
      </c>
      <c r="O12" s="9">
        <v>1</v>
      </c>
      <c r="P12" s="8">
        <f t="shared" si="318"/>
        <v>28</v>
      </c>
      <c r="Q12" s="106">
        <f t="shared" si="319"/>
        <v>82.35294117647058</v>
      </c>
      <c r="R12" s="7">
        <v>1</v>
      </c>
      <c r="T12">
        <v>1</v>
      </c>
      <c r="U12">
        <v>1</v>
      </c>
      <c r="W12">
        <v>1</v>
      </c>
      <c r="Y12" s="7"/>
      <c r="AA12">
        <v>1</v>
      </c>
      <c r="AC12">
        <v>1</v>
      </c>
      <c r="AD12">
        <v>1</v>
      </c>
      <c r="AF12" s="7"/>
      <c r="AH12">
        <v>1</v>
      </c>
      <c r="AJ12">
        <v>1</v>
      </c>
      <c r="AK12">
        <v>1</v>
      </c>
      <c r="AM12" s="7"/>
      <c r="AO12">
        <v>1</v>
      </c>
      <c r="AQ12">
        <v>1</v>
      </c>
      <c r="AR12">
        <v>1</v>
      </c>
      <c r="AT12" s="7"/>
      <c r="AV12">
        <v>1</v>
      </c>
      <c r="AX12">
        <v>1</v>
      </c>
      <c r="AY12">
        <v>1</v>
      </c>
      <c r="BA12" s="7"/>
      <c r="BC12">
        <v>1</v>
      </c>
      <c r="BE12">
        <v>1</v>
      </c>
      <c r="BH12" s="7"/>
      <c r="BJ12">
        <v>1</v>
      </c>
      <c r="BL12">
        <v>1</v>
      </c>
      <c r="BO12" s="7">
        <v>1</v>
      </c>
      <c r="BP12">
        <v>1</v>
      </c>
      <c r="BQ12">
        <v>1</v>
      </c>
      <c r="BR12">
        <v>1</v>
      </c>
      <c r="BS12">
        <v>1</v>
      </c>
      <c r="BT12">
        <v>1</v>
      </c>
      <c r="BU12">
        <v>1</v>
      </c>
      <c r="BW12" s="83" t="s">
        <v>378</v>
      </c>
      <c r="CA12">
        <v>1</v>
      </c>
      <c r="CE12" s="83" t="s">
        <v>380</v>
      </c>
      <c r="CL12" s="7"/>
      <c r="CS12" s="7"/>
      <c r="CZ12" s="7"/>
      <c r="DG12" s="7"/>
      <c r="DN12" s="7"/>
      <c r="DU12" s="7"/>
      <c r="EB12" s="7"/>
      <c r="EI12" s="7"/>
      <c r="EP12" s="7"/>
      <c r="EW12" s="7"/>
      <c r="FD12" s="7"/>
      <c r="FK12" s="7"/>
      <c r="FR12" s="7"/>
      <c r="FY12" s="7"/>
      <c r="GF12" s="7"/>
      <c r="GM12" s="7"/>
      <c r="GT12" s="7"/>
      <c r="HA12" s="7"/>
      <c r="HH12" s="7"/>
      <c r="HO12" s="7"/>
      <c r="HV12" s="7"/>
      <c r="IC12" s="7"/>
      <c r="IJ12" s="7"/>
      <c r="IQ12" s="7"/>
      <c r="IX12" s="7"/>
      <c r="JE12" s="7"/>
      <c r="JL12" s="7"/>
      <c r="JS12" s="7"/>
      <c r="JZ12" s="7"/>
      <c r="KG12" s="7"/>
      <c r="KN12" s="7"/>
      <c r="KU12" s="7"/>
      <c r="LB12" s="7"/>
      <c r="LI12" s="7"/>
      <c r="LP12" s="7"/>
      <c r="LW12" s="7"/>
    </row>
    <row r="13" spans="1:335" hidden="1" x14ac:dyDescent="0.25">
      <c r="A13" s="8" t="s">
        <v>180</v>
      </c>
      <c r="B13" s="8"/>
      <c r="C13" s="8" t="s">
        <v>182</v>
      </c>
      <c r="D13" s="8" t="s">
        <v>183</v>
      </c>
      <c r="E13" s="18"/>
      <c r="F13" s="10" t="str">
        <f t="shared" si="321"/>
        <v/>
      </c>
      <c r="G13" s="19" t="str">
        <f t="shared" si="321"/>
        <v/>
      </c>
      <c r="H13" s="19" t="str">
        <f t="shared" si="321"/>
        <v/>
      </c>
      <c r="I13" s="19" t="str">
        <f t="shared" si="321"/>
        <v/>
      </c>
      <c r="J13" s="19" t="str">
        <f t="shared" si="321"/>
        <v/>
      </c>
      <c r="K13" s="19" t="str">
        <f t="shared" si="321"/>
        <v/>
      </c>
      <c r="L13" s="19" t="str">
        <f t="shared" si="321"/>
        <v/>
      </c>
      <c r="M13" s="8"/>
      <c r="N13" s="8">
        <v>1</v>
      </c>
      <c r="O13" s="9"/>
      <c r="P13" s="8">
        <f t="shared" si="318"/>
        <v>1</v>
      </c>
      <c r="Q13" s="106">
        <f t="shared" si="319"/>
        <v>2.9411764705882351</v>
      </c>
      <c r="R13" s="7">
        <v>1</v>
      </c>
      <c r="Y13" s="7"/>
      <c r="AF13" s="7"/>
      <c r="AM13" s="7"/>
      <c r="AT13" s="7"/>
      <c r="BA13" s="7"/>
      <c r="BH13" s="7"/>
      <c r="BO13" s="7"/>
      <c r="BW13" s="82"/>
      <c r="CE13" s="83" t="s">
        <v>380</v>
      </c>
      <c r="CL13" s="7"/>
      <c r="CS13" s="7"/>
      <c r="CZ13" s="7"/>
      <c r="DG13" s="7"/>
      <c r="DN13" s="7"/>
      <c r="DU13" s="7"/>
      <c r="EB13" s="7"/>
      <c r="EI13" s="7"/>
      <c r="EP13" s="7"/>
      <c r="EW13" s="7"/>
      <c r="FD13" s="7"/>
      <c r="FK13" s="7"/>
      <c r="FR13" s="7"/>
      <c r="FY13" s="7"/>
      <c r="GF13" s="7"/>
      <c r="GM13" s="7"/>
      <c r="GT13" s="7"/>
      <c r="HA13" s="7"/>
      <c r="HH13" s="7"/>
      <c r="HO13" s="7"/>
      <c r="HV13" s="7"/>
      <c r="IC13" s="7"/>
      <c r="IJ13" s="7"/>
      <c r="IQ13" s="7"/>
      <c r="IX13" s="7"/>
      <c r="JE13" s="7"/>
      <c r="JL13" s="7"/>
      <c r="JS13" s="7"/>
      <c r="JZ13" s="7"/>
      <c r="KG13" s="7"/>
      <c r="KN13" s="7"/>
      <c r="KU13" s="7"/>
      <c r="LB13" s="7"/>
      <c r="LI13" s="7"/>
      <c r="LP13" s="7"/>
      <c r="LW13" s="7"/>
    </row>
    <row r="14" spans="1:335" hidden="1" x14ac:dyDescent="0.25">
      <c r="A14" s="8" t="s">
        <v>174</v>
      </c>
      <c r="B14" s="8" t="s">
        <v>175</v>
      </c>
      <c r="C14" s="8" t="s">
        <v>176</v>
      </c>
      <c r="D14" s="8" t="s">
        <v>177</v>
      </c>
      <c r="E14" s="18">
        <v>36556</v>
      </c>
      <c r="F14" s="10" t="str">
        <f t="shared" si="321"/>
        <v/>
      </c>
      <c r="G14" s="19" t="str">
        <f t="shared" si="321"/>
        <v/>
      </c>
      <c r="H14" s="19" t="str">
        <f t="shared" si="321"/>
        <v/>
      </c>
      <c r="I14" s="19" t="str">
        <f t="shared" si="321"/>
        <v/>
      </c>
      <c r="J14" s="19" t="str">
        <f t="shared" si="321"/>
        <v/>
      </c>
      <c r="K14" s="19" t="str">
        <f t="shared" si="321"/>
        <v/>
      </c>
      <c r="L14" s="19" t="str">
        <f t="shared" si="321"/>
        <v/>
      </c>
      <c r="M14" s="8"/>
      <c r="N14" s="8"/>
      <c r="O14" s="9">
        <v>1</v>
      </c>
      <c r="P14" s="8">
        <f t="shared" si="318"/>
        <v>1</v>
      </c>
      <c r="Q14" s="106">
        <f t="shared" si="319"/>
        <v>2.9411764705882351</v>
      </c>
      <c r="R14" s="7">
        <v>1</v>
      </c>
      <c r="Y14" s="7"/>
      <c r="AF14" s="7"/>
      <c r="AM14" s="7"/>
      <c r="AT14" s="7"/>
      <c r="BA14" s="7"/>
      <c r="BH14" s="7"/>
      <c r="BO14" s="7"/>
      <c r="BW14" s="82"/>
      <c r="CE14" s="83" t="s">
        <v>380</v>
      </c>
      <c r="CL14" s="7"/>
      <c r="CS14" s="7"/>
      <c r="CZ14" s="7"/>
      <c r="DG14" s="7"/>
      <c r="DN14" s="7"/>
      <c r="DU14" s="7"/>
      <c r="EB14" s="7"/>
      <c r="EI14" s="7"/>
      <c r="EP14" s="7"/>
      <c r="EW14" s="7"/>
      <c r="FD14" s="7"/>
      <c r="FK14" s="7"/>
      <c r="FR14" s="7"/>
      <c r="FY14" s="7"/>
      <c r="GF14" s="7"/>
      <c r="GM14" s="7"/>
      <c r="GT14" s="7"/>
      <c r="HA14" s="7"/>
      <c r="HH14" s="7"/>
      <c r="HO14" s="7"/>
      <c r="HV14" s="7"/>
      <c r="IC14" s="7"/>
      <c r="IJ14" s="7"/>
      <c r="IQ14" s="7"/>
      <c r="IX14" s="7"/>
      <c r="JE14" s="7"/>
      <c r="JL14" s="7"/>
      <c r="JS14" s="7"/>
      <c r="JZ14" s="7"/>
      <c r="KG14" s="7"/>
      <c r="KN14" s="7"/>
      <c r="KU14" s="7"/>
      <c r="LB14" s="7"/>
      <c r="LI14" s="7"/>
      <c r="LP14" s="7"/>
      <c r="LW14" s="7"/>
    </row>
    <row r="15" spans="1:335" x14ac:dyDescent="0.25">
      <c r="A15" s="8" t="s">
        <v>127</v>
      </c>
      <c r="B15" s="8" t="s">
        <v>126</v>
      </c>
      <c r="C15" s="8" t="s">
        <v>160</v>
      </c>
      <c r="D15" s="8" t="s">
        <v>125</v>
      </c>
      <c r="E15" s="18">
        <v>38491</v>
      </c>
      <c r="F15" s="10">
        <f t="shared" si="321"/>
        <v>1</v>
      </c>
      <c r="G15" s="19">
        <f t="shared" si="321"/>
        <v>1</v>
      </c>
      <c r="H15" s="19" t="str">
        <f t="shared" si="321"/>
        <v/>
      </c>
      <c r="I15" s="19" t="str">
        <f t="shared" si="321"/>
        <v/>
      </c>
      <c r="J15" s="19" t="str">
        <f t="shared" si="321"/>
        <v/>
      </c>
      <c r="K15" s="19" t="str">
        <f t="shared" si="321"/>
        <v/>
      </c>
      <c r="L15" s="19" t="str">
        <f t="shared" si="321"/>
        <v/>
      </c>
      <c r="M15" s="8"/>
      <c r="N15" s="8">
        <v>1</v>
      </c>
      <c r="O15" s="9">
        <v>1</v>
      </c>
      <c r="P15" s="8">
        <f t="shared" si="318"/>
        <v>28</v>
      </c>
      <c r="Q15" s="106">
        <f t="shared" si="319"/>
        <v>82.35294117647058</v>
      </c>
      <c r="R15" s="7">
        <v>1</v>
      </c>
      <c r="T15">
        <v>1</v>
      </c>
      <c r="U15">
        <v>1</v>
      </c>
      <c r="W15">
        <v>1</v>
      </c>
      <c r="Y15" s="7"/>
      <c r="AA15">
        <v>1</v>
      </c>
      <c r="AC15">
        <v>1</v>
      </c>
      <c r="AD15">
        <v>1</v>
      </c>
      <c r="AF15" s="7"/>
      <c r="AH15">
        <v>1</v>
      </c>
      <c r="AK15">
        <v>1</v>
      </c>
      <c r="AM15" s="7"/>
      <c r="AO15">
        <v>1</v>
      </c>
      <c r="AQ15">
        <v>1</v>
      </c>
      <c r="AR15">
        <v>1</v>
      </c>
      <c r="AT15" s="7"/>
      <c r="AV15">
        <v>1</v>
      </c>
      <c r="AY15">
        <v>1</v>
      </c>
      <c r="BA15" s="7"/>
      <c r="BC15">
        <v>1</v>
      </c>
      <c r="BE15">
        <v>1</v>
      </c>
      <c r="BF15">
        <v>1</v>
      </c>
      <c r="BH15" s="7"/>
      <c r="BJ15">
        <v>1</v>
      </c>
      <c r="BL15">
        <v>1</v>
      </c>
      <c r="BO15" s="7"/>
      <c r="BP15">
        <v>2</v>
      </c>
      <c r="BQ15">
        <v>1</v>
      </c>
      <c r="BR15">
        <v>1</v>
      </c>
      <c r="BS15">
        <v>1</v>
      </c>
      <c r="BT15">
        <v>1</v>
      </c>
      <c r="BU15">
        <v>2</v>
      </c>
      <c r="BW15" s="83" t="s">
        <v>377</v>
      </c>
      <c r="CA15">
        <v>1</v>
      </c>
      <c r="CE15" s="83" t="s">
        <v>380</v>
      </c>
      <c r="CL15" s="7"/>
      <c r="CS15" s="7"/>
      <c r="CZ15" s="7"/>
      <c r="DG15" s="7"/>
      <c r="DN15" s="7"/>
      <c r="DU15" s="7"/>
      <c r="EB15" s="7"/>
      <c r="EI15" s="7"/>
      <c r="EP15" s="7"/>
      <c r="EW15" s="7"/>
      <c r="FD15" s="7"/>
      <c r="FK15" s="7"/>
      <c r="FR15" s="7"/>
      <c r="FY15" s="7"/>
      <c r="GF15" s="7"/>
      <c r="GM15" s="7"/>
      <c r="GT15" s="7"/>
      <c r="HA15" s="7"/>
      <c r="HH15" s="7"/>
      <c r="HO15" s="7"/>
      <c r="HV15" s="7"/>
      <c r="IC15" s="7"/>
      <c r="IJ15" s="7"/>
      <c r="IQ15" s="7"/>
      <c r="IX15" s="7"/>
      <c r="JE15" s="7"/>
      <c r="JL15" s="7"/>
      <c r="JS15" s="7"/>
      <c r="JZ15" s="7"/>
      <c r="KG15" s="7"/>
      <c r="KN15" s="7"/>
      <c r="KU15" s="7"/>
      <c r="LB15" s="7"/>
      <c r="LI15" s="7"/>
      <c r="LP15" s="7"/>
      <c r="LW15" s="7"/>
    </row>
    <row r="16" spans="1:335" x14ac:dyDescent="0.25">
      <c r="A16" s="8" t="s">
        <v>81</v>
      </c>
      <c r="B16" s="8"/>
      <c r="C16" s="8" t="s">
        <v>162</v>
      </c>
      <c r="D16" s="8" t="s">
        <v>124</v>
      </c>
      <c r="E16" s="18">
        <v>38655</v>
      </c>
      <c r="F16" s="10">
        <f t="shared" si="321"/>
        <v>1</v>
      </c>
      <c r="G16" s="19">
        <f t="shared" si="321"/>
        <v>1</v>
      </c>
      <c r="H16" s="19" t="str">
        <f t="shared" si="321"/>
        <v/>
      </c>
      <c r="I16" s="19" t="str">
        <f t="shared" si="321"/>
        <v/>
      </c>
      <c r="J16" s="19" t="str">
        <f t="shared" si="321"/>
        <v/>
      </c>
      <c r="K16" s="19" t="str">
        <f t="shared" si="321"/>
        <v/>
      </c>
      <c r="L16" s="19" t="str">
        <f t="shared" si="321"/>
        <v/>
      </c>
      <c r="M16" s="8"/>
      <c r="N16" s="8">
        <v>1</v>
      </c>
      <c r="O16" s="9">
        <v>1</v>
      </c>
      <c r="P16" s="8">
        <f t="shared" si="318"/>
        <v>23</v>
      </c>
      <c r="Q16" s="106">
        <f t="shared" si="319"/>
        <v>67.64705882352942</v>
      </c>
      <c r="R16" s="7">
        <v>1</v>
      </c>
      <c r="W16">
        <v>1</v>
      </c>
      <c r="Y16" s="7"/>
      <c r="AA16">
        <v>1</v>
      </c>
      <c r="AD16">
        <v>1</v>
      </c>
      <c r="AF16" s="7"/>
      <c r="AH16">
        <v>1</v>
      </c>
      <c r="AJ16">
        <v>1</v>
      </c>
      <c r="AK16">
        <v>1</v>
      </c>
      <c r="AM16" s="7"/>
      <c r="AO16">
        <v>1</v>
      </c>
      <c r="AQ16">
        <v>1</v>
      </c>
      <c r="AT16" s="7"/>
      <c r="AV16">
        <v>1</v>
      </c>
      <c r="AX16">
        <v>1</v>
      </c>
      <c r="BA16" s="7"/>
      <c r="BC16">
        <v>1</v>
      </c>
      <c r="BE16">
        <v>1</v>
      </c>
      <c r="BH16" s="7"/>
      <c r="BJ16">
        <v>1</v>
      </c>
      <c r="BL16">
        <v>1</v>
      </c>
      <c r="BO16" s="7"/>
      <c r="BP16">
        <v>1</v>
      </c>
      <c r="BQ16">
        <v>1</v>
      </c>
      <c r="BR16">
        <v>2</v>
      </c>
      <c r="BS16">
        <v>1</v>
      </c>
      <c r="BT16">
        <v>1</v>
      </c>
      <c r="BU16">
        <v>1</v>
      </c>
      <c r="BW16" s="83" t="s">
        <v>376</v>
      </c>
      <c r="CA16">
        <v>1</v>
      </c>
      <c r="CE16" s="83" t="s">
        <v>380</v>
      </c>
      <c r="CL16" s="7"/>
      <c r="CS16" s="7"/>
      <c r="CZ16" s="7"/>
      <c r="DG16" s="7"/>
      <c r="DN16" s="7"/>
      <c r="DU16" s="7"/>
      <c r="EB16" s="7"/>
      <c r="EI16" s="7"/>
      <c r="EP16" s="7"/>
      <c r="EW16" s="7"/>
      <c r="FD16" s="7"/>
      <c r="FK16" s="7"/>
      <c r="FR16" s="7"/>
      <c r="FY16" s="7"/>
      <c r="GF16" s="7"/>
      <c r="GM16" s="7"/>
      <c r="GT16" s="7"/>
      <c r="HA16" s="7"/>
      <c r="HH16" s="7"/>
      <c r="HO16" s="7"/>
      <c r="HV16" s="7"/>
      <c r="IC16" s="7"/>
      <c r="IJ16" s="7"/>
      <c r="IQ16" s="7"/>
      <c r="IX16" s="7"/>
      <c r="JE16" s="7"/>
      <c r="JL16" s="7"/>
      <c r="JS16" s="7"/>
      <c r="JZ16" s="7"/>
      <c r="KG16" s="7"/>
      <c r="KN16" s="7"/>
      <c r="KU16" s="7"/>
      <c r="LB16" s="7"/>
      <c r="LI16" s="7"/>
      <c r="LP16" s="7"/>
      <c r="LW16" s="7"/>
    </row>
    <row r="17" spans="1:335" x14ac:dyDescent="0.25">
      <c r="A17" s="8" t="s">
        <v>157</v>
      </c>
      <c r="B17" s="8"/>
      <c r="C17" s="8" t="s">
        <v>158</v>
      </c>
      <c r="D17" s="8" t="s">
        <v>141</v>
      </c>
      <c r="E17" s="18">
        <v>37863</v>
      </c>
      <c r="F17" s="10">
        <f t="shared" si="321"/>
        <v>1</v>
      </c>
      <c r="G17" s="19" t="str">
        <f t="shared" si="321"/>
        <v/>
      </c>
      <c r="H17" s="19" t="str">
        <f t="shared" si="321"/>
        <v/>
      </c>
      <c r="I17" s="19" t="str">
        <f t="shared" si="321"/>
        <v/>
      </c>
      <c r="J17" s="19" t="str">
        <f t="shared" si="321"/>
        <v/>
      </c>
      <c r="K17" s="19" t="str">
        <f t="shared" si="321"/>
        <v/>
      </c>
      <c r="L17" s="19" t="str">
        <f t="shared" si="321"/>
        <v/>
      </c>
      <c r="M17" s="8"/>
      <c r="N17" s="8">
        <v>1</v>
      </c>
      <c r="O17" s="9">
        <v>1</v>
      </c>
      <c r="P17" s="8">
        <f t="shared" si="318"/>
        <v>23</v>
      </c>
      <c r="Q17" s="106">
        <f t="shared" si="319"/>
        <v>67.64705882352942</v>
      </c>
      <c r="R17" s="7">
        <v>1</v>
      </c>
      <c r="T17">
        <v>1</v>
      </c>
      <c r="U17">
        <v>1</v>
      </c>
      <c r="W17">
        <v>1</v>
      </c>
      <c r="Y17" s="7"/>
      <c r="AA17">
        <v>1</v>
      </c>
      <c r="AC17">
        <v>1</v>
      </c>
      <c r="AD17">
        <v>1</v>
      </c>
      <c r="AF17" s="7"/>
      <c r="AH17">
        <v>1</v>
      </c>
      <c r="AJ17">
        <v>1</v>
      </c>
      <c r="AM17" s="7"/>
      <c r="AO17">
        <v>1</v>
      </c>
      <c r="AQ17">
        <v>1</v>
      </c>
      <c r="AR17">
        <v>1</v>
      </c>
      <c r="AT17" s="7"/>
      <c r="AV17">
        <v>1</v>
      </c>
      <c r="AX17">
        <v>1</v>
      </c>
      <c r="AY17">
        <v>1</v>
      </c>
      <c r="BA17" s="7"/>
      <c r="BC17">
        <v>1</v>
      </c>
      <c r="BE17">
        <v>1</v>
      </c>
      <c r="BF17">
        <v>1</v>
      </c>
      <c r="BH17" s="7"/>
      <c r="BJ17">
        <v>1</v>
      </c>
      <c r="BL17">
        <v>1</v>
      </c>
      <c r="BO17" s="7">
        <v>1</v>
      </c>
      <c r="BQ17">
        <v>1</v>
      </c>
      <c r="BS17">
        <v>1</v>
      </c>
      <c r="BW17" s="83" t="s">
        <v>381</v>
      </c>
      <c r="CE17" s="83" t="s">
        <v>380</v>
      </c>
      <c r="CL17" s="7"/>
      <c r="CS17" s="7"/>
      <c r="CZ17" s="7"/>
      <c r="DG17" s="7"/>
      <c r="DN17" s="7"/>
      <c r="DU17" s="7"/>
      <c r="EB17" s="7"/>
      <c r="EI17" s="7"/>
      <c r="EP17" s="7"/>
      <c r="EW17" s="7"/>
      <c r="FD17" s="7"/>
      <c r="FK17" s="7"/>
      <c r="FR17" s="7"/>
      <c r="FY17" s="7"/>
      <c r="GF17" s="7"/>
      <c r="GM17" s="7"/>
      <c r="GT17" s="7"/>
      <c r="HA17" s="7"/>
      <c r="HH17" s="7"/>
      <c r="HO17" s="7"/>
      <c r="HV17" s="7"/>
      <c r="IC17" s="7"/>
      <c r="IJ17" s="7"/>
      <c r="IQ17" s="7"/>
      <c r="IX17" s="7"/>
      <c r="JE17" s="7"/>
      <c r="JL17" s="7"/>
      <c r="JS17" s="7"/>
      <c r="JZ17" s="7"/>
      <c r="KG17" s="7"/>
      <c r="KN17" s="7"/>
      <c r="KU17" s="7"/>
      <c r="LB17" s="7"/>
      <c r="LI17" s="7"/>
      <c r="LP17" s="7"/>
      <c r="LW17" s="7"/>
    </row>
    <row r="18" spans="1:335" x14ac:dyDescent="0.25">
      <c r="A18" s="8" t="s">
        <v>81</v>
      </c>
      <c r="B18" s="8"/>
      <c r="C18" s="8" t="s">
        <v>145</v>
      </c>
      <c r="D18" s="8" t="s">
        <v>141</v>
      </c>
      <c r="E18" s="18">
        <v>37863</v>
      </c>
      <c r="F18" s="10">
        <f t="shared" si="321"/>
        <v>1</v>
      </c>
      <c r="G18" s="19" t="str">
        <f t="shared" si="321"/>
        <v/>
      </c>
      <c r="H18" s="19" t="str">
        <f t="shared" si="321"/>
        <v/>
      </c>
      <c r="I18" s="19" t="str">
        <f t="shared" si="321"/>
        <v/>
      </c>
      <c r="J18" s="19" t="str">
        <f t="shared" si="321"/>
        <v/>
      </c>
      <c r="K18" s="19" t="str">
        <f t="shared" si="321"/>
        <v/>
      </c>
      <c r="L18" s="19" t="str">
        <f t="shared" si="321"/>
        <v/>
      </c>
      <c r="M18" s="8"/>
      <c r="N18" s="8">
        <v>1</v>
      </c>
      <c r="O18" s="9">
        <v>1</v>
      </c>
      <c r="P18" s="8">
        <f t="shared" si="318"/>
        <v>21</v>
      </c>
      <c r="Q18" s="106">
        <f t="shared" si="319"/>
        <v>61.764705882352942</v>
      </c>
      <c r="R18" s="7">
        <v>1</v>
      </c>
      <c r="T18">
        <v>1</v>
      </c>
      <c r="U18">
        <v>1</v>
      </c>
      <c r="W18">
        <v>1</v>
      </c>
      <c r="Y18" s="7"/>
      <c r="AC18">
        <v>1</v>
      </c>
      <c r="AD18">
        <v>1</v>
      </c>
      <c r="AF18" s="7"/>
      <c r="AH18">
        <v>1</v>
      </c>
      <c r="AJ18">
        <v>1</v>
      </c>
      <c r="AM18" s="7"/>
      <c r="AO18">
        <v>1</v>
      </c>
      <c r="AQ18">
        <v>1</v>
      </c>
      <c r="AR18">
        <v>1</v>
      </c>
      <c r="AT18" s="7"/>
      <c r="AV18">
        <v>1</v>
      </c>
      <c r="AY18">
        <v>1</v>
      </c>
      <c r="BA18" s="7"/>
      <c r="BC18">
        <v>1</v>
      </c>
      <c r="BE18">
        <v>1</v>
      </c>
      <c r="BF18">
        <v>1</v>
      </c>
      <c r="BH18" s="7"/>
      <c r="BJ18">
        <v>1</v>
      </c>
      <c r="BL18">
        <v>1</v>
      </c>
      <c r="BO18" s="7">
        <v>1</v>
      </c>
      <c r="BQ18">
        <v>1</v>
      </c>
      <c r="BS18">
        <v>1</v>
      </c>
      <c r="BW18" s="83" t="s">
        <v>381</v>
      </c>
      <c r="CE18" s="83" t="s">
        <v>380</v>
      </c>
      <c r="CL18" s="7"/>
      <c r="CS18" s="7"/>
      <c r="CZ18" s="7"/>
      <c r="DG18" s="7"/>
      <c r="DN18" s="7"/>
      <c r="DU18" s="7"/>
      <c r="EB18" s="7"/>
      <c r="EI18" s="7"/>
      <c r="EP18" s="7"/>
      <c r="EW18" s="7"/>
      <c r="FD18" s="7"/>
      <c r="FK18" s="7"/>
      <c r="FR18" s="7"/>
      <c r="FY18" s="7"/>
      <c r="GF18" s="7"/>
      <c r="GM18" s="7"/>
      <c r="GT18" s="7"/>
      <c r="HA18" s="7"/>
      <c r="HH18" s="7"/>
      <c r="HO18" s="7"/>
      <c r="HV18" s="7"/>
      <c r="IC18" s="7"/>
      <c r="IJ18" s="7"/>
      <c r="IQ18" s="7"/>
      <c r="IX18" s="7"/>
      <c r="JE18" s="7"/>
      <c r="JL18" s="7"/>
      <c r="JS18" s="7"/>
      <c r="JZ18" s="7"/>
      <c r="KG18" s="7"/>
      <c r="KN18" s="7"/>
      <c r="KU18" s="7"/>
      <c r="LB18" s="7"/>
      <c r="LI18" s="7"/>
      <c r="LP18" s="7"/>
      <c r="LW18" s="7"/>
    </row>
    <row r="19" spans="1:335" x14ac:dyDescent="0.25">
      <c r="A19" s="8" t="s">
        <v>144</v>
      </c>
      <c r="B19" s="8" t="s">
        <v>143</v>
      </c>
      <c r="C19" s="8" t="s">
        <v>142</v>
      </c>
      <c r="D19" s="8" t="s">
        <v>141</v>
      </c>
      <c r="E19" s="18">
        <v>38954</v>
      </c>
      <c r="F19" s="10">
        <f t="shared" si="321"/>
        <v>1</v>
      </c>
      <c r="G19" s="19">
        <f t="shared" si="321"/>
        <v>1</v>
      </c>
      <c r="H19" s="19">
        <f t="shared" si="321"/>
        <v>1</v>
      </c>
      <c r="I19" s="19" t="str">
        <f t="shared" si="321"/>
        <v/>
      </c>
      <c r="J19" s="19" t="str">
        <f t="shared" si="321"/>
        <v/>
      </c>
      <c r="K19" s="19" t="str">
        <f t="shared" si="321"/>
        <v/>
      </c>
      <c r="L19" s="19" t="str">
        <f t="shared" si="321"/>
        <v/>
      </c>
      <c r="M19" s="8">
        <v>1</v>
      </c>
      <c r="N19" s="8">
        <v>1</v>
      </c>
      <c r="O19" s="9"/>
      <c r="P19" s="8">
        <f t="shared" si="318"/>
        <v>22</v>
      </c>
      <c r="Q19" s="106">
        <f t="shared" si="319"/>
        <v>64.705882352941174</v>
      </c>
      <c r="R19" s="7"/>
      <c r="T19">
        <v>1</v>
      </c>
      <c r="U19">
        <v>1</v>
      </c>
      <c r="W19">
        <v>1</v>
      </c>
      <c r="Y19" s="7"/>
      <c r="AA19">
        <v>1</v>
      </c>
      <c r="AC19">
        <v>1</v>
      </c>
      <c r="AD19">
        <v>1</v>
      </c>
      <c r="AF19" s="7"/>
      <c r="AH19">
        <v>1</v>
      </c>
      <c r="AJ19">
        <v>1</v>
      </c>
      <c r="AM19" s="7"/>
      <c r="AO19">
        <v>1</v>
      </c>
      <c r="AQ19">
        <v>1</v>
      </c>
      <c r="AR19">
        <v>1</v>
      </c>
      <c r="AT19" s="7"/>
      <c r="AV19">
        <v>1</v>
      </c>
      <c r="AW19">
        <v>1</v>
      </c>
      <c r="AX19">
        <v>1</v>
      </c>
      <c r="AY19">
        <v>1</v>
      </c>
      <c r="BA19" s="7"/>
      <c r="BC19">
        <v>1</v>
      </c>
      <c r="BE19">
        <v>1</v>
      </c>
      <c r="BF19">
        <v>1</v>
      </c>
      <c r="BH19" s="7"/>
      <c r="BJ19">
        <v>1</v>
      </c>
      <c r="BL19">
        <v>1</v>
      </c>
      <c r="BO19" s="7"/>
      <c r="BQ19">
        <v>1</v>
      </c>
      <c r="BS19">
        <v>1</v>
      </c>
      <c r="BW19" s="83" t="s">
        <v>381</v>
      </c>
      <c r="CE19" s="83" t="s">
        <v>380</v>
      </c>
      <c r="CL19" s="7"/>
      <c r="CS19" s="7"/>
      <c r="CZ19" s="7"/>
      <c r="DG19" s="7"/>
      <c r="DN19" s="7"/>
      <c r="DU19" s="7"/>
      <c r="EB19" s="7"/>
      <c r="EI19" s="7"/>
      <c r="EP19" s="7"/>
      <c r="EW19" s="7"/>
      <c r="FD19" s="7"/>
      <c r="FK19" s="7"/>
      <c r="FR19" s="7"/>
      <c r="FY19" s="7"/>
      <c r="GF19" s="7"/>
      <c r="GM19" s="7"/>
      <c r="GT19" s="7"/>
      <c r="HA19" s="7"/>
      <c r="HH19" s="7"/>
      <c r="HO19" s="7"/>
      <c r="HV19" s="7"/>
      <c r="IC19" s="7"/>
      <c r="IJ19" s="7"/>
      <c r="IQ19" s="7"/>
      <c r="IX19" s="7"/>
      <c r="JE19" s="7"/>
      <c r="JL19" s="7"/>
      <c r="JS19" s="7"/>
      <c r="JZ19" s="7"/>
      <c r="KG19" s="7"/>
      <c r="KN19" s="7"/>
      <c r="KU19" s="7"/>
      <c r="LB19" s="7"/>
      <c r="LI19" s="7"/>
      <c r="LP19" s="7"/>
      <c r="LW19" s="7"/>
    </row>
    <row r="20" spans="1:335" hidden="1" x14ac:dyDescent="0.25">
      <c r="A20" s="8" t="s">
        <v>164</v>
      </c>
      <c r="B20" s="8" t="s">
        <v>187</v>
      </c>
      <c r="C20" s="8" t="s">
        <v>189</v>
      </c>
      <c r="D20" s="8" t="s">
        <v>188</v>
      </c>
      <c r="E20" s="18"/>
      <c r="F20" s="10" t="str">
        <f t="shared" si="321"/>
        <v/>
      </c>
      <c r="G20" s="19" t="str">
        <f t="shared" si="321"/>
        <v/>
      </c>
      <c r="H20" s="19" t="str">
        <f t="shared" si="321"/>
        <v/>
      </c>
      <c r="I20" s="19" t="str">
        <f t="shared" si="321"/>
        <v/>
      </c>
      <c r="J20" s="19" t="str">
        <f t="shared" si="321"/>
        <v/>
      </c>
      <c r="K20" s="19" t="str">
        <f t="shared" si="321"/>
        <v/>
      </c>
      <c r="L20" s="19" t="str">
        <f t="shared" si="321"/>
        <v/>
      </c>
      <c r="M20" s="8"/>
      <c r="N20" s="8">
        <v>1</v>
      </c>
      <c r="O20" s="9"/>
      <c r="P20" s="8">
        <f t="shared" si="318"/>
        <v>1</v>
      </c>
      <c r="Q20" s="106">
        <f t="shared" si="319"/>
        <v>2.9411764705882351</v>
      </c>
      <c r="R20" s="7">
        <v>1</v>
      </c>
      <c r="Y20" s="7"/>
      <c r="AF20" s="7"/>
      <c r="AM20" s="7"/>
      <c r="AT20" s="7"/>
      <c r="BA20" s="7"/>
      <c r="BH20" s="7"/>
      <c r="BO20" s="7"/>
      <c r="BW20" s="83" t="s">
        <v>381</v>
      </c>
      <c r="CE20" s="83" t="s">
        <v>380</v>
      </c>
      <c r="CL20" s="7"/>
      <c r="CS20" s="7"/>
      <c r="CZ20" s="7"/>
      <c r="DG20" s="7"/>
      <c r="DN20" s="7"/>
      <c r="DU20" s="7"/>
      <c r="EB20" s="7"/>
      <c r="EI20" s="7"/>
      <c r="EP20" s="7"/>
      <c r="EW20" s="7"/>
      <c r="FD20" s="7"/>
      <c r="FK20" s="7"/>
      <c r="FR20" s="7"/>
      <c r="FY20" s="7"/>
      <c r="GF20" s="7"/>
      <c r="GM20" s="7"/>
      <c r="GT20" s="7"/>
      <c r="HA20" s="7"/>
      <c r="HH20" s="7"/>
      <c r="HO20" s="7"/>
      <c r="HV20" s="7"/>
      <c r="IC20" s="7"/>
      <c r="IJ20" s="7"/>
      <c r="IQ20" s="7"/>
      <c r="IX20" s="7"/>
      <c r="JE20" s="7"/>
      <c r="JL20" s="7"/>
      <c r="JS20" s="7"/>
      <c r="JZ20" s="7"/>
      <c r="KG20" s="7"/>
      <c r="KN20" s="7"/>
      <c r="KU20" s="7"/>
      <c r="LB20" s="7"/>
      <c r="LI20" s="7"/>
      <c r="LP20" s="7"/>
      <c r="LW20" s="7"/>
    </row>
    <row r="21" spans="1:335" x14ac:dyDescent="0.25">
      <c r="A21" s="8" t="s">
        <v>140</v>
      </c>
      <c r="B21" s="8" t="s">
        <v>139</v>
      </c>
      <c r="C21" s="8" t="s">
        <v>138</v>
      </c>
      <c r="D21" s="8" t="s">
        <v>137</v>
      </c>
      <c r="E21" s="18">
        <v>39155</v>
      </c>
      <c r="F21" s="10">
        <f t="shared" si="321"/>
        <v>1</v>
      </c>
      <c r="G21" s="19">
        <f t="shared" si="321"/>
        <v>1</v>
      </c>
      <c r="H21" s="19">
        <f t="shared" si="321"/>
        <v>1</v>
      </c>
      <c r="I21" s="19">
        <f t="shared" si="321"/>
        <v>1</v>
      </c>
      <c r="J21" s="19" t="str">
        <f t="shared" si="321"/>
        <v/>
      </c>
      <c r="K21" s="19" t="str">
        <f t="shared" si="321"/>
        <v/>
      </c>
      <c r="L21" s="19" t="str">
        <f t="shared" si="321"/>
        <v/>
      </c>
      <c r="M21" s="8">
        <v>1</v>
      </c>
      <c r="N21" s="8">
        <v>1</v>
      </c>
      <c r="O21" s="9"/>
      <c r="P21" s="8">
        <f t="shared" si="318"/>
        <v>23</v>
      </c>
      <c r="Q21" s="106">
        <f t="shared" si="319"/>
        <v>67.64705882352942</v>
      </c>
      <c r="R21" s="7"/>
      <c r="T21">
        <v>1</v>
      </c>
      <c r="U21">
        <v>1</v>
      </c>
      <c r="W21">
        <v>1</v>
      </c>
      <c r="Y21" s="7"/>
      <c r="AA21">
        <v>1</v>
      </c>
      <c r="AC21">
        <v>1</v>
      </c>
      <c r="AD21">
        <v>1</v>
      </c>
      <c r="AF21" s="7"/>
      <c r="AH21">
        <v>1</v>
      </c>
      <c r="AJ21">
        <v>1</v>
      </c>
      <c r="AK21">
        <v>1</v>
      </c>
      <c r="AM21" s="7"/>
      <c r="AO21">
        <v>1</v>
      </c>
      <c r="AQ21">
        <v>1</v>
      </c>
      <c r="AR21">
        <v>1</v>
      </c>
      <c r="AT21" s="7"/>
      <c r="AV21">
        <v>1</v>
      </c>
      <c r="AW21">
        <v>1</v>
      </c>
      <c r="AX21">
        <v>1</v>
      </c>
      <c r="BA21" s="7"/>
      <c r="BC21">
        <v>1</v>
      </c>
      <c r="BE21">
        <v>1</v>
      </c>
      <c r="BF21">
        <v>1</v>
      </c>
      <c r="BH21" s="7"/>
      <c r="BJ21">
        <v>1</v>
      </c>
      <c r="BL21">
        <v>1</v>
      </c>
      <c r="BO21" s="7">
        <v>1</v>
      </c>
      <c r="BQ21">
        <v>1</v>
      </c>
      <c r="BS21">
        <v>1</v>
      </c>
      <c r="BW21" s="83" t="s">
        <v>381</v>
      </c>
      <c r="CE21" s="83" t="s">
        <v>380</v>
      </c>
      <c r="CL21" s="7"/>
      <c r="CS21" s="7"/>
      <c r="CZ21" s="7"/>
      <c r="DG21" s="7"/>
      <c r="DN21" s="7"/>
      <c r="DU21" s="7"/>
      <c r="EB21" s="7"/>
      <c r="EI21" s="7"/>
      <c r="EP21" s="7"/>
      <c r="EW21" s="7"/>
      <c r="FD21" s="7"/>
      <c r="FK21" s="7"/>
      <c r="FR21" s="7"/>
      <c r="FY21" s="7"/>
      <c r="GF21" s="7"/>
      <c r="GM21" s="7"/>
      <c r="GT21" s="7"/>
      <c r="HA21" s="7"/>
      <c r="HH21" s="7"/>
      <c r="HO21" s="7"/>
      <c r="HV21" s="7"/>
      <c r="IC21" s="7"/>
      <c r="IJ21" s="7"/>
      <c r="IQ21" s="7"/>
      <c r="IX21" s="7"/>
      <c r="JE21" s="7"/>
      <c r="JL21" s="7"/>
      <c r="JS21" s="7"/>
      <c r="JZ21" s="7"/>
      <c r="KG21" s="7"/>
      <c r="KN21" s="7"/>
      <c r="KU21" s="7"/>
      <c r="LB21" s="7"/>
      <c r="LI21" s="7"/>
      <c r="LP21" s="7"/>
      <c r="LW21" s="7"/>
    </row>
    <row r="22" spans="1:335" x14ac:dyDescent="0.25">
      <c r="A22" s="8" t="s">
        <v>136</v>
      </c>
      <c r="B22" s="8" t="s">
        <v>135</v>
      </c>
      <c r="C22" s="8" t="s">
        <v>172</v>
      </c>
      <c r="D22" s="8" t="s">
        <v>173</v>
      </c>
      <c r="E22" s="18">
        <v>37177</v>
      </c>
      <c r="F22" s="10" t="str">
        <f t="shared" si="321"/>
        <v/>
      </c>
      <c r="G22" s="19" t="str">
        <f t="shared" si="321"/>
        <v/>
      </c>
      <c r="H22" s="19" t="str">
        <f t="shared" si="321"/>
        <v/>
      </c>
      <c r="I22" s="19" t="str">
        <f t="shared" si="321"/>
        <v/>
      </c>
      <c r="J22" s="19" t="str">
        <f t="shared" si="321"/>
        <v/>
      </c>
      <c r="K22" s="19" t="str">
        <f t="shared" si="321"/>
        <v/>
      </c>
      <c r="L22" s="19" t="str">
        <f t="shared" si="321"/>
        <v/>
      </c>
      <c r="M22" s="8"/>
      <c r="N22" s="8"/>
      <c r="O22" s="9">
        <v>1</v>
      </c>
      <c r="P22" s="8">
        <f t="shared" si="318"/>
        <v>14</v>
      </c>
      <c r="Q22" s="106">
        <f t="shared" si="319"/>
        <v>41.17647058823529</v>
      </c>
      <c r="R22" s="7">
        <v>1</v>
      </c>
      <c r="T22">
        <v>1</v>
      </c>
      <c r="U22">
        <v>1</v>
      </c>
      <c r="Y22" s="7"/>
      <c r="AA22">
        <v>1</v>
      </c>
      <c r="AF22" s="7"/>
      <c r="AM22" s="7"/>
      <c r="AT22" s="7"/>
      <c r="AV22">
        <v>1</v>
      </c>
      <c r="AY22">
        <v>1</v>
      </c>
      <c r="BA22" s="7"/>
      <c r="BE22">
        <v>1</v>
      </c>
      <c r="BF22">
        <v>1</v>
      </c>
      <c r="BH22" s="7"/>
      <c r="BJ22">
        <v>1</v>
      </c>
      <c r="BL22">
        <v>1</v>
      </c>
      <c r="BO22" s="7"/>
      <c r="BQ22">
        <v>1</v>
      </c>
      <c r="BS22">
        <v>1</v>
      </c>
      <c r="BV22">
        <v>1</v>
      </c>
      <c r="BW22" s="83" t="s">
        <v>379</v>
      </c>
      <c r="CA22">
        <v>1</v>
      </c>
      <c r="CE22" s="83" t="s">
        <v>380</v>
      </c>
      <c r="CL22" s="7"/>
      <c r="CS22" s="7"/>
      <c r="CZ22" s="7"/>
      <c r="DG22" s="7"/>
      <c r="DN22" s="7"/>
      <c r="DU22" s="7"/>
      <c r="EB22" s="7"/>
      <c r="EI22" s="7"/>
      <c r="EP22" s="7"/>
      <c r="EW22" s="7"/>
      <c r="FD22" s="7"/>
      <c r="FK22" s="7"/>
      <c r="FR22" s="7"/>
      <c r="FY22" s="7"/>
      <c r="GF22" s="7"/>
      <c r="GM22" s="7"/>
      <c r="GT22" s="7"/>
      <c r="HA22" s="7"/>
      <c r="HH22" s="7"/>
      <c r="HO22" s="7"/>
      <c r="HV22" s="7"/>
      <c r="IC22" s="7"/>
      <c r="IJ22" s="7"/>
      <c r="IQ22" s="7"/>
      <c r="IX22" s="7"/>
      <c r="JE22" s="7"/>
      <c r="JL22" s="7"/>
      <c r="JS22" s="7"/>
      <c r="JZ22" s="7"/>
      <c r="KG22" s="7"/>
      <c r="KN22" s="7"/>
      <c r="KU22" s="7"/>
      <c r="LB22" s="7"/>
      <c r="LI22" s="7"/>
      <c r="LP22" s="7"/>
      <c r="LW22" s="7"/>
    </row>
    <row r="23" spans="1:335" x14ac:dyDescent="0.25">
      <c r="A23" s="8" t="s">
        <v>127</v>
      </c>
      <c r="B23" s="8" t="s">
        <v>169</v>
      </c>
      <c r="C23" s="8" t="s">
        <v>170</v>
      </c>
      <c r="D23" s="8" t="s">
        <v>171</v>
      </c>
      <c r="E23" s="18">
        <v>36870</v>
      </c>
      <c r="F23" s="10" t="str">
        <f t="shared" si="321"/>
        <v/>
      </c>
      <c r="G23" s="19" t="str">
        <f t="shared" si="321"/>
        <v/>
      </c>
      <c r="H23" s="19" t="str">
        <f t="shared" si="321"/>
        <v/>
      </c>
      <c r="I23" s="19" t="str">
        <f t="shared" si="321"/>
        <v/>
      </c>
      <c r="J23" s="19" t="str">
        <f t="shared" si="321"/>
        <v/>
      </c>
      <c r="K23" s="19" t="str">
        <f t="shared" si="321"/>
        <v/>
      </c>
      <c r="L23" s="19" t="str">
        <f t="shared" si="321"/>
        <v/>
      </c>
      <c r="M23" s="8"/>
      <c r="N23" s="8"/>
      <c r="O23" s="9">
        <v>1</v>
      </c>
      <c r="P23" s="8">
        <f t="shared" si="318"/>
        <v>18</v>
      </c>
      <c r="Q23" s="106">
        <f t="shared" si="319"/>
        <v>52.941176470588239</v>
      </c>
      <c r="R23" s="7">
        <v>1</v>
      </c>
      <c r="Y23" s="7"/>
      <c r="AA23">
        <v>1</v>
      </c>
      <c r="AC23">
        <v>1</v>
      </c>
      <c r="AD23">
        <v>1</v>
      </c>
      <c r="AF23" s="7"/>
      <c r="AH23">
        <v>1</v>
      </c>
      <c r="AJ23">
        <v>1</v>
      </c>
      <c r="AK23">
        <v>1</v>
      </c>
      <c r="AM23" s="7"/>
      <c r="AO23">
        <v>1</v>
      </c>
      <c r="AQ23">
        <v>1</v>
      </c>
      <c r="AR23">
        <v>1</v>
      </c>
      <c r="AT23" s="7"/>
      <c r="AX23">
        <v>1</v>
      </c>
      <c r="AY23">
        <v>1</v>
      </c>
      <c r="BA23" s="7"/>
      <c r="BC23">
        <v>1</v>
      </c>
      <c r="BF23">
        <v>1</v>
      </c>
      <c r="BH23" s="7"/>
      <c r="BJ23">
        <v>1</v>
      </c>
      <c r="BL23">
        <v>1</v>
      </c>
      <c r="BO23" s="7"/>
      <c r="BQ23">
        <v>1</v>
      </c>
      <c r="BW23" s="83" t="s">
        <v>382</v>
      </c>
      <c r="CA23">
        <v>1</v>
      </c>
      <c r="CE23" s="83" t="s">
        <v>380</v>
      </c>
      <c r="CG23" s="34"/>
      <c r="CL23" s="7"/>
      <c r="CS23" s="7"/>
      <c r="CZ23" s="7"/>
      <c r="DG23" s="7"/>
      <c r="DN23" s="7"/>
      <c r="DU23" s="7"/>
      <c r="EB23" s="7"/>
      <c r="EI23" s="7"/>
      <c r="EP23" s="7"/>
      <c r="EW23" s="7"/>
      <c r="FD23" s="7"/>
      <c r="FK23" s="7"/>
      <c r="FR23" s="7"/>
      <c r="FY23" s="7"/>
      <c r="GF23" s="7"/>
      <c r="GM23" s="7"/>
      <c r="GT23" s="7"/>
      <c r="HA23" s="7"/>
      <c r="HH23" s="7"/>
      <c r="HO23" s="7"/>
      <c r="HV23" s="7"/>
      <c r="IC23" s="7"/>
      <c r="IJ23" s="7"/>
      <c r="IQ23" s="7"/>
      <c r="IX23" s="7"/>
      <c r="JE23" s="7"/>
      <c r="JL23" s="7"/>
      <c r="JS23" s="7"/>
      <c r="JZ23" s="7"/>
      <c r="KG23" s="7"/>
      <c r="KN23" s="7"/>
      <c r="KU23" s="7"/>
      <c r="LB23" s="7"/>
      <c r="LI23" s="7"/>
      <c r="LP23" s="7"/>
      <c r="LW23" s="7"/>
    </row>
    <row r="24" spans="1:335" x14ac:dyDescent="0.25">
      <c r="A24" s="8" t="s">
        <v>184</v>
      </c>
      <c r="B24" s="8" t="s">
        <v>185</v>
      </c>
      <c r="C24" s="8" t="s">
        <v>186</v>
      </c>
      <c r="D24" s="8" t="s">
        <v>82</v>
      </c>
      <c r="E24" s="18">
        <v>38054</v>
      </c>
      <c r="F24" s="10">
        <f t="shared" si="321"/>
        <v>1</v>
      </c>
      <c r="G24" s="19">
        <f t="shared" si="321"/>
        <v>1</v>
      </c>
      <c r="H24" s="19" t="str">
        <f t="shared" si="321"/>
        <v/>
      </c>
      <c r="I24" s="19" t="str">
        <f t="shared" si="321"/>
        <v/>
      </c>
      <c r="J24" s="19" t="str">
        <f t="shared" si="321"/>
        <v/>
      </c>
      <c r="K24" s="19" t="str">
        <f t="shared" si="321"/>
        <v/>
      </c>
      <c r="L24" s="19" t="str">
        <f t="shared" si="321"/>
        <v/>
      </c>
      <c r="M24" s="8"/>
      <c r="N24" s="8">
        <v>1</v>
      </c>
      <c r="O24" s="9">
        <v>1</v>
      </c>
      <c r="P24" s="8">
        <f t="shared" si="318"/>
        <v>20</v>
      </c>
      <c r="Q24" s="106">
        <f t="shared" si="319"/>
        <v>58.82352941176471</v>
      </c>
      <c r="R24" s="7">
        <v>1</v>
      </c>
      <c r="T24">
        <v>1</v>
      </c>
      <c r="U24">
        <v>1</v>
      </c>
      <c r="Y24" s="7"/>
      <c r="AA24">
        <v>1</v>
      </c>
      <c r="AD24">
        <v>1</v>
      </c>
      <c r="AF24" s="7"/>
      <c r="AH24">
        <v>1</v>
      </c>
      <c r="AJ24">
        <v>1</v>
      </c>
      <c r="AK24">
        <v>1</v>
      </c>
      <c r="AM24" s="7"/>
      <c r="AO24">
        <v>1</v>
      </c>
      <c r="AQ24">
        <v>1</v>
      </c>
      <c r="AT24" s="7"/>
      <c r="AX24">
        <v>1</v>
      </c>
      <c r="AY24">
        <v>1</v>
      </c>
      <c r="BA24" s="7"/>
      <c r="BC24">
        <v>1</v>
      </c>
      <c r="BE24">
        <v>1</v>
      </c>
      <c r="BF24">
        <v>1</v>
      </c>
      <c r="BH24" s="7"/>
      <c r="BJ24">
        <v>1</v>
      </c>
      <c r="BL24">
        <v>1</v>
      </c>
      <c r="BO24" s="7">
        <v>1</v>
      </c>
      <c r="BQ24">
        <v>1</v>
      </c>
      <c r="BS24">
        <v>1</v>
      </c>
      <c r="BW24" s="83" t="s">
        <v>381</v>
      </c>
      <c r="CE24" s="83" t="s">
        <v>380</v>
      </c>
      <c r="CG24" t="s">
        <v>355</v>
      </c>
      <c r="CL24" s="7"/>
      <c r="CS24" s="7"/>
      <c r="CZ24" s="7"/>
      <c r="DG24" s="7"/>
      <c r="DN24" s="7"/>
      <c r="DU24" s="7"/>
      <c r="EB24" s="7"/>
      <c r="EI24" s="7"/>
      <c r="EP24" s="7"/>
      <c r="EW24" s="7"/>
      <c r="FD24" s="7"/>
      <c r="FK24" s="7"/>
      <c r="FR24" s="7"/>
      <c r="FY24" s="7"/>
      <c r="GF24" s="7"/>
      <c r="GM24" s="7"/>
      <c r="GT24" s="7"/>
      <c r="HA24" s="7"/>
      <c r="HH24" s="7"/>
      <c r="HO24" s="7"/>
      <c r="HV24" s="7"/>
      <c r="IC24" s="7"/>
      <c r="IJ24" s="7"/>
      <c r="IQ24" s="7"/>
      <c r="IX24" s="7"/>
      <c r="JE24" s="7"/>
      <c r="JL24" s="7"/>
      <c r="JS24" s="7"/>
      <c r="JZ24" s="7"/>
      <c r="KG24" s="7"/>
      <c r="KN24" s="7"/>
      <c r="KU24" s="7"/>
      <c r="LB24" s="7"/>
      <c r="LI24" s="7"/>
      <c r="LP24" s="7"/>
      <c r="LW24" s="7"/>
    </row>
    <row r="25" spans="1:335" hidden="1" x14ac:dyDescent="0.25">
      <c r="A25" s="8" t="s">
        <v>131</v>
      </c>
      <c r="B25" s="8"/>
      <c r="C25" s="8" t="s">
        <v>167</v>
      </c>
      <c r="D25" s="8" t="s">
        <v>168</v>
      </c>
      <c r="E25" s="18">
        <v>36892</v>
      </c>
      <c r="F25" s="10" t="str">
        <f t="shared" si="321"/>
        <v/>
      </c>
      <c r="G25" s="19" t="str">
        <f t="shared" si="321"/>
        <v/>
      </c>
      <c r="H25" s="19" t="str">
        <f t="shared" si="321"/>
        <v/>
      </c>
      <c r="I25" s="19" t="str">
        <f t="shared" si="321"/>
        <v/>
      </c>
      <c r="J25" s="19" t="str">
        <f t="shared" si="321"/>
        <v/>
      </c>
      <c r="K25" s="19" t="str">
        <f t="shared" si="321"/>
        <v/>
      </c>
      <c r="L25" s="19" t="str">
        <f t="shared" si="321"/>
        <v/>
      </c>
      <c r="M25" s="8"/>
      <c r="N25" s="8"/>
      <c r="O25" s="9">
        <v>1</v>
      </c>
      <c r="P25" s="8" t="str">
        <f t="shared" si="318"/>
        <v/>
      </c>
      <c r="Q25" s="106" t="str">
        <f t="shared" si="319"/>
        <v/>
      </c>
      <c r="R25" s="7"/>
      <c r="Y25" s="7"/>
      <c r="AF25" s="7"/>
      <c r="AM25" s="7"/>
      <c r="AT25" s="7"/>
      <c r="BA25" s="7"/>
      <c r="BH25" s="7"/>
      <c r="BO25" s="7"/>
      <c r="BW25" s="82"/>
      <c r="CE25" s="83" t="s">
        <v>380</v>
      </c>
      <c r="CL25" s="7"/>
      <c r="CS25" s="7"/>
      <c r="CZ25" s="7"/>
      <c r="DG25" s="7"/>
      <c r="DN25" s="7"/>
      <c r="DU25" s="7"/>
      <c r="EB25" s="7"/>
      <c r="EI25" s="7"/>
      <c r="EP25" s="7"/>
      <c r="EW25" s="7"/>
      <c r="FD25" s="7"/>
      <c r="FK25" s="7"/>
      <c r="FR25" s="7"/>
      <c r="FY25" s="7"/>
      <c r="GF25" s="7"/>
      <c r="GM25" s="7"/>
      <c r="GT25" s="7"/>
      <c r="HA25" s="7"/>
      <c r="HH25" s="7"/>
      <c r="HO25" s="7"/>
      <c r="HV25" s="7"/>
      <c r="IC25" s="7"/>
      <c r="IJ25" s="7"/>
      <c r="IQ25" s="7"/>
      <c r="IX25" s="7"/>
      <c r="JE25" s="7"/>
      <c r="JL25" s="7"/>
      <c r="JS25" s="7"/>
      <c r="JZ25" s="7"/>
      <c r="KG25" s="7"/>
      <c r="KN25" s="7"/>
      <c r="KU25" s="7"/>
      <c r="LB25" s="7"/>
      <c r="LI25" s="7"/>
      <c r="LP25" s="7"/>
      <c r="LW25" s="7"/>
    </row>
    <row r="26" spans="1:335" x14ac:dyDescent="0.25">
      <c r="A26" s="8" t="s">
        <v>134</v>
      </c>
      <c r="B26" s="8"/>
      <c r="C26" s="8" t="s">
        <v>133</v>
      </c>
      <c r="D26" s="8" t="s">
        <v>132</v>
      </c>
      <c r="E26" s="18">
        <v>39280</v>
      </c>
      <c r="F26" s="10">
        <f t="shared" si="321"/>
        <v>1</v>
      </c>
      <c r="G26" s="19">
        <f t="shared" si="321"/>
        <v>1</v>
      </c>
      <c r="H26" s="19">
        <f t="shared" si="321"/>
        <v>1</v>
      </c>
      <c r="I26" s="19">
        <f t="shared" si="321"/>
        <v>1</v>
      </c>
      <c r="J26" s="19" t="str">
        <f t="shared" si="321"/>
        <v/>
      </c>
      <c r="K26" s="19" t="str">
        <f t="shared" si="321"/>
        <v/>
      </c>
      <c r="L26" s="19" t="str">
        <f t="shared" si="321"/>
        <v/>
      </c>
      <c r="M26" s="8">
        <v>1</v>
      </c>
      <c r="N26" s="8">
        <v>1</v>
      </c>
      <c r="O26" s="9"/>
      <c r="P26" s="8">
        <f t="shared" si="318"/>
        <v>17</v>
      </c>
      <c r="Q26" s="106">
        <f t="shared" si="319"/>
        <v>50</v>
      </c>
      <c r="R26" s="7"/>
      <c r="T26">
        <v>1</v>
      </c>
      <c r="W26">
        <v>1</v>
      </c>
      <c r="Y26" s="7"/>
      <c r="AA26">
        <v>1</v>
      </c>
      <c r="AC26">
        <v>1</v>
      </c>
      <c r="AD26">
        <v>1</v>
      </c>
      <c r="AF26" s="7"/>
      <c r="AH26">
        <v>1</v>
      </c>
      <c r="AJ26">
        <v>1</v>
      </c>
      <c r="AM26" s="7"/>
      <c r="AO26">
        <v>1</v>
      </c>
      <c r="AQ26">
        <v>1</v>
      </c>
      <c r="AR26">
        <v>1</v>
      </c>
      <c r="AT26" s="7"/>
      <c r="AV26">
        <v>1</v>
      </c>
      <c r="AX26">
        <v>1</v>
      </c>
      <c r="BA26" s="7"/>
      <c r="BC26">
        <v>1</v>
      </c>
      <c r="BE26">
        <v>1</v>
      </c>
      <c r="BH26" s="7"/>
      <c r="BJ26">
        <v>1</v>
      </c>
      <c r="BL26">
        <v>1</v>
      </c>
      <c r="BO26" s="7"/>
      <c r="BQ26">
        <v>1</v>
      </c>
      <c r="BW26" s="83" t="s">
        <v>382</v>
      </c>
      <c r="CE26" s="83" t="s">
        <v>380</v>
      </c>
      <c r="CG26" t="s">
        <v>370</v>
      </c>
      <c r="CL26" s="7"/>
      <c r="CS26" s="7"/>
      <c r="CZ26" s="7"/>
      <c r="DG26" s="7"/>
      <c r="DN26" s="7"/>
      <c r="DU26" s="7"/>
      <c r="EB26" s="7"/>
      <c r="EI26" s="7"/>
      <c r="EP26" s="7"/>
      <c r="EW26" s="7"/>
      <c r="FD26" s="7"/>
      <c r="FK26" s="7"/>
      <c r="FR26" s="7"/>
      <c r="FY26" s="7"/>
      <c r="GF26" s="7"/>
      <c r="GM26" s="7"/>
      <c r="GT26" s="7"/>
      <c r="HA26" s="7"/>
      <c r="HH26" s="7"/>
      <c r="HO26" s="7"/>
      <c r="HV26" s="7"/>
      <c r="IC26" s="7"/>
      <c r="IJ26" s="7"/>
      <c r="IQ26" s="7"/>
      <c r="IX26" s="7"/>
      <c r="JE26" s="7"/>
      <c r="JL26" s="7"/>
      <c r="JS26" s="7"/>
      <c r="JZ26" s="7"/>
      <c r="KG26" s="7"/>
      <c r="KN26" s="7"/>
      <c r="KU26" s="7"/>
      <c r="LB26" s="7"/>
      <c r="LI26" s="7"/>
      <c r="LP26" s="7"/>
      <c r="LW26" s="7"/>
    </row>
    <row r="27" spans="1:335" x14ac:dyDescent="0.25">
      <c r="A27" s="36" t="s">
        <v>93</v>
      </c>
      <c r="B27" s="36"/>
      <c r="C27" s="36" t="s">
        <v>161</v>
      </c>
      <c r="D27" s="36" t="s">
        <v>123</v>
      </c>
      <c r="E27" s="78">
        <v>38544</v>
      </c>
      <c r="F27" s="10">
        <f t="shared" si="321"/>
        <v>1</v>
      </c>
      <c r="G27" s="19">
        <f t="shared" si="321"/>
        <v>1</v>
      </c>
      <c r="H27" s="19" t="str">
        <f t="shared" si="321"/>
        <v/>
      </c>
      <c r="I27" s="19" t="str">
        <f t="shared" si="321"/>
        <v/>
      </c>
      <c r="J27" s="19" t="str">
        <f t="shared" si="321"/>
        <v/>
      </c>
      <c r="K27" s="19" t="str">
        <f t="shared" si="321"/>
        <v/>
      </c>
      <c r="L27" s="19" t="str">
        <f t="shared" si="321"/>
        <v/>
      </c>
      <c r="M27" s="8"/>
      <c r="N27" s="8">
        <v>1</v>
      </c>
      <c r="O27" s="9"/>
      <c r="P27" s="8" t="str">
        <f t="shared" si="318"/>
        <v/>
      </c>
      <c r="Q27" s="106" t="str">
        <f>IF(SUM(R27:XFD27) &gt; 0, SUM(R27:XFD27) / $P$82 * 100, "")</f>
        <v/>
      </c>
      <c r="R27" s="7"/>
      <c r="Y27" s="7"/>
      <c r="AF27" s="7"/>
      <c r="AM27" s="7"/>
      <c r="AT27" s="7"/>
      <c r="BA27" s="7"/>
      <c r="BH27" s="7"/>
      <c r="BO27" s="7"/>
      <c r="BW27" s="82"/>
      <c r="CE27" s="83" t="s">
        <v>380</v>
      </c>
      <c r="CL27" s="7"/>
      <c r="CS27" s="7"/>
      <c r="CZ27" s="7"/>
      <c r="DG27" s="7"/>
      <c r="DN27" s="7"/>
      <c r="DU27" s="7"/>
      <c r="EB27" s="7"/>
      <c r="EI27" s="7"/>
      <c r="EP27" s="7"/>
      <c r="EW27" s="7"/>
      <c r="FD27" s="7"/>
      <c r="FK27" s="7"/>
      <c r="FR27" s="7"/>
      <c r="FY27" s="7"/>
      <c r="GF27" s="7"/>
      <c r="GM27" s="7"/>
      <c r="GT27" s="7"/>
      <c r="HA27" s="7"/>
      <c r="HH27" s="7"/>
      <c r="HO27" s="7"/>
      <c r="HV27" s="7"/>
      <c r="IC27" s="7"/>
      <c r="IJ27" s="7"/>
      <c r="IQ27" s="7"/>
      <c r="IX27" s="7"/>
      <c r="JE27" s="7"/>
      <c r="JL27" s="7"/>
      <c r="JS27" s="7"/>
      <c r="JZ27" s="7"/>
      <c r="KG27" s="7"/>
      <c r="KN27" s="7"/>
      <c r="KU27" s="7"/>
      <c r="LB27" s="7"/>
      <c r="LI27" s="7"/>
      <c r="LP27" s="7"/>
      <c r="LW27" s="7"/>
    </row>
    <row r="28" spans="1:335" x14ac:dyDescent="0.25">
      <c r="A28" s="8" t="s">
        <v>116</v>
      </c>
      <c r="B28" s="8"/>
      <c r="C28" s="8" t="s">
        <v>247</v>
      </c>
      <c r="D28" s="8" t="s">
        <v>248</v>
      </c>
      <c r="E28" s="18">
        <v>36526</v>
      </c>
      <c r="F28" s="10" t="str">
        <f t="shared" si="321"/>
        <v/>
      </c>
      <c r="G28" s="19" t="str">
        <f t="shared" ref="G28:L28" si="322">IF($E28 &gt;= G$5, 1, "")</f>
        <v/>
      </c>
      <c r="H28" s="19" t="str">
        <f t="shared" si="322"/>
        <v/>
      </c>
      <c r="I28" s="19" t="str">
        <f t="shared" si="322"/>
        <v/>
      </c>
      <c r="J28" s="19" t="str">
        <f t="shared" si="322"/>
        <v/>
      </c>
      <c r="K28" s="19" t="str">
        <f t="shared" si="322"/>
        <v/>
      </c>
      <c r="L28" s="19" t="str">
        <f t="shared" si="322"/>
        <v/>
      </c>
      <c r="M28" s="8"/>
      <c r="N28" s="8"/>
      <c r="O28" s="9"/>
      <c r="P28" s="8">
        <f t="shared" si="318"/>
        <v>13</v>
      </c>
      <c r="Q28" s="106">
        <f>IF(SUM(R28:XFD28) &gt; 0, SUM(R28:XFD28) / $P$82 * 100, "")</f>
        <v>46.428571428571431</v>
      </c>
      <c r="R28" s="7"/>
      <c r="Y28" s="7"/>
      <c r="AF28" s="7"/>
      <c r="AH28">
        <v>1</v>
      </c>
      <c r="AJ28">
        <v>1</v>
      </c>
      <c r="AM28" s="7"/>
      <c r="AO28">
        <v>1</v>
      </c>
      <c r="AQ28">
        <v>1</v>
      </c>
      <c r="AR28">
        <v>1</v>
      </c>
      <c r="AT28" s="7"/>
      <c r="AX28">
        <v>1</v>
      </c>
      <c r="AY28">
        <v>1</v>
      </c>
      <c r="BA28" s="7"/>
      <c r="BC28">
        <v>1</v>
      </c>
      <c r="BE28">
        <v>1</v>
      </c>
      <c r="BF28">
        <v>1</v>
      </c>
      <c r="BH28" s="7"/>
      <c r="BJ28">
        <v>1</v>
      </c>
      <c r="BO28" s="7"/>
      <c r="BQ28">
        <v>1</v>
      </c>
      <c r="BS28">
        <v>1</v>
      </c>
      <c r="BW28" s="82"/>
      <c r="CE28" s="83" t="s">
        <v>380</v>
      </c>
      <c r="CL28" s="7"/>
      <c r="CS28" s="7"/>
      <c r="CZ28" s="7"/>
      <c r="DG28" s="7"/>
      <c r="DN28" s="7"/>
      <c r="DU28" s="7"/>
      <c r="EB28" s="7"/>
      <c r="EI28" s="7"/>
      <c r="EP28" s="7"/>
      <c r="EW28" s="7"/>
      <c r="FD28" s="7"/>
      <c r="FK28" s="7"/>
      <c r="FR28" s="7"/>
      <c r="FY28" s="7"/>
      <c r="GF28" s="7"/>
      <c r="GM28" s="7"/>
      <c r="GT28" s="7"/>
      <c r="HA28" s="7"/>
      <c r="HH28" s="7"/>
      <c r="HO28" s="7"/>
      <c r="HV28" s="7"/>
      <c r="IC28" s="7"/>
      <c r="IJ28" s="7"/>
      <c r="IQ28" s="7"/>
      <c r="IX28" s="7"/>
      <c r="JE28" s="7"/>
      <c r="JL28" s="7"/>
      <c r="JS28" s="7"/>
      <c r="JZ28" s="7"/>
      <c r="KG28" s="7"/>
      <c r="KN28" s="7"/>
      <c r="KU28" s="7"/>
      <c r="LB28" s="7"/>
      <c r="LI28" s="7"/>
      <c r="LP28" s="7"/>
      <c r="LW28" s="7"/>
    </row>
    <row r="29" spans="1:335" x14ac:dyDescent="0.25">
      <c r="A29" s="8" t="s">
        <v>356</v>
      </c>
      <c r="B29" s="8"/>
      <c r="C29" s="8"/>
      <c r="D29" s="8"/>
      <c r="E29" s="18"/>
      <c r="F29" s="10"/>
      <c r="G29" s="19"/>
      <c r="H29" s="19"/>
      <c r="I29" s="19"/>
      <c r="J29" s="19"/>
      <c r="K29" s="19"/>
      <c r="L29" s="19"/>
      <c r="M29" s="8"/>
      <c r="N29" s="8"/>
      <c r="O29" s="9"/>
      <c r="P29" s="8">
        <f t="shared" si="318"/>
        <v>2</v>
      </c>
      <c r="Q29" s="106">
        <f>IF(SUM(R29:XFD29) &gt; 0, SUM(R29:XFD29) / $P$82 * 100, "")</f>
        <v>7.1428571428571423</v>
      </c>
      <c r="R29" s="7"/>
      <c r="Y29" s="7"/>
      <c r="AF29" s="7"/>
      <c r="AM29" s="7"/>
      <c r="AT29" s="7"/>
      <c r="BA29" s="7"/>
      <c r="BH29" s="7"/>
      <c r="BL29">
        <v>1</v>
      </c>
      <c r="BO29" s="7"/>
      <c r="BS29">
        <v>1</v>
      </c>
      <c r="BW29" s="82"/>
      <c r="CE29" s="83" t="s">
        <v>380</v>
      </c>
      <c r="CL29" s="7"/>
      <c r="CS29" s="7"/>
      <c r="CZ29" s="7"/>
      <c r="DG29" s="7"/>
      <c r="DN29" s="7"/>
      <c r="DU29" s="7"/>
      <c r="EB29" s="7"/>
      <c r="EI29" s="7"/>
      <c r="EP29" s="7"/>
      <c r="EW29" s="7"/>
      <c r="FD29" s="7"/>
      <c r="FK29" s="7"/>
      <c r="FR29" s="7"/>
      <c r="FY29" s="7"/>
      <c r="GF29" s="7"/>
      <c r="GM29" s="7"/>
      <c r="GT29" s="7"/>
      <c r="HA29" s="7"/>
      <c r="HH29" s="7"/>
      <c r="HO29" s="7"/>
      <c r="HV29" s="7"/>
      <c r="IC29" s="7"/>
      <c r="IJ29" s="7"/>
      <c r="IQ29" s="7"/>
      <c r="IX29" s="7"/>
      <c r="JE29" s="7"/>
      <c r="JL29" s="7"/>
      <c r="JS29" s="7"/>
      <c r="JZ29" s="7"/>
      <c r="KG29" s="7"/>
      <c r="KN29" s="7"/>
      <c r="KU29" s="7"/>
      <c r="LB29" s="7"/>
      <c r="LI29" s="7"/>
      <c r="LP29" s="7"/>
      <c r="LW29" s="7"/>
    </row>
    <row r="30" spans="1:335" ht="7.5" customHeight="1" thickBot="1" x14ac:dyDescent="0.3">
      <c r="A30" s="8"/>
      <c r="B30" s="8"/>
      <c r="C30" s="8"/>
      <c r="D30" s="8"/>
      <c r="E30" s="8"/>
      <c r="F30" s="10"/>
      <c r="G30" s="19"/>
      <c r="H30" s="19"/>
      <c r="I30" s="8"/>
      <c r="J30" s="8"/>
      <c r="K30" s="8"/>
      <c r="L30" s="8"/>
      <c r="M30" s="8"/>
      <c r="N30" s="8"/>
      <c r="O30" s="9"/>
      <c r="P30" s="8" t="str">
        <f>IF(SUM(Q30:LW30) &gt; 0, SUM(Q30:LW30), "")</f>
        <v/>
      </c>
      <c r="Q30" s="9" t="str">
        <f>IF(SUM(R30:XFD30) &gt; 0, SUM(R30:XFD30), "")</f>
        <v/>
      </c>
      <c r="R30" s="7"/>
      <c r="Y30" s="41"/>
      <c r="AF30" s="7"/>
      <c r="AM30" s="7"/>
      <c r="AT30" s="7"/>
      <c r="BA30" s="7"/>
      <c r="BH30" s="7"/>
      <c r="BO30" s="7"/>
      <c r="BW30" s="82"/>
      <c r="CE30" s="7"/>
      <c r="CL30" s="7"/>
      <c r="CS30" s="7"/>
      <c r="CZ30" s="7"/>
      <c r="DG30" s="7"/>
      <c r="DN30" s="7"/>
      <c r="DU30" s="7"/>
      <c r="EB30" s="7"/>
      <c r="EI30" s="7"/>
      <c r="EP30" s="7"/>
      <c r="EW30" s="7"/>
      <c r="FD30" s="7"/>
      <c r="FK30" s="7"/>
      <c r="FR30" s="7"/>
      <c r="FY30" s="7"/>
      <c r="GF30" s="7"/>
      <c r="GM30" s="7"/>
      <c r="GT30" s="7"/>
      <c r="HA30" s="7"/>
      <c r="HH30" s="7"/>
      <c r="HO30" s="7"/>
      <c r="HV30" s="7"/>
      <c r="IC30" s="7"/>
      <c r="IJ30" s="7"/>
      <c r="IQ30" s="7"/>
      <c r="IX30" s="7"/>
      <c r="JE30" s="7"/>
      <c r="JL30" s="7"/>
      <c r="JS30" s="7"/>
      <c r="JZ30" s="7"/>
      <c r="KG30" s="7"/>
      <c r="KN30" s="7"/>
      <c r="KU30" s="7"/>
      <c r="LB30" s="7"/>
      <c r="LI30" s="7"/>
      <c r="LP30" s="7"/>
      <c r="LW30" s="7"/>
    </row>
    <row r="31" spans="1:335" ht="15.75" thickBot="1" x14ac:dyDescent="0.3">
      <c r="A31" s="16" t="s">
        <v>25</v>
      </c>
      <c r="B31" s="16"/>
      <c r="C31" s="16"/>
      <c r="D31" s="16"/>
      <c r="E31" s="17"/>
      <c r="F31" s="16">
        <f t="shared" ref="F31:L31" si="323">SUM(F6:F30)</f>
        <v>13</v>
      </c>
      <c r="G31" s="16">
        <f t="shared" si="323"/>
        <v>8</v>
      </c>
      <c r="H31" s="16">
        <f t="shared" si="323"/>
        <v>3</v>
      </c>
      <c r="I31" s="16">
        <f t="shared" si="323"/>
        <v>2</v>
      </c>
      <c r="J31" s="16">
        <f t="shared" si="323"/>
        <v>0</v>
      </c>
      <c r="K31" s="16">
        <f t="shared" si="323"/>
        <v>0</v>
      </c>
      <c r="L31" s="16">
        <f t="shared" si="323"/>
        <v>0</v>
      </c>
      <c r="M31" s="16">
        <v>0</v>
      </c>
      <c r="N31" s="16">
        <f>SUM(N6:N30)</f>
        <v>15</v>
      </c>
      <c r="O31" s="17">
        <f>SUM(O6:O30)+ SUM(O39:O70)</f>
        <v>15</v>
      </c>
      <c r="P31" s="16">
        <f>VisibleSum(P6:P26)</f>
        <v>21.4375</v>
      </c>
      <c r="Q31" s="17">
        <f>P31 / P32 * 100</f>
        <v>63.05147058823529</v>
      </c>
      <c r="R31" s="15">
        <f t="shared" ref="R31:AW31" si="324">IF(SUM(R6:R30) &gt; 0, SUM(R6:R30), "")</f>
        <v>15</v>
      </c>
      <c r="S31" s="14" t="str">
        <f t="shared" si="324"/>
        <v/>
      </c>
      <c r="T31" s="14">
        <f t="shared" si="324"/>
        <v>12</v>
      </c>
      <c r="U31" s="14">
        <f t="shared" si="324"/>
        <v>13</v>
      </c>
      <c r="V31" s="14" t="str">
        <f t="shared" si="324"/>
        <v/>
      </c>
      <c r="W31" s="14">
        <f t="shared" si="324"/>
        <v>12</v>
      </c>
      <c r="X31" s="14" t="str">
        <f t="shared" si="324"/>
        <v/>
      </c>
      <c r="Y31" s="15" t="str">
        <f t="shared" si="324"/>
        <v/>
      </c>
      <c r="Z31" s="14" t="str">
        <f t="shared" si="324"/>
        <v/>
      </c>
      <c r="AA31" s="14">
        <f t="shared" si="324"/>
        <v>15</v>
      </c>
      <c r="AB31" s="14" t="str">
        <f t="shared" si="324"/>
        <v/>
      </c>
      <c r="AC31" s="14">
        <f t="shared" si="324"/>
        <v>12</v>
      </c>
      <c r="AD31" s="14">
        <f t="shared" si="324"/>
        <v>15</v>
      </c>
      <c r="AE31" s="14" t="str">
        <f t="shared" si="324"/>
        <v/>
      </c>
      <c r="AF31" s="15" t="str">
        <f t="shared" si="324"/>
        <v/>
      </c>
      <c r="AG31" s="14" t="str">
        <f t="shared" si="324"/>
        <v/>
      </c>
      <c r="AH31" s="14">
        <f t="shared" si="324"/>
        <v>16</v>
      </c>
      <c r="AI31" s="14" t="str">
        <f t="shared" si="324"/>
        <v/>
      </c>
      <c r="AJ31" s="14">
        <f t="shared" si="324"/>
        <v>15</v>
      </c>
      <c r="AK31" s="14">
        <f t="shared" si="324"/>
        <v>10</v>
      </c>
      <c r="AL31" s="14" t="str">
        <f t="shared" si="324"/>
        <v/>
      </c>
      <c r="AM31" s="15" t="str">
        <f t="shared" si="324"/>
        <v/>
      </c>
      <c r="AN31" s="14" t="str">
        <f t="shared" si="324"/>
        <v/>
      </c>
      <c r="AO31" s="14">
        <f t="shared" si="324"/>
        <v>15</v>
      </c>
      <c r="AP31" s="14" t="str">
        <f t="shared" si="324"/>
        <v/>
      </c>
      <c r="AQ31" s="14">
        <f t="shared" si="324"/>
        <v>16</v>
      </c>
      <c r="AR31" s="14">
        <f t="shared" si="324"/>
        <v>11</v>
      </c>
      <c r="AS31" s="14" t="str">
        <f t="shared" si="324"/>
        <v/>
      </c>
      <c r="AT31" s="15" t="str">
        <f t="shared" si="324"/>
        <v/>
      </c>
      <c r="AU31" s="14" t="str">
        <f t="shared" si="324"/>
        <v/>
      </c>
      <c r="AV31" s="14">
        <f t="shared" si="324"/>
        <v>14</v>
      </c>
      <c r="AW31" s="14">
        <f t="shared" si="324"/>
        <v>2</v>
      </c>
      <c r="AX31" s="14">
        <f t="shared" ref="AX31:CE31" si="325">IF(SUM(AX6:AX30) &gt; 0, SUM(AX6:AX30), "")</f>
        <v>13</v>
      </c>
      <c r="AY31" s="14">
        <f t="shared" si="325"/>
        <v>12</v>
      </c>
      <c r="AZ31" s="14" t="str">
        <f t="shared" si="325"/>
        <v/>
      </c>
      <c r="BA31" s="15" t="str">
        <f t="shared" si="325"/>
        <v/>
      </c>
      <c r="BB31" s="14" t="str">
        <f t="shared" si="325"/>
        <v/>
      </c>
      <c r="BC31" s="14">
        <f t="shared" si="325"/>
        <v>14</v>
      </c>
      <c r="BD31" s="14" t="str">
        <f t="shared" si="325"/>
        <v/>
      </c>
      <c r="BE31" s="14">
        <f t="shared" si="325"/>
        <v>14</v>
      </c>
      <c r="BF31" s="14">
        <f t="shared" si="325"/>
        <v>11</v>
      </c>
      <c r="BG31" s="14" t="str">
        <f t="shared" si="325"/>
        <v/>
      </c>
      <c r="BH31" s="15" t="str">
        <f t="shared" si="325"/>
        <v/>
      </c>
      <c r="BI31" s="14" t="str">
        <f t="shared" si="325"/>
        <v/>
      </c>
      <c r="BJ31" s="14">
        <f t="shared" si="325"/>
        <v>16</v>
      </c>
      <c r="BK31" s="14" t="str">
        <f t="shared" si="325"/>
        <v/>
      </c>
      <c r="BL31" s="14">
        <f t="shared" si="325"/>
        <v>16</v>
      </c>
      <c r="BM31" s="14" t="str">
        <f t="shared" si="325"/>
        <v/>
      </c>
      <c r="BN31" s="14" t="str">
        <f t="shared" si="325"/>
        <v/>
      </c>
      <c r="BO31" s="15">
        <f t="shared" si="325"/>
        <v>8</v>
      </c>
      <c r="BP31" s="14">
        <f t="shared" si="325"/>
        <v>5</v>
      </c>
      <c r="BQ31" s="14">
        <f t="shared" si="325"/>
        <v>17</v>
      </c>
      <c r="BR31" s="14">
        <f t="shared" si="325"/>
        <v>6</v>
      </c>
      <c r="BS31" s="14">
        <f t="shared" si="325"/>
        <v>14</v>
      </c>
      <c r="BT31" s="14">
        <f t="shared" si="325"/>
        <v>5</v>
      </c>
      <c r="BU31" s="14">
        <f t="shared" si="325"/>
        <v>5</v>
      </c>
      <c r="BV31" s="14">
        <f t="shared" si="325"/>
        <v>3</v>
      </c>
      <c r="BW31" s="15" t="str">
        <f t="shared" si="325"/>
        <v/>
      </c>
      <c r="BX31" s="14" t="str">
        <f t="shared" si="325"/>
        <v/>
      </c>
      <c r="BY31" s="14" t="str">
        <f t="shared" si="325"/>
        <v/>
      </c>
      <c r="BZ31" s="14" t="str">
        <f t="shared" si="325"/>
        <v/>
      </c>
      <c r="CA31" s="14">
        <f t="shared" si="325"/>
        <v>9</v>
      </c>
      <c r="CB31" s="14" t="str">
        <f t="shared" si="325"/>
        <v/>
      </c>
      <c r="CC31" s="14" t="str">
        <f t="shared" si="325"/>
        <v/>
      </c>
      <c r="CD31" s="14"/>
      <c r="CE31" s="15" t="str">
        <f t="shared" si="325"/>
        <v/>
      </c>
      <c r="CF31" s="14" t="str">
        <f t="shared" ref="CF31:DK31" si="326">IF(SUM(CF6:CF30) &gt; 0, SUM(CF6:CF30), "")</f>
        <v/>
      </c>
      <c r="CG31" s="14" t="str">
        <f t="shared" si="326"/>
        <v/>
      </c>
      <c r="CH31" s="14" t="str">
        <f t="shared" si="326"/>
        <v/>
      </c>
      <c r="CI31" s="14" t="str">
        <f t="shared" si="326"/>
        <v/>
      </c>
      <c r="CJ31" s="14" t="str">
        <f t="shared" si="326"/>
        <v/>
      </c>
      <c r="CK31" s="14" t="str">
        <f t="shared" si="326"/>
        <v/>
      </c>
      <c r="CL31" s="15" t="str">
        <f t="shared" si="326"/>
        <v/>
      </c>
      <c r="CM31" s="14" t="str">
        <f t="shared" si="326"/>
        <v/>
      </c>
      <c r="CN31" s="14" t="str">
        <f t="shared" si="326"/>
        <v/>
      </c>
      <c r="CO31" s="14" t="str">
        <f t="shared" si="326"/>
        <v/>
      </c>
      <c r="CP31" s="14" t="str">
        <f t="shared" si="326"/>
        <v/>
      </c>
      <c r="CQ31" s="14" t="str">
        <f t="shared" si="326"/>
        <v/>
      </c>
      <c r="CR31" s="14" t="str">
        <f t="shared" si="326"/>
        <v/>
      </c>
      <c r="CS31" s="15" t="str">
        <f t="shared" si="326"/>
        <v/>
      </c>
      <c r="CT31" s="14" t="str">
        <f t="shared" si="326"/>
        <v/>
      </c>
      <c r="CU31" s="14" t="str">
        <f t="shared" si="326"/>
        <v/>
      </c>
      <c r="CV31" s="14" t="str">
        <f t="shared" si="326"/>
        <v/>
      </c>
      <c r="CW31" s="14" t="str">
        <f t="shared" si="326"/>
        <v/>
      </c>
      <c r="CX31" s="14" t="str">
        <f t="shared" si="326"/>
        <v/>
      </c>
      <c r="CY31" s="14" t="str">
        <f t="shared" si="326"/>
        <v/>
      </c>
      <c r="CZ31" s="15" t="str">
        <f t="shared" si="326"/>
        <v/>
      </c>
      <c r="DA31" s="14" t="str">
        <f t="shared" si="326"/>
        <v/>
      </c>
      <c r="DB31" s="14" t="str">
        <f t="shared" si="326"/>
        <v/>
      </c>
      <c r="DC31" s="14" t="str">
        <f t="shared" si="326"/>
        <v/>
      </c>
      <c r="DD31" s="14" t="str">
        <f t="shared" si="326"/>
        <v/>
      </c>
      <c r="DE31" s="14" t="str">
        <f t="shared" si="326"/>
        <v/>
      </c>
      <c r="DF31" s="14" t="str">
        <f t="shared" si="326"/>
        <v/>
      </c>
      <c r="DG31" s="15" t="str">
        <f t="shared" si="326"/>
        <v/>
      </c>
      <c r="DH31" s="14" t="str">
        <f t="shared" si="326"/>
        <v/>
      </c>
      <c r="DI31" s="14" t="str">
        <f t="shared" si="326"/>
        <v/>
      </c>
      <c r="DJ31" s="14" t="str">
        <f t="shared" si="326"/>
        <v/>
      </c>
      <c r="DK31" s="14" t="str">
        <f t="shared" si="326"/>
        <v/>
      </c>
      <c r="DL31" s="14" t="str">
        <f t="shared" ref="DL31:DS31" si="327">IF(SUM(DL6:DL30) &gt; 0, SUM(DL6:DL30), "")</f>
        <v/>
      </c>
      <c r="DM31" s="14" t="str">
        <f t="shared" si="327"/>
        <v/>
      </c>
      <c r="DN31" s="15" t="str">
        <f t="shared" si="327"/>
        <v/>
      </c>
      <c r="DO31" s="14" t="str">
        <f t="shared" si="327"/>
        <v/>
      </c>
      <c r="DP31" s="14" t="str">
        <f t="shared" si="327"/>
        <v/>
      </c>
      <c r="DQ31" s="14" t="str">
        <f t="shared" si="327"/>
        <v/>
      </c>
      <c r="DR31" s="14" t="str">
        <f t="shared" si="327"/>
        <v/>
      </c>
      <c r="DS31" s="14" t="str">
        <f t="shared" si="327"/>
        <v/>
      </c>
      <c r="DT31" s="14"/>
      <c r="DU31" s="15" t="str">
        <f t="shared" ref="DU31:EZ31" si="328">IF(SUM(DU6:DU30) &gt; 0, SUM(DU6:DU30), "")</f>
        <v/>
      </c>
      <c r="DV31" s="14" t="str">
        <f t="shared" si="328"/>
        <v/>
      </c>
      <c r="DW31" s="14" t="str">
        <f t="shared" si="328"/>
        <v/>
      </c>
      <c r="DX31" s="14" t="str">
        <f t="shared" si="328"/>
        <v/>
      </c>
      <c r="DY31" s="14" t="str">
        <f t="shared" si="328"/>
        <v/>
      </c>
      <c r="DZ31" s="14" t="str">
        <f t="shared" si="328"/>
        <v/>
      </c>
      <c r="EA31" s="14" t="str">
        <f t="shared" si="328"/>
        <v/>
      </c>
      <c r="EB31" s="15" t="str">
        <f t="shared" si="328"/>
        <v/>
      </c>
      <c r="EC31" s="14" t="str">
        <f t="shared" si="328"/>
        <v/>
      </c>
      <c r="ED31" s="14" t="str">
        <f t="shared" si="328"/>
        <v/>
      </c>
      <c r="EE31" s="14" t="str">
        <f t="shared" si="328"/>
        <v/>
      </c>
      <c r="EF31" s="14" t="str">
        <f t="shared" si="328"/>
        <v/>
      </c>
      <c r="EG31" s="14" t="str">
        <f t="shared" si="328"/>
        <v/>
      </c>
      <c r="EH31" s="14" t="str">
        <f t="shared" si="328"/>
        <v/>
      </c>
      <c r="EI31" s="15" t="str">
        <f t="shared" si="328"/>
        <v/>
      </c>
      <c r="EJ31" s="14" t="str">
        <f t="shared" si="328"/>
        <v/>
      </c>
      <c r="EK31" s="14" t="str">
        <f t="shared" si="328"/>
        <v/>
      </c>
      <c r="EL31" s="14" t="str">
        <f t="shared" si="328"/>
        <v/>
      </c>
      <c r="EM31" s="14" t="str">
        <f t="shared" si="328"/>
        <v/>
      </c>
      <c r="EN31" s="14" t="str">
        <f t="shared" si="328"/>
        <v/>
      </c>
      <c r="EO31" s="14" t="str">
        <f t="shared" si="328"/>
        <v/>
      </c>
      <c r="EP31" s="15" t="str">
        <f t="shared" si="328"/>
        <v/>
      </c>
      <c r="EQ31" s="14" t="str">
        <f t="shared" si="328"/>
        <v/>
      </c>
      <c r="ER31" s="14" t="str">
        <f t="shared" si="328"/>
        <v/>
      </c>
      <c r="ES31" s="14" t="str">
        <f t="shared" si="328"/>
        <v/>
      </c>
      <c r="ET31" s="14" t="str">
        <f t="shared" si="328"/>
        <v/>
      </c>
      <c r="EU31" s="14" t="str">
        <f t="shared" si="328"/>
        <v/>
      </c>
      <c r="EV31" s="14" t="str">
        <f t="shared" si="328"/>
        <v/>
      </c>
      <c r="EW31" s="15" t="str">
        <f t="shared" si="328"/>
        <v/>
      </c>
      <c r="EX31" s="14" t="str">
        <f t="shared" si="328"/>
        <v/>
      </c>
      <c r="EY31" s="14" t="str">
        <f t="shared" si="328"/>
        <v/>
      </c>
      <c r="EZ31" s="14" t="str">
        <f t="shared" si="328"/>
        <v/>
      </c>
      <c r="FA31" s="14" t="str">
        <f t="shared" ref="FA31:GD31" si="329">IF(SUM(FA6:FA30) &gt; 0, SUM(FA6:FA30), "")</f>
        <v/>
      </c>
      <c r="FB31" s="14" t="str">
        <f t="shared" si="329"/>
        <v/>
      </c>
      <c r="FC31" s="14" t="str">
        <f t="shared" si="329"/>
        <v/>
      </c>
      <c r="FD31" s="15" t="str">
        <f t="shared" si="329"/>
        <v/>
      </c>
      <c r="FE31" s="14" t="str">
        <f t="shared" si="329"/>
        <v/>
      </c>
      <c r="FF31" s="14" t="str">
        <f t="shared" si="329"/>
        <v/>
      </c>
      <c r="FG31" s="14" t="str">
        <f t="shared" si="329"/>
        <v/>
      </c>
      <c r="FH31" s="14" t="str">
        <f t="shared" si="329"/>
        <v/>
      </c>
      <c r="FI31" s="14" t="str">
        <f t="shared" si="329"/>
        <v/>
      </c>
      <c r="FJ31" s="14" t="str">
        <f t="shared" si="329"/>
        <v/>
      </c>
      <c r="FK31" s="15" t="str">
        <f t="shared" si="329"/>
        <v/>
      </c>
      <c r="FL31" s="14" t="str">
        <f t="shared" si="329"/>
        <v/>
      </c>
      <c r="FM31" s="14" t="str">
        <f t="shared" si="329"/>
        <v/>
      </c>
      <c r="FN31" s="14" t="str">
        <f t="shared" si="329"/>
        <v/>
      </c>
      <c r="FO31" s="14" t="str">
        <f t="shared" si="329"/>
        <v/>
      </c>
      <c r="FP31" s="14" t="str">
        <f t="shared" si="329"/>
        <v/>
      </c>
      <c r="FQ31" s="14" t="str">
        <f t="shared" si="329"/>
        <v/>
      </c>
      <c r="FR31" s="15" t="str">
        <f t="shared" si="329"/>
        <v/>
      </c>
      <c r="FS31" s="14" t="str">
        <f t="shared" si="329"/>
        <v/>
      </c>
      <c r="FT31" s="14" t="str">
        <f t="shared" si="329"/>
        <v/>
      </c>
      <c r="FU31" s="14" t="str">
        <f t="shared" si="329"/>
        <v/>
      </c>
      <c r="FV31" s="14" t="str">
        <f t="shared" si="329"/>
        <v/>
      </c>
      <c r="FW31" s="14" t="str">
        <f t="shared" si="329"/>
        <v/>
      </c>
      <c r="FX31" s="14" t="str">
        <f t="shared" si="329"/>
        <v/>
      </c>
      <c r="FY31" s="15" t="str">
        <f t="shared" si="329"/>
        <v/>
      </c>
      <c r="FZ31" s="14" t="str">
        <f t="shared" si="329"/>
        <v/>
      </c>
      <c r="GA31" s="14" t="str">
        <f t="shared" si="329"/>
        <v/>
      </c>
      <c r="GB31" s="14" t="str">
        <f t="shared" si="329"/>
        <v/>
      </c>
      <c r="GC31" s="14" t="str">
        <f t="shared" si="329"/>
        <v/>
      </c>
      <c r="GD31" s="14" t="str">
        <f t="shared" si="329"/>
        <v/>
      </c>
      <c r="GE31" s="14"/>
      <c r="GF31" s="15" t="str">
        <f t="shared" ref="GF31:HK31" si="330">IF(SUM(GF6:GF30) &gt; 0, SUM(GF6:GF30), "")</f>
        <v/>
      </c>
      <c r="GG31" s="14" t="str">
        <f t="shared" si="330"/>
        <v/>
      </c>
      <c r="GH31" s="14" t="str">
        <f t="shared" si="330"/>
        <v/>
      </c>
      <c r="GI31" s="14" t="str">
        <f t="shared" si="330"/>
        <v/>
      </c>
      <c r="GJ31" s="14" t="str">
        <f t="shared" si="330"/>
        <v/>
      </c>
      <c r="GK31" s="14" t="str">
        <f t="shared" si="330"/>
        <v/>
      </c>
      <c r="GL31" s="14" t="str">
        <f t="shared" si="330"/>
        <v/>
      </c>
      <c r="GM31" s="15" t="str">
        <f t="shared" si="330"/>
        <v/>
      </c>
      <c r="GN31" s="14" t="str">
        <f t="shared" si="330"/>
        <v/>
      </c>
      <c r="GO31" s="14" t="str">
        <f t="shared" si="330"/>
        <v/>
      </c>
      <c r="GP31" s="14" t="str">
        <f t="shared" si="330"/>
        <v/>
      </c>
      <c r="GQ31" s="14" t="str">
        <f t="shared" si="330"/>
        <v/>
      </c>
      <c r="GR31" s="14" t="str">
        <f t="shared" si="330"/>
        <v/>
      </c>
      <c r="GS31" s="14" t="str">
        <f t="shared" si="330"/>
        <v/>
      </c>
      <c r="GT31" s="15" t="str">
        <f t="shared" si="330"/>
        <v/>
      </c>
      <c r="GU31" s="14" t="str">
        <f t="shared" si="330"/>
        <v/>
      </c>
      <c r="GV31" s="14" t="str">
        <f t="shared" si="330"/>
        <v/>
      </c>
      <c r="GW31" s="14" t="str">
        <f t="shared" si="330"/>
        <v/>
      </c>
      <c r="GX31" s="14" t="str">
        <f t="shared" si="330"/>
        <v/>
      </c>
      <c r="GY31" s="14" t="str">
        <f t="shared" si="330"/>
        <v/>
      </c>
      <c r="GZ31" s="14" t="str">
        <f t="shared" si="330"/>
        <v/>
      </c>
      <c r="HA31" s="15" t="str">
        <f t="shared" si="330"/>
        <v/>
      </c>
      <c r="HB31" s="14" t="str">
        <f t="shared" si="330"/>
        <v/>
      </c>
      <c r="HC31" s="14" t="str">
        <f t="shared" si="330"/>
        <v/>
      </c>
      <c r="HD31" s="14" t="str">
        <f t="shared" si="330"/>
        <v/>
      </c>
      <c r="HE31" s="14" t="str">
        <f t="shared" si="330"/>
        <v/>
      </c>
      <c r="HF31" s="14" t="str">
        <f t="shared" si="330"/>
        <v/>
      </c>
      <c r="HG31" s="14" t="str">
        <f t="shared" si="330"/>
        <v/>
      </c>
      <c r="HH31" s="15" t="str">
        <f t="shared" si="330"/>
        <v/>
      </c>
      <c r="HI31" s="14" t="str">
        <f t="shared" si="330"/>
        <v/>
      </c>
      <c r="HJ31" s="14" t="str">
        <f t="shared" si="330"/>
        <v/>
      </c>
      <c r="HK31" s="14" t="str">
        <f t="shared" si="330"/>
        <v/>
      </c>
      <c r="HL31" s="14" t="str">
        <f t="shared" ref="HL31:IQ31" si="331">IF(SUM(HL6:HL30) &gt; 0, SUM(HL6:HL30), "")</f>
        <v/>
      </c>
      <c r="HM31" s="14" t="str">
        <f t="shared" si="331"/>
        <v/>
      </c>
      <c r="HN31" s="14" t="str">
        <f t="shared" si="331"/>
        <v/>
      </c>
      <c r="HO31" s="15" t="str">
        <f t="shared" si="331"/>
        <v/>
      </c>
      <c r="HP31" s="14" t="str">
        <f t="shared" si="331"/>
        <v/>
      </c>
      <c r="HQ31" s="14" t="str">
        <f t="shared" si="331"/>
        <v/>
      </c>
      <c r="HR31" s="14" t="str">
        <f t="shared" si="331"/>
        <v/>
      </c>
      <c r="HS31" s="14" t="str">
        <f t="shared" si="331"/>
        <v/>
      </c>
      <c r="HT31" s="14" t="str">
        <f t="shared" si="331"/>
        <v/>
      </c>
      <c r="HU31" s="14" t="str">
        <f t="shared" si="331"/>
        <v/>
      </c>
      <c r="HV31" s="15" t="str">
        <f t="shared" si="331"/>
        <v/>
      </c>
      <c r="HW31" s="14" t="str">
        <f t="shared" si="331"/>
        <v/>
      </c>
      <c r="HX31" s="14" t="str">
        <f t="shared" si="331"/>
        <v/>
      </c>
      <c r="HY31" s="14" t="str">
        <f t="shared" si="331"/>
        <v/>
      </c>
      <c r="HZ31" s="14" t="str">
        <f t="shared" si="331"/>
        <v/>
      </c>
      <c r="IA31" s="14" t="str">
        <f t="shared" si="331"/>
        <v/>
      </c>
      <c r="IB31" s="14" t="str">
        <f t="shared" si="331"/>
        <v/>
      </c>
      <c r="IC31" s="15" t="str">
        <f t="shared" si="331"/>
        <v/>
      </c>
      <c r="ID31" s="14" t="str">
        <f t="shared" si="331"/>
        <v/>
      </c>
      <c r="IE31" s="14" t="str">
        <f t="shared" si="331"/>
        <v/>
      </c>
      <c r="IF31" s="14" t="str">
        <f t="shared" si="331"/>
        <v/>
      </c>
      <c r="IG31" s="14" t="str">
        <f t="shared" si="331"/>
        <v/>
      </c>
      <c r="IH31" s="14" t="str">
        <f t="shared" si="331"/>
        <v/>
      </c>
      <c r="II31" s="14" t="str">
        <f t="shared" si="331"/>
        <v/>
      </c>
      <c r="IJ31" s="15" t="str">
        <f t="shared" si="331"/>
        <v/>
      </c>
      <c r="IK31" s="14" t="str">
        <f t="shared" si="331"/>
        <v/>
      </c>
      <c r="IL31" s="14" t="str">
        <f t="shared" si="331"/>
        <v/>
      </c>
      <c r="IM31" s="14" t="str">
        <f t="shared" si="331"/>
        <v/>
      </c>
      <c r="IN31" s="14" t="str">
        <f t="shared" si="331"/>
        <v/>
      </c>
      <c r="IO31" s="14" t="str">
        <f t="shared" si="331"/>
        <v/>
      </c>
      <c r="IP31" s="14" t="str">
        <f t="shared" si="331"/>
        <v/>
      </c>
      <c r="IQ31" s="15" t="str">
        <f t="shared" si="331"/>
        <v/>
      </c>
      <c r="IR31" s="14" t="str">
        <f t="shared" ref="IR31:JW31" si="332">IF(SUM(IR6:IR30) &gt; 0, SUM(IR6:IR30), "")</f>
        <v/>
      </c>
      <c r="IS31" s="14" t="str">
        <f t="shared" si="332"/>
        <v/>
      </c>
      <c r="IT31" s="14" t="str">
        <f t="shared" si="332"/>
        <v/>
      </c>
      <c r="IU31" s="14" t="str">
        <f t="shared" si="332"/>
        <v/>
      </c>
      <c r="IV31" s="14" t="str">
        <f t="shared" si="332"/>
        <v/>
      </c>
      <c r="IW31" s="14" t="str">
        <f t="shared" si="332"/>
        <v/>
      </c>
      <c r="IX31" s="15" t="str">
        <f t="shared" si="332"/>
        <v/>
      </c>
      <c r="IY31" s="14" t="str">
        <f t="shared" si="332"/>
        <v/>
      </c>
      <c r="IZ31" s="14" t="str">
        <f t="shared" si="332"/>
        <v/>
      </c>
      <c r="JA31" s="14" t="str">
        <f t="shared" si="332"/>
        <v/>
      </c>
      <c r="JB31" s="14" t="str">
        <f t="shared" si="332"/>
        <v/>
      </c>
      <c r="JC31" s="14" t="str">
        <f t="shared" si="332"/>
        <v/>
      </c>
      <c r="JD31" s="14" t="str">
        <f t="shared" si="332"/>
        <v/>
      </c>
      <c r="JE31" s="15" t="str">
        <f t="shared" si="332"/>
        <v/>
      </c>
      <c r="JF31" s="14" t="str">
        <f t="shared" si="332"/>
        <v/>
      </c>
      <c r="JG31" s="14" t="str">
        <f t="shared" si="332"/>
        <v/>
      </c>
      <c r="JH31" s="14" t="str">
        <f t="shared" si="332"/>
        <v/>
      </c>
      <c r="JI31" s="14" t="str">
        <f t="shared" si="332"/>
        <v/>
      </c>
      <c r="JJ31" s="14" t="str">
        <f t="shared" si="332"/>
        <v/>
      </c>
      <c r="JK31" s="14" t="str">
        <f t="shared" si="332"/>
        <v/>
      </c>
      <c r="JL31" s="15" t="str">
        <f t="shared" si="332"/>
        <v/>
      </c>
      <c r="JM31" s="14" t="str">
        <f t="shared" si="332"/>
        <v/>
      </c>
      <c r="JN31" s="14" t="str">
        <f t="shared" si="332"/>
        <v/>
      </c>
      <c r="JO31" s="14" t="str">
        <f t="shared" si="332"/>
        <v/>
      </c>
      <c r="JP31" s="14" t="str">
        <f t="shared" si="332"/>
        <v/>
      </c>
      <c r="JQ31" s="14" t="str">
        <f t="shared" si="332"/>
        <v/>
      </c>
      <c r="JR31" s="14" t="str">
        <f t="shared" si="332"/>
        <v/>
      </c>
      <c r="JS31" s="15" t="str">
        <f t="shared" si="332"/>
        <v/>
      </c>
      <c r="JT31" s="14" t="str">
        <f t="shared" si="332"/>
        <v/>
      </c>
      <c r="JU31" s="14" t="str">
        <f t="shared" si="332"/>
        <v/>
      </c>
      <c r="JV31" s="14" t="str">
        <f t="shared" si="332"/>
        <v/>
      </c>
      <c r="JW31" s="14" t="str">
        <f t="shared" si="332"/>
        <v/>
      </c>
      <c r="JX31" s="14" t="str">
        <f t="shared" ref="JX31:LC31" si="333">IF(SUM(JX6:JX30) &gt; 0, SUM(JX6:JX30), "")</f>
        <v/>
      </c>
      <c r="JY31" s="14" t="str">
        <f t="shared" si="333"/>
        <v/>
      </c>
      <c r="JZ31" s="15" t="str">
        <f t="shared" si="333"/>
        <v/>
      </c>
      <c r="KA31" s="14" t="str">
        <f t="shared" si="333"/>
        <v/>
      </c>
      <c r="KB31" s="14" t="str">
        <f t="shared" si="333"/>
        <v/>
      </c>
      <c r="KC31" s="14" t="str">
        <f t="shared" si="333"/>
        <v/>
      </c>
      <c r="KD31" s="14" t="str">
        <f t="shared" si="333"/>
        <v/>
      </c>
      <c r="KE31" s="14" t="str">
        <f t="shared" si="333"/>
        <v/>
      </c>
      <c r="KF31" s="14" t="str">
        <f t="shared" si="333"/>
        <v/>
      </c>
      <c r="KG31" s="15" t="str">
        <f t="shared" si="333"/>
        <v/>
      </c>
      <c r="KH31" s="14" t="str">
        <f t="shared" si="333"/>
        <v/>
      </c>
      <c r="KI31" s="14" t="str">
        <f t="shared" si="333"/>
        <v/>
      </c>
      <c r="KJ31" s="14" t="str">
        <f t="shared" si="333"/>
        <v/>
      </c>
      <c r="KK31" s="14" t="str">
        <f t="shared" si="333"/>
        <v/>
      </c>
      <c r="KL31" s="14" t="str">
        <f t="shared" si="333"/>
        <v/>
      </c>
      <c r="KM31" s="14" t="str">
        <f t="shared" si="333"/>
        <v/>
      </c>
      <c r="KN31" s="15" t="str">
        <f t="shared" si="333"/>
        <v/>
      </c>
      <c r="KO31" s="14" t="str">
        <f t="shared" si="333"/>
        <v/>
      </c>
      <c r="KP31" s="14" t="str">
        <f t="shared" si="333"/>
        <v/>
      </c>
      <c r="KQ31" s="14" t="str">
        <f t="shared" si="333"/>
        <v/>
      </c>
      <c r="KR31" s="14" t="str">
        <f t="shared" si="333"/>
        <v/>
      </c>
      <c r="KS31" s="14" t="str">
        <f t="shared" si="333"/>
        <v/>
      </c>
      <c r="KT31" s="14" t="str">
        <f t="shared" si="333"/>
        <v/>
      </c>
      <c r="KU31" s="15" t="str">
        <f t="shared" si="333"/>
        <v/>
      </c>
      <c r="KV31" s="14" t="str">
        <f t="shared" si="333"/>
        <v/>
      </c>
      <c r="KW31" s="14" t="str">
        <f t="shared" si="333"/>
        <v/>
      </c>
      <c r="KX31" s="14" t="str">
        <f t="shared" si="333"/>
        <v/>
      </c>
      <c r="KY31" s="14" t="str">
        <f t="shared" si="333"/>
        <v/>
      </c>
      <c r="KZ31" s="14" t="str">
        <f t="shared" si="333"/>
        <v/>
      </c>
      <c r="LA31" s="14" t="str">
        <f t="shared" si="333"/>
        <v/>
      </c>
      <c r="LB31" s="15" t="str">
        <f t="shared" si="333"/>
        <v/>
      </c>
      <c r="LC31" s="14" t="str">
        <f t="shared" si="333"/>
        <v/>
      </c>
      <c r="LD31" s="14" t="str">
        <f t="shared" ref="LD31:LW31" si="334">IF(SUM(LD6:LD30) &gt; 0, SUM(LD6:LD30), "")</f>
        <v/>
      </c>
      <c r="LE31" s="14" t="str">
        <f t="shared" si="334"/>
        <v/>
      </c>
      <c r="LF31" s="14" t="str">
        <f t="shared" si="334"/>
        <v/>
      </c>
      <c r="LG31" s="14" t="str">
        <f t="shared" si="334"/>
        <v/>
      </c>
      <c r="LH31" s="14" t="str">
        <f t="shared" si="334"/>
        <v/>
      </c>
      <c r="LI31" s="15" t="str">
        <f t="shared" si="334"/>
        <v/>
      </c>
      <c r="LJ31" s="14" t="str">
        <f t="shared" si="334"/>
        <v/>
      </c>
      <c r="LK31" s="14" t="str">
        <f t="shared" si="334"/>
        <v/>
      </c>
      <c r="LL31" s="14" t="str">
        <f t="shared" si="334"/>
        <v/>
      </c>
      <c r="LM31" s="14" t="str">
        <f t="shared" si="334"/>
        <v/>
      </c>
      <c r="LN31" s="14" t="str">
        <f t="shared" si="334"/>
        <v/>
      </c>
      <c r="LO31" s="14" t="str">
        <f t="shared" si="334"/>
        <v/>
      </c>
      <c r="LP31" s="15" t="str">
        <f t="shared" si="334"/>
        <v/>
      </c>
      <c r="LQ31" s="14" t="str">
        <f t="shared" si="334"/>
        <v/>
      </c>
      <c r="LR31" s="14" t="str">
        <f t="shared" si="334"/>
        <v/>
      </c>
      <c r="LS31" s="14" t="str">
        <f t="shared" si="334"/>
        <v/>
      </c>
      <c r="LT31" s="14" t="str">
        <f t="shared" si="334"/>
        <v/>
      </c>
      <c r="LU31" s="14" t="str">
        <f t="shared" si="334"/>
        <v/>
      </c>
      <c r="LV31" s="14" t="str">
        <f t="shared" si="334"/>
        <v/>
      </c>
      <c r="LW31" s="15" t="str">
        <f t="shared" si="334"/>
        <v/>
      </c>
    </row>
    <row r="32" spans="1:335" x14ac:dyDescent="0.25">
      <c r="A32" s="6" t="s">
        <v>18</v>
      </c>
      <c r="B32" s="3"/>
      <c r="C32" s="3"/>
      <c r="D32" s="3"/>
      <c r="E32" s="3"/>
      <c r="F32" s="5"/>
      <c r="G32" s="3"/>
      <c r="H32" s="3"/>
      <c r="I32" s="3"/>
      <c r="J32" s="3"/>
      <c r="K32" s="3"/>
      <c r="L32" s="3"/>
      <c r="M32" s="3"/>
      <c r="N32" s="3"/>
      <c r="O32" s="4"/>
      <c r="P32" s="3">
        <f>SUM(R32:LW32)</f>
        <v>34</v>
      </c>
      <c r="Q32" s="4"/>
      <c r="R32" s="4">
        <v>1</v>
      </c>
      <c r="S32" s="3"/>
      <c r="T32" s="3">
        <v>1</v>
      </c>
      <c r="U32" s="3">
        <v>1</v>
      </c>
      <c r="V32" s="3"/>
      <c r="W32" s="3">
        <v>1</v>
      </c>
      <c r="X32" s="3"/>
      <c r="Y32" s="4"/>
      <c r="Z32" s="3"/>
      <c r="AA32" s="3">
        <v>1</v>
      </c>
      <c r="AB32" s="3"/>
      <c r="AC32" s="3">
        <v>1</v>
      </c>
      <c r="AD32" s="3">
        <v>1</v>
      </c>
      <c r="AE32" s="3"/>
      <c r="AF32" s="4"/>
      <c r="AG32" s="3"/>
      <c r="AH32" s="3">
        <v>1</v>
      </c>
      <c r="AI32" s="3"/>
      <c r="AJ32" s="3">
        <v>1</v>
      </c>
      <c r="AK32" s="3">
        <v>1</v>
      </c>
      <c r="AL32" s="3"/>
      <c r="AM32" s="4"/>
      <c r="AN32" s="3"/>
      <c r="AO32" s="3">
        <v>1</v>
      </c>
      <c r="AP32" s="3"/>
      <c r="AQ32" s="3">
        <v>1</v>
      </c>
      <c r="AR32" s="3">
        <v>1</v>
      </c>
      <c r="AS32" s="3"/>
      <c r="AT32" s="4"/>
      <c r="AU32" s="3"/>
      <c r="AV32" s="3">
        <v>1</v>
      </c>
      <c r="AW32" s="3"/>
      <c r="AX32" s="3">
        <v>1</v>
      </c>
      <c r="AY32" s="3">
        <v>1</v>
      </c>
      <c r="AZ32" s="3"/>
      <c r="BA32" s="4"/>
      <c r="BB32" s="3"/>
      <c r="BC32" s="3">
        <v>1</v>
      </c>
      <c r="BD32" s="3"/>
      <c r="BE32" s="3">
        <v>1</v>
      </c>
      <c r="BF32" s="3">
        <v>1</v>
      </c>
      <c r="BG32" s="3"/>
      <c r="BH32" s="4"/>
      <c r="BI32" s="3"/>
      <c r="BJ32" s="3">
        <v>1</v>
      </c>
      <c r="BK32" s="3"/>
      <c r="BL32" s="3">
        <v>1</v>
      </c>
      <c r="BM32" s="3"/>
      <c r="BN32" s="3"/>
      <c r="BO32" s="4">
        <v>1</v>
      </c>
      <c r="BP32" s="3">
        <v>1</v>
      </c>
      <c r="BQ32" s="3">
        <v>1</v>
      </c>
      <c r="BR32" s="3">
        <v>1</v>
      </c>
      <c r="BS32" s="3">
        <v>1</v>
      </c>
      <c r="BT32" s="3">
        <v>1</v>
      </c>
      <c r="BU32" s="3">
        <v>1</v>
      </c>
      <c r="BV32" s="3">
        <v>1</v>
      </c>
      <c r="BW32" s="4"/>
      <c r="BX32" s="3">
        <v>1</v>
      </c>
      <c r="BY32" s="3">
        <v>1</v>
      </c>
      <c r="BZ32" s="3">
        <v>1</v>
      </c>
      <c r="CA32" s="3">
        <v>1</v>
      </c>
      <c r="CB32" s="3">
        <v>1</v>
      </c>
      <c r="CC32" s="3"/>
      <c r="CD32" s="3"/>
      <c r="CE32" s="4"/>
      <c r="CF32" s="3"/>
      <c r="CG32" s="3"/>
      <c r="CH32" s="3"/>
      <c r="CI32" s="3"/>
      <c r="CJ32" s="3"/>
      <c r="CK32" s="3"/>
      <c r="CL32" s="4"/>
      <c r="CM32" s="3"/>
      <c r="CN32" s="3"/>
      <c r="CO32" s="3"/>
      <c r="CP32" s="3"/>
      <c r="CQ32" s="3"/>
      <c r="CR32" s="3"/>
      <c r="CS32" s="4"/>
      <c r="CT32" s="3"/>
      <c r="CU32" s="3"/>
      <c r="CV32" s="3"/>
      <c r="CW32" s="3"/>
      <c r="CX32" s="3"/>
      <c r="CY32" s="3"/>
      <c r="CZ32" s="4"/>
      <c r="DA32" s="3"/>
      <c r="DB32" s="3"/>
      <c r="DC32" s="3"/>
      <c r="DD32" s="3"/>
      <c r="DE32" s="3"/>
      <c r="DF32" s="3"/>
      <c r="DG32" s="4"/>
      <c r="DH32" s="3"/>
      <c r="DI32" s="3"/>
      <c r="DJ32" s="3"/>
      <c r="DK32" s="3"/>
      <c r="DL32" s="3"/>
      <c r="DM32" s="3"/>
      <c r="DN32" s="4"/>
      <c r="DO32" s="3"/>
      <c r="DP32" s="3"/>
      <c r="DQ32" s="3"/>
      <c r="DR32" s="3"/>
      <c r="DS32" s="3"/>
      <c r="DT32" s="3"/>
      <c r="DU32" s="4"/>
      <c r="DV32" s="3"/>
      <c r="DW32" s="3"/>
      <c r="DX32" s="3"/>
      <c r="DY32" s="3"/>
      <c r="DZ32" s="3"/>
      <c r="EA32" s="3"/>
      <c r="EB32" s="4"/>
      <c r="EC32" s="3"/>
      <c r="ED32" s="3"/>
      <c r="EE32" s="3"/>
      <c r="EF32" s="3"/>
      <c r="EG32" s="3"/>
      <c r="EH32" s="3"/>
      <c r="EI32" s="4"/>
      <c r="EJ32" s="3"/>
      <c r="EK32" s="3"/>
      <c r="EL32" s="3"/>
      <c r="EM32" s="3"/>
      <c r="EN32" s="3"/>
      <c r="EO32" s="3"/>
      <c r="EP32" s="4"/>
      <c r="EQ32" s="3"/>
      <c r="ER32" s="3"/>
      <c r="ES32" s="3"/>
      <c r="ET32" s="3"/>
      <c r="EU32" s="3"/>
      <c r="EV32" s="3"/>
      <c r="EW32" s="4"/>
      <c r="EX32" s="3"/>
      <c r="EY32" s="3"/>
      <c r="EZ32" s="3"/>
      <c r="FA32" s="3"/>
      <c r="FB32" s="3"/>
      <c r="FC32" s="3"/>
      <c r="FD32" s="4"/>
      <c r="FE32" s="3"/>
      <c r="FF32" s="3"/>
      <c r="FG32" s="3"/>
      <c r="FH32" s="3"/>
      <c r="FI32" s="3"/>
      <c r="FJ32" s="3"/>
      <c r="FK32" s="4"/>
      <c r="FL32" s="3"/>
      <c r="FM32" s="3"/>
      <c r="FN32" s="3"/>
      <c r="FO32" s="3"/>
      <c r="FP32" s="3"/>
      <c r="FQ32" s="3"/>
      <c r="FR32" s="4"/>
      <c r="FS32" s="3"/>
      <c r="FT32" s="3"/>
      <c r="FU32" s="3"/>
      <c r="FV32" s="3"/>
      <c r="FW32" s="3"/>
      <c r="FX32" s="3"/>
      <c r="FY32" s="4"/>
      <c r="FZ32" s="3"/>
      <c r="GA32" s="3"/>
      <c r="GB32" s="3"/>
      <c r="GC32" s="3"/>
      <c r="GD32" s="3"/>
      <c r="GE32" s="3"/>
      <c r="GF32" s="4"/>
      <c r="GG32" s="3"/>
      <c r="GH32" s="3"/>
      <c r="GI32" s="3"/>
      <c r="GJ32" s="3"/>
      <c r="GK32" s="3"/>
      <c r="GL32" s="3"/>
      <c r="GM32" s="4"/>
      <c r="GN32" s="3"/>
      <c r="GO32" s="3"/>
      <c r="GP32" s="3"/>
      <c r="GQ32" s="3"/>
      <c r="GR32" s="3"/>
      <c r="GS32" s="3"/>
      <c r="GT32" s="4"/>
      <c r="GU32" s="3"/>
      <c r="GV32" s="3"/>
      <c r="GW32" s="3"/>
      <c r="GX32" s="3"/>
      <c r="GY32" s="3"/>
      <c r="GZ32" s="3"/>
      <c r="HA32" s="4"/>
      <c r="HB32" s="3"/>
      <c r="HC32" s="3"/>
      <c r="HD32" s="3"/>
      <c r="HE32" s="3"/>
      <c r="HF32" s="3"/>
      <c r="HG32" s="3"/>
      <c r="HH32" s="4"/>
      <c r="HI32" s="3"/>
      <c r="HJ32" s="3"/>
      <c r="HK32" s="3"/>
      <c r="HL32" s="3"/>
      <c r="HM32" s="3"/>
      <c r="HN32" s="3"/>
      <c r="HO32" s="4"/>
      <c r="HP32" s="3"/>
      <c r="HQ32" s="3"/>
      <c r="HR32" s="3"/>
      <c r="HS32" s="3"/>
      <c r="HT32" s="3"/>
      <c r="HU32" s="3"/>
      <c r="HV32" s="4"/>
      <c r="HW32" s="3"/>
      <c r="HX32" s="3"/>
      <c r="HY32" s="3"/>
      <c r="HZ32" s="3"/>
      <c r="IA32" s="3"/>
      <c r="IB32" s="3"/>
      <c r="IC32" s="4"/>
      <c r="ID32" s="3"/>
      <c r="IE32" s="3"/>
      <c r="IF32" s="3"/>
      <c r="IG32" s="3"/>
      <c r="IH32" s="3"/>
      <c r="II32" s="3"/>
      <c r="IJ32" s="4"/>
      <c r="IK32" s="3"/>
      <c r="IL32" s="3"/>
      <c r="IM32" s="3"/>
      <c r="IN32" s="3"/>
      <c r="IO32" s="3"/>
      <c r="IP32" s="3"/>
      <c r="IQ32" s="4"/>
      <c r="IR32" s="3"/>
      <c r="IS32" s="3"/>
      <c r="IT32" s="3"/>
      <c r="IU32" s="3"/>
      <c r="IV32" s="3"/>
      <c r="IW32" s="3"/>
      <c r="IX32" s="4"/>
      <c r="IY32" s="3"/>
      <c r="IZ32" s="3"/>
      <c r="JA32" s="3"/>
      <c r="JB32" s="3"/>
      <c r="JC32" s="3"/>
      <c r="JD32" s="3"/>
      <c r="JE32" s="4"/>
      <c r="JF32" s="3"/>
      <c r="JG32" s="3"/>
      <c r="JH32" s="3"/>
      <c r="JI32" s="3"/>
      <c r="JJ32" s="3"/>
      <c r="JK32" s="3"/>
      <c r="JL32" s="4"/>
      <c r="JM32" s="3"/>
      <c r="JN32" s="3"/>
      <c r="JO32" s="3"/>
      <c r="JP32" s="3"/>
      <c r="JQ32" s="3"/>
      <c r="JR32" s="3"/>
      <c r="JS32" s="4"/>
      <c r="JT32" s="3"/>
      <c r="JU32" s="3"/>
      <c r="JV32" s="3"/>
      <c r="JW32" s="3"/>
      <c r="JX32" s="3"/>
      <c r="JY32" s="3"/>
      <c r="JZ32" s="4"/>
      <c r="KA32" s="3"/>
      <c r="KB32" s="3"/>
      <c r="KC32" s="3"/>
      <c r="KD32" s="3"/>
      <c r="KE32" s="3"/>
      <c r="KF32" s="3"/>
      <c r="KG32" s="4"/>
      <c r="KH32" s="3"/>
      <c r="KI32" s="3"/>
      <c r="KJ32" s="3"/>
      <c r="KK32" s="3"/>
      <c r="KL32" s="3"/>
      <c r="KM32" s="3"/>
      <c r="KN32" s="4"/>
      <c r="KO32" s="3"/>
      <c r="KP32" s="3"/>
      <c r="KQ32" s="3"/>
      <c r="KR32" s="3"/>
      <c r="KS32" s="3"/>
      <c r="KT32" s="3"/>
      <c r="KU32" s="4"/>
      <c r="KV32" s="3"/>
      <c r="KW32" s="3"/>
      <c r="KX32" s="3"/>
      <c r="KY32" s="3"/>
      <c r="KZ32" s="3"/>
      <c r="LA32" s="3"/>
      <c r="LB32" s="4"/>
      <c r="LC32" s="3"/>
      <c r="LD32" s="3"/>
      <c r="LE32" s="3"/>
      <c r="LF32" s="3"/>
      <c r="LG32" s="3"/>
      <c r="LH32" s="3"/>
      <c r="LI32" s="4"/>
      <c r="LJ32" s="3"/>
      <c r="LK32" s="3"/>
      <c r="LL32" s="3"/>
      <c r="LM32" s="3"/>
      <c r="LN32" s="3"/>
      <c r="LO32" s="3"/>
      <c r="LP32" s="4"/>
      <c r="LQ32" s="3"/>
      <c r="LR32" s="3"/>
      <c r="LS32" s="3"/>
      <c r="LT32" s="3"/>
      <c r="LU32" s="3"/>
      <c r="LV32" s="3"/>
      <c r="LW32" s="4"/>
    </row>
    <row r="33" spans="1:335" ht="6.75" customHeight="1" x14ac:dyDescent="0.25">
      <c r="A33" s="36"/>
      <c r="B33" s="36"/>
      <c r="C33" s="36"/>
      <c r="D33" s="36"/>
      <c r="E33" s="35"/>
      <c r="F33" s="19"/>
      <c r="G33" s="19"/>
      <c r="H33" s="19"/>
      <c r="I33" s="19"/>
      <c r="J33" s="19"/>
      <c r="K33" s="19"/>
      <c r="L33" s="19"/>
      <c r="M33" s="19"/>
      <c r="N33" s="19"/>
      <c r="O33" s="9"/>
      <c r="P33" s="19"/>
      <c r="Q33" s="9"/>
      <c r="R33" s="7"/>
      <c r="S33" s="34"/>
      <c r="T33" s="34"/>
      <c r="U33" s="34"/>
      <c r="V33" s="34"/>
      <c r="W33" s="34"/>
      <c r="X33" s="34"/>
      <c r="Y33" s="7"/>
      <c r="Z33" s="34"/>
      <c r="AA33" s="34"/>
      <c r="AB33" s="34"/>
      <c r="AC33" s="34"/>
      <c r="AD33" s="34"/>
      <c r="AE33" s="34"/>
      <c r="AF33" s="7"/>
      <c r="AG33" s="34"/>
      <c r="AH33" s="34"/>
      <c r="AI33" s="34"/>
      <c r="AJ33" s="34"/>
      <c r="AK33" s="34"/>
      <c r="AL33" s="34"/>
      <c r="AM33" s="7"/>
      <c r="AN33" s="34"/>
      <c r="AO33" s="34"/>
      <c r="AP33" s="34"/>
      <c r="AQ33" s="34"/>
      <c r="AR33" s="34"/>
      <c r="AS33" s="34"/>
      <c r="AT33" s="7"/>
      <c r="AU33" s="34"/>
      <c r="AV33" s="34"/>
      <c r="AW33" s="34"/>
      <c r="AX33" s="34"/>
      <c r="AY33" s="34"/>
      <c r="AZ33" s="34"/>
      <c r="BA33" s="7"/>
      <c r="BB33" s="34"/>
      <c r="BC33" s="34"/>
      <c r="BD33" s="34"/>
      <c r="BE33" s="34"/>
      <c r="BF33" s="34"/>
      <c r="BG33" s="34"/>
      <c r="BH33" s="7"/>
      <c r="BI33" s="34"/>
      <c r="BJ33" s="34"/>
      <c r="BK33" s="34"/>
      <c r="BL33" s="34"/>
      <c r="BM33" s="34"/>
      <c r="BN33" s="34"/>
      <c r="BO33" s="7"/>
      <c r="BP33" s="34"/>
      <c r="BQ33" s="34"/>
      <c r="BR33" s="34"/>
      <c r="BS33" s="34"/>
      <c r="BT33" s="34"/>
      <c r="BU33" s="34"/>
      <c r="BV33" s="34"/>
      <c r="BW33" s="7"/>
      <c r="BX33" s="34"/>
      <c r="BY33" s="34"/>
      <c r="BZ33" s="34"/>
      <c r="CA33" s="34"/>
      <c r="CB33" s="34"/>
      <c r="CC33" s="34"/>
      <c r="CD33" s="34"/>
      <c r="CE33" s="7"/>
      <c r="CF33" s="34"/>
      <c r="CG33" s="34"/>
      <c r="CH33" s="34"/>
      <c r="CI33" s="34"/>
      <c r="CJ33" s="34"/>
      <c r="CK33" s="34"/>
      <c r="CL33" s="7"/>
      <c r="CM33" s="34"/>
      <c r="CN33" s="34"/>
      <c r="CO33" s="34"/>
      <c r="CP33" s="34"/>
      <c r="CQ33" s="34"/>
      <c r="CR33" s="34"/>
      <c r="CS33" s="7"/>
      <c r="CT33" s="34"/>
      <c r="CU33" s="34"/>
      <c r="CV33" s="34"/>
      <c r="CW33" s="34"/>
      <c r="CX33" s="34"/>
      <c r="CY33" s="34"/>
      <c r="CZ33" s="7"/>
      <c r="DA33" s="34"/>
      <c r="DB33" s="34"/>
      <c r="DC33" s="34"/>
      <c r="DD33" s="34"/>
      <c r="DE33" s="34"/>
      <c r="DF33" s="34"/>
      <c r="DG33" s="7"/>
      <c r="DH33" s="34"/>
      <c r="DI33" s="34"/>
      <c r="DJ33" s="34"/>
      <c r="DK33" s="34"/>
      <c r="DL33" s="34"/>
      <c r="DM33" s="34"/>
      <c r="DN33" s="7"/>
      <c r="DO33" s="34"/>
      <c r="DP33" s="34"/>
      <c r="DQ33" s="34"/>
      <c r="DR33" s="34"/>
      <c r="DS33" s="34"/>
      <c r="DT33" s="34"/>
      <c r="DU33" s="7"/>
      <c r="DV33" s="34"/>
      <c r="DW33" s="34"/>
      <c r="DX33" s="34"/>
      <c r="DY33" s="34"/>
      <c r="DZ33" s="34"/>
      <c r="EA33" s="34"/>
      <c r="EB33" s="7"/>
      <c r="EC33" s="34"/>
      <c r="ED33" s="34"/>
      <c r="EE33" s="34"/>
      <c r="EF33" s="34"/>
      <c r="EG33" s="34"/>
      <c r="EH33" s="34"/>
      <c r="EI33" s="7"/>
      <c r="EJ33" s="34"/>
      <c r="EK33" s="34"/>
      <c r="EL33" s="34"/>
      <c r="EM33" s="34"/>
      <c r="EN33" s="34"/>
      <c r="EO33" s="34"/>
      <c r="EP33" s="7"/>
      <c r="EQ33" s="34"/>
      <c r="ER33" s="34"/>
      <c r="ES33" s="34"/>
      <c r="ET33" s="34"/>
      <c r="EU33" s="34"/>
      <c r="EV33" s="34"/>
      <c r="EW33" s="7"/>
      <c r="EX33" s="34"/>
      <c r="EY33" s="34"/>
      <c r="EZ33" s="34"/>
      <c r="FA33" s="34"/>
      <c r="FB33" s="34"/>
      <c r="FC33" s="34"/>
      <c r="FD33" s="7"/>
      <c r="FE33" s="34"/>
      <c r="FF33" s="34"/>
      <c r="FG33" s="34"/>
      <c r="FH33" s="34"/>
      <c r="FI33" s="34"/>
      <c r="FJ33" s="34"/>
      <c r="FK33" s="7"/>
      <c r="FL33" s="34"/>
      <c r="FM33" s="34"/>
      <c r="FN33" s="34"/>
      <c r="FO33" s="34"/>
      <c r="FP33" s="34"/>
      <c r="FQ33" s="34"/>
      <c r="FR33" s="7"/>
      <c r="FS33" s="34"/>
      <c r="FT33" s="34"/>
      <c r="FU33" s="34"/>
      <c r="FV33" s="34"/>
      <c r="FW33" s="34"/>
      <c r="FX33" s="34"/>
      <c r="FY33" s="7"/>
      <c r="FZ33" s="34"/>
      <c r="GA33" s="34"/>
      <c r="GB33" s="34"/>
      <c r="GC33" s="34"/>
      <c r="GD33" s="34"/>
      <c r="GE33" s="34"/>
      <c r="GF33" s="7"/>
      <c r="GG33" s="34"/>
      <c r="GH33" s="34"/>
      <c r="GI33" s="34"/>
      <c r="GJ33" s="34"/>
      <c r="GK33" s="34"/>
      <c r="GL33" s="34"/>
      <c r="GM33" s="7"/>
      <c r="GN33" s="34"/>
      <c r="GO33" s="34"/>
      <c r="GP33" s="34"/>
      <c r="GQ33" s="34"/>
      <c r="GR33" s="34"/>
      <c r="GS33" s="34"/>
      <c r="GT33" s="7"/>
      <c r="GU33" s="34"/>
      <c r="GV33" s="34"/>
      <c r="GW33" s="34"/>
      <c r="GX33" s="34"/>
      <c r="GY33" s="34"/>
      <c r="GZ33" s="34"/>
      <c r="HA33" s="7"/>
      <c r="HB33" s="34"/>
      <c r="HC33" s="34"/>
      <c r="HD33" s="34"/>
      <c r="HE33" s="34"/>
      <c r="HF33" s="34"/>
      <c r="HG33" s="34"/>
      <c r="HH33" s="7"/>
      <c r="HI33" s="34"/>
      <c r="HJ33" s="34"/>
      <c r="HK33" s="34"/>
      <c r="HL33" s="34"/>
      <c r="HM33" s="34"/>
      <c r="HN33" s="34"/>
      <c r="HO33" s="7"/>
      <c r="HP33" s="34"/>
      <c r="HQ33" s="34"/>
      <c r="HR33" s="34"/>
      <c r="HS33" s="34"/>
      <c r="HT33" s="34"/>
      <c r="HU33" s="34"/>
      <c r="HV33" s="7"/>
      <c r="HW33" s="34"/>
      <c r="HX33" s="34"/>
      <c r="HY33" s="34"/>
      <c r="HZ33" s="34"/>
      <c r="IA33" s="34"/>
      <c r="IB33" s="34"/>
      <c r="IC33" s="37"/>
      <c r="ID33" s="34"/>
      <c r="IE33" s="34"/>
      <c r="IF33" s="34"/>
      <c r="IG33" s="34"/>
      <c r="IH33" s="34"/>
      <c r="II33" s="34"/>
      <c r="IJ33" s="37"/>
      <c r="IK33" s="34"/>
      <c r="IL33" s="34"/>
      <c r="IM33" s="34"/>
      <c r="IN33" s="34"/>
      <c r="IO33" s="34"/>
      <c r="IP33" s="34"/>
      <c r="IQ33" s="37"/>
      <c r="IR33" s="34"/>
      <c r="IS33" s="34"/>
      <c r="IT33" s="34"/>
      <c r="IU33" s="34"/>
      <c r="IV33" s="34"/>
      <c r="IW33" s="34"/>
      <c r="IX33" s="37"/>
      <c r="IY33" s="34"/>
      <c r="IZ33" s="34"/>
      <c r="JA33" s="34"/>
      <c r="JB33" s="34"/>
      <c r="JC33" s="34"/>
      <c r="JD33" s="34"/>
      <c r="JE33" s="37"/>
      <c r="JF33" s="34"/>
      <c r="JG33" s="34"/>
      <c r="JH33" s="34"/>
      <c r="JI33" s="34"/>
      <c r="JJ33" s="34"/>
      <c r="JK33" s="34"/>
      <c r="JL33" s="37"/>
      <c r="JM33" s="34"/>
      <c r="JN33" s="34"/>
      <c r="JO33" s="34"/>
      <c r="JP33" s="34"/>
      <c r="JQ33" s="34"/>
      <c r="JR33" s="34"/>
      <c r="JS33" s="37"/>
      <c r="JT33" s="34"/>
      <c r="JU33" s="34"/>
      <c r="JV33" s="34"/>
      <c r="JW33" s="34"/>
      <c r="JX33" s="34"/>
      <c r="JY33" s="34"/>
      <c r="JZ33" s="37"/>
      <c r="KA33" s="34"/>
      <c r="KB33" s="34"/>
      <c r="KC33" s="34"/>
      <c r="KD33" s="34"/>
      <c r="KE33" s="34"/>
      <c r="KF33" s="34"/>
      <c r="KG33" s="37"/>
      <c r="KH33" s="34"/>
      <c r="KI33" s="34"/>
      <c r="KJ33" s="34"/>
      <c r="KK33" s="34"/>
      <c r="KL33" s="34"/>
      <c r="KM33" s="34"/>
      <c r="KN33" s="37"/>
      <c r="KO33" s="34"/>
      <c r="KP33" s="34"/>
      <c r="KQ33" s="34"/>
      <c r="KR33" s="34"/>
      <c r="KS33" s="34"/>
      <c r="KT33" s="34"/>
      <c r="KU33" s="7"/>
      <c r="KV33" s="34"/>
      <c r="KW33" s="34"/>
      <c r="KX33" s="34"/>
      <c r="KY33" s="34"/>
      <c r="KZ33" s="34"/>
      <c r="LA33" s="34"/>
      <c r="LB33" s="7"/>
      <c r="LC33" s="34"/>
      <c r="LD33" s="34"/>
      <c r="LE33" s="34"/>
      <c r="LF33" s="34"/>
      <c r="LG33" s="34"/>
      <c r="LH33" s="34"/>
      <c r="LI33" s="7"/>
      <c r="LJ33" s="34"/>
      <c r="LK33" s="34"/>
      <c r="LL33" s="34"/>
      <c r="LM33" s="34"/>
      <c r="LN33" s="34"/>
      <c r="LO33" s="34"/>
      <c r="LP33" s="7"/>
      <c r="LQ33" s="34"/>
      <c r="LR33" s="34"/>
      <c r="LS33" s="34"/>
      <c r="LT33" s="34"/>
      <c r="LU33" s="34"/>
      <c r="LV33" s="34"/>
      <c r="LW33" s="7"/>
    </row>
    <row r="34" spans="1:335" ht="55.5" hidden="1" customHeight="1" x14ac:dyDescent="0.25">
      <c r="A34" s="36"/>
      <c r="B34" s="36"/>
      <c r="C34" s="36"/>
      <c r="D34" s="36"/>
      <c r="E34" s="35"/>
      <c r="F34" s="19"/>
      <c r="G34" s="19"/>
      <c r="H34" s="19"/>
      <c r="I34" s="19"/>
      <c r="J34" s="19"/>
      <c r="K34" s="19"/>
      <c r="L34" s="19"/>
      <c r="M34" s="19"/>
      <c r="N34" s="19"/>
      <c r="O34" s="9"/>
      <c r="P34" s="19"/>
      <c r="Q34" s="9"/>
      <c r="R34" s="50">
        <f t="shared" ref="R34:CC34" si="335">R1</f>
        <v>43975</v>
      </c>
      <c r="S34" s="50">
        <f t="shared" si="335"/>
        <v>43976</v>
      </c>
      <c r="T34" s="50">
        <f t="shared" si="335"/>
        <v>43977</v>
      </c>
      <c r="U34" s="50">
        <f t="shared" si="335"/>
        <v>43978</v>
      </c>
      <c r="V34" s="50">
        <f t="shared" si="335"/>
        <v>43979</v>
      </c>
      <c r="W34" s="50">
        <f t="shared" si="335"/>
        <v>43980</v>
      </c>
      <c r="X34" s="50">
        <f t="shared" si="335"/>
        <v>43981</v>
      </c>
      <c r="Y34" s="50">
        <f t="shared" si="335"/>
        <v>43982</v>
      </c>
      <c r="Z34" s="50">
        <f t="shared" si="335"/>
        <v>43983</v>
      </c>
      <c r="AA34" s="50">
        <f t="shared" si="335"/>
        <v>43984</v>
      </c>
      <c r="AB34" s="50">
        <f t="shared" si="335"/>
        <v>43985</v>
      </c>
      <c r="AC34" s="50">
        <f t="shared" si="335"/>
        <v>43986</v>
      </c>
      <c r="AD34" s="50">
        <f t="shared" si="335"/>
        <v>43987</v>
      </c>
      <c r="AE34" s="50">
        <f t="shared" si="335"/>
        <v>43988</v>
      </c>
      <c r="AF34" s="50">
        <f t="shared" si="335"/>
        <v>43989</v>
      </c>
      <c r="AG34" s="50">
        <f t="shared" si="335"/>
        <v>43990</v>
      </c>
      <c r="AH34" s="50">
        <f t="shared" si="335"/>
        <v>43991</v>
      </c>
      <c r="AI34" s="50">
        <f t="shared" si="335"/>
        <v>43992</v>
      </c>
      <c r="AJ34" s="50">
        <f t="shared" si="335"/>
        <v>43993</v>
      </c>
      <c r="AK34" s="50">
        <f t="shared" si="335"/>
        <v>43994</v>
      </c>
      <c r="AL34" s="50">
        <f t="shared" si="335"/>
        <v>43995</v>
      </c>
      <c r="AM34" s="50">
        <f t="shared" si="335"/>
        <v>43996</v>
      </c>
      <c r="AN34" s="50">
        <f t="shared" si="335"/>
        <v>43997</v>
      </c>
      <c r="AO34" s="50">
        <f t="shared" si="335"/>
        <v>43998</v>
      </c>
      <c r="AP34" s="50">
        <f t="shared" si="335"/>
        <v>43999</v>
      </c>
      <c r="AQ34" s="50">
        <f t="shared" si="335"/>
        <v>44000</v>
      </c>
      <c r="AR34" s="50">
        <f t="shared" si="335"/>
        <v>44001</v>
      </c>
      <c r="AS34" s="50">
        <f t="shared" si="335"/>
        <v>44002</v>
      </c>
      <c r="AT34" s="50">
        <f t="shared" si="335"/>
        <v>44003</v>
      </c>
      <c r="AU34" s="50">
        <f t="shared" si="335"/>
        <v>44004</v>
      </c>
      <c r="AV34" s="50">
        <f t="shared" si="335"/>
        <v>44005</v>
      </c>
      <c r="AW34" s="50">
        <f t="shared" si="335"/>
        <v>44006</v>
      </c>
      <c r="AX34" s="50">
        <f t="shared" si="335"/>
        <v>44007</v>
      </c>
      <c r="AY34" s="50">
        <f t="shared" si="335"/>
        <v>44008</v>
      </c>
      <c r="AZ34" s="50">
        <f t="shared" si="335"/>
        <v>44009</v>
      </c>
      <c r="BA34" s="50">
        <f t="shared" si="335"/>
        <v>44010</v>
      </c>
      <c r="BB34" s="50">
        <f t="shared" si="335"/>
        <v>44011</v>
      </c>
      <c r="BC34" s="50">
        <f t="shared" si="335"/>
        <v>44012</v>
      </c>
      <c r="BD34" s="50">
        <f t="shared" si="335"/>
        <v>44013</v>
      </c>
      <c r="BE34" s="50">
        <f t="shared" si="335"/>
        <v>44014</v>
      </c>
      <c r="BF34" s="50">
        <f t="shared" si="335"/>
        <v>44015</v>
      </c>
      <c r="BG34" s="50">
        <f t="shared" si="335"/>
        <v>44016</v>
      </c>
      <c r="BH34" s="50">
        <f t="shared" si="335"/>
        <v>44017</v>
      </c>
      <c r="BI34" s="50">
        <f t="shared" si="335"/>
        <v>44018</v>
      </c>
      <c r="BJ34" s="50">
        <f t="shared" si="335"/>
        <v>44019</v>
      </c>
      <c r="BK34" s="50">
        <f t="shared" si="335"/>
        <v>44020</v>
      </c>
      <c r="BL34" s="50">
        <f t="shared" si="335"/>
        <v>44021</v>
      </c>
      <c r="BM34" s="50">
        <f t="shared" si="335"/>
        <v>44022</v>
      </c>
      <c r="BN34" s="50">
        <f t="shared" si="335"/>
        <v>44023</v>
      </c>
      <c r="BO34" s="50">
        <f t="shared" si="335"/>
        <v>44024</v>
      </c>
      <c r="BP34" s="50">
        <f t="shared" si="335"/>
        <v>44025</v>
      </c>
      <c r="BQ34" s="50">
        <f t="shared" si="335"/>
        <v>44026</v>
      </c>
      <c r="BR34" s="50">
        <f t="shared" si="335"/>
        <v>44027</v>
      </c>
      <c r="BS34" s="50">
        <f t="shared" si="335"/>
        <v>44028</v>
      </c>
      <c r="BT34" s="50">
        <f t="shared" si="335"/>
        <v>44029</v>
      </c>
      <c r="BU34" s="50">
        <f t="shared" si="335"/>
        <v>44030</v>
      </c>
      <c r="BV34" s="50">
        <f t="shared" si="335"/>
        <v>44031</v>
      </c>
      <c r="BW34" s="50"/>
      <c r="BX34" s="50">
        <f t="shared" si="335"/>
        <v>44032</v>
      </c>
      <c r="BY34" s="50">
        <f t="shared" si="335"/>
        <v>44033</v>
      </c>
      <c r="BZ34" s="50">
        <f t="shared" si="335"/>
        <v>44034</v>
      </c>
      <c r="CA34" s="50">
        <f t="shared" si="335"/>
        <v>44035</v>
      </c>
      <c r="CB34" s="50">
        <f t="shared" si="335"/>
        <v>44036</v>
      </c>
      <c r="CC34" s="50">
        <f t="shared" si="335"/>
        <v>44037</v>
      </c>
      <c r="CD34" s="50"/>
      <c r="CE34" s="50">
        <f>CD1</f>
        <v>44038</v>
      </c>
      <c r="CF34" s="50">
        <f t="shared" ref="CF34:EQ34" si="336">CF1</f>
        <v>44039</v>
      </c>
      <c r="CG34" s="50">
        <f t="shared" si="336"/>
        <v>44040</v>
      </c>
      <c r="CH34" s="50">
        <f t="shared" si="336"/>
        <v>44041</v>
      </c>
      <c r="CI34" s="50">
        <f t="shared" si="336"/>
        <v>44042</v>
      </c>
      <c r="CJ34" s="50">
        <f t="shared" si="336"/>
        <v>44043</v>
      </c>
      <c r="CK34" s="50">
        <f t="shared" si="336"/>
        <v>44044</v>
      </c>
      <c r="CL34" s="50">
        <f t="shared" si="336"/>
        <v>44045</v>
      </c>
      <c r="CM34" s="50">
        <f t="shared" si="336"/>
        <v>44046</v>
      </c>
      <c r="CN34" s="50">
        <f t="shared" si="336"/>
        <v>44047</v>
      </c>
      <c r="CO34" s="50">
        <f t="shared" si="336"/>
        <v>44048</v>
      </c>
      <c r="CP34" s="50">
        <f t="shared" si="336"/>
        <v>44049</v>
      </c>
      <c r="CQ34" s="50">
        <f t="shared" si="336"/>
        <v>44050</v>
      </c>
      <c r="CR34" s="50">
        <f t="shared" si="336"/>
        <v>44051</v>
      </c>
      <c r="CS34" s="50">
        <f t="shared" si="336"/>
        <v>44052</v>
      </c>
      <c r="CT34" s="50">
        <f t="shared" si="336"/>
        <v>44053</v>
      </c>
      <c r="CU34" s="50">
        <f t="shared" si="336"/>
        <v>44054</v>
      </c>
      <c r="CV34" s="50">
        <f t="shared" si="336"/>
        <v>44055</v>
      </c>
      <c r="CW34" s="50">
        <f t="shared" si="336"/>
        <v>44056</v>
      </c>
      <c r="CX34" s="50">
        <f t="shared" si="336"/>
        <v>44057</v>
      </c>
      <c r="CY34" s="50">
        <f t="shared" si="336"/>
        <v>44058</v>
      </c>
      <c r="CZ34" s="50">
        <f t="shared" si="336"/>
        <v>44059</v>
      </c>
      <c r="DA34" s="50">
        <f t="shared" si="336"/>
        <v>44060</v>
      </c>
      <c r="DB34" s="50">
        <f t="shared" si="336"/>
        <v>44061</v>
      </c>
      <c r="DC34" s="50">
        <f t="shared" si="336"/>
        <v>44062</v>
      </c>
      <c r="DD34" s="50">
        <f t="shared" si="336"/>
        <v>44063</v>
      </c>
      <c r="DE34" s="50">
        <f t="shared" si="336"/>
        <v>44064</v>
      </c>
      <c r="DF34" s="50">
        <f t="shared" si="336"/>
        <v>44065</v>
      </c>
      <c r="DG34" s="50">
        <f t="shared" si="336"/>
        <v>44066</v>
      </c>
      <c r="DH34" s="50">
        <f t="shared" si="336"/>
        <v>44067</v>
      </c>
      <c r="DI34" s="50">
        <f t="shared" si="336"/>
        <v>44068</v>
      </c>
      <c r="DJ34" s="50">
        <f t="shared" si="336"/>
        <v>44069</v>
      </c>
      <c r="DK34" s="50">
        <f t="shared" si="336"/>
        <v>44070</v>
      </c>
      <c r="DL34" s="50">
        <f t="shared" si="336"/>
        <v>44071</v>
      </c>
      <c r="DM34" s="50">
        <f t="shared" si="336"/>
        <v>44072</v>
      </c>
      <c r="DN34" s="50">
        <f t="shared" si="336"/>
        <v>44073</v>
      </c>
      <c r="DO34" s="50">
        <f t="shared" si="336"/>
        <v>44074</v>
      </c>
      <c r="DP34" s="50">
        <f t="shared" si="336"/>
        <v>44075</v>
      </c>
      <c r="DQ34" s="50">
        <f t="shared" si="336"/>
        <v>44076</v>
      </c>
      <c r="DR34" s="50">
        <f t="shared" si="336"/>
        <v>44077</v>
      </c>
      <c r="DS34" s="50">
        <f t="shared" si="336"/>
        <v>44078</v>
      </c>
      <c r="DT34" s="50">
        <f t="shared" si="336"/>
        <v>44079</v>
      </c>
      <c r="DU34" s="50">
        <f t="shared" si="336"/>
        <v>44080</v>
      </c>
      <c r="DV34" s="50">
        <f t="shared" si="336"/>
        <v>44081</v>
      </c>
      <c r="DW34" s="50">
        <f t="shared" si="336"/>
        <v>44082</v>
      </c>
      <c r="DX34" s="50">
        <f t="shared" si="336"/>
        <v>44083</v>
      </c>
      <c r="DY34" s="50">
        <f t="shared" si="336"/>
        <v>44084</v>
      </c>
      <c r="DZ34" s="50">
        <f t="shared" si="336"/>
        <v>44085</v>
      </c>
      <c r="EA34" s="50">
        <f t="shared" si="336"/>
        <v>44086</v>
      </c>
      <c r="EB34" s="50">
        <f t="shared" si="336"/>
        <v>44087</v>
      </c>
      <c r="EC34" s="50">
        <f t="shared" si="336"/>
        <v>44088</v>
      </c>
      <c r="ED34" s="50">
        <f t="shared" si="336"/>
        <v>44089</v>
      </c>
      <c r="EE34" s="50">
        <f t="shared" si="336"/>
        <v>44090</v>
      </c>
      <c r="EF34" s="50">
        <f t="shared" si="336"/>
        <v>44091</v>
      </c>
      <c r="EG34" s="50">
        <f t="shared" si="336"/>
        <v>44092</v>
      </c>
      <c r="EH34" s="50">
        <f t="shared" si="336"/>
        <v>44093</v>
      </c>
      <c r="EI34" s="50">
        <f t="shared" si="336"/>
        <v>44094</v>
      </c>
      <c r="EJ34" s="50">
        <f t="shared" si="336"/>
        <v>44095</v>
      </c>
      <c r="EK34" s="50">
        <f t="shared" si="336"/>
        <v>44096</v>
      </c>
      <c r="EL34" s="50">
        <f t="shared" si="336"/>
        <v>44097</v>
      </c>
      <c r="EM34" s="50">
        <f t="shared" si="336"/>
        <v>44098</v>
      </c>
      <c r="EN34" s="50">
        <f t="shared" si="336"/>
        <v>44099</v>
      </c>
      <c r="EO34" s="50">
        <f t="shared" si="336"/>
        <v>44100</v>
      </c>
      <c r="EP34" s="50">
        <f t="shared" si="336"/>
        <v>44101</v>
      </c>
      <c r="EQ34" s="50">
        <f t="shared" si="336"/>
        <v>44102</v>
      </c>
      <c r="ER34" s="50">
        <f t="shared" ref="ER34:HC34" si="337">ER1</f>
        <v>44103</v>
      </c>
      <c r="ES34" s="50">
        <f t="shared" si="337"/>
        <v>44104</v>
      </c>
      <c r="ET34" s="50">
        <f t="shared" si="337"/>
        <v>44105</v>
      </c>
      <c r="EU34" s="50">
        <f t="shared" si="337"/>
        <v>44106</v>
      </c>
      <c r="EV34" s="50">
        <f t="shared" si="337"/>
        <v>44107</v>
      </c>
      <c r="EW34" s="50">
        <f t="shared" si="337"/>
        <v>44108</v>
      </c>
      <c r="EX34" s="50">
        <f t="shared" si="337"/>
        <v>44109</v>
      </c>
      <c r="EY34" s="50">
        <f t="shared" si="337"/>
        <v>44110</v>
      </c>
      <c r="EZ34" s="50">
        <f t="shared" si="337"/>
        <v>44111</v>
      </c>
      <c r="FA34" s="50">
        <f t="shared" si="337"/>
        <v>44112</v>
      </c>
      <c r="FB34" s="50">
        <f t="shared" si="337"/>
        <v>44113</v>
      </c>
      <c r="FC34" s="50">
        <f t="shared" si="337"/>
        <v>44114</v>
      </c>
      <c r="FD34" s="50">
        <f t="shared" si="337"/>
        <v>44115</v>
      </c>
      <c r="FE34" s="50">
        <f t="shared" si="337"/>
        <v>44116</v>
      </c>
      <c r="FF34" s="50">
        <f t="shared" si="337"/>
        <v>44117</v>
      </c>
      <c r="FG34" s="50">
        <f t="shared" si="337"/>
        <v>44118</v>
      </c>
      <c r="FH34" s="50">
        <f t="shared" si="337"/>
        <v>44119</v>
      </c>
      <c r="FI34" s="50">
        <f t="shared" si="337"/>
        <v>44120</v>
      </c>
      <c r="FJ34" s="50">
        <f t="shared" si="337"/>
        <v>44121</v>
      </c>
      <c r="FK34" s="50">
        <f t="shared" si="337"/>
        <v>44122</v>
      </c>
      <c r="FL34" s="50">
        <f t="shared" si="337"/>
        <v>44123</v>
      </c>
      <c r="FM34" s="50">
        <f t="shared" si="337"/>
        <v>44124</v>
      </c>
      <c r="FN34" s="50">
        <f t="shared" si="337"/>
        <v>44125</v>
      </c>
      <c r="FO34" s="50">
        <f t="shared" si="337"/>
        <v>44126</v>
      </c>
      <c r="FP34" s="50">
        <f t="shared" si="337"/>
        <v>44127</v>
      </c>
      <c r="FQ34" s="50">
        <f t="shared" si="337"/>
        <v>44128</v>
      </c>
      <c r="FR34" s="50">
        <f t="shared" si="337"/>
        <v>44129</v>
      </c>
      <c r="FS34" s="50">
        <f t="shared" si="337"/>
        <v>44130</v>
      </c>
      <c r="FT34" s="50">
        <f t="shared" si="337"/>
        <v>44131</v>
      </c>
      <c r="FU34" s="50">
        <f t="shared" si="337"/>
        <v>44132</v>
      </c>
      <c r="FV34" s="50">
        <f t="shared" si="337"/>
        <v>44133</v>
      </c>
      <c r="FW34" s="50">
        <f t="shared" si="337"/>
        <v>44134</v>
      </c>
      <c r="FX34" s="50">
        <f t="shared" si="337"/>
        <v>44135</v>
      </c>
      <c r="FY34" s="50">
        <f t="shared" si="337"/>
        <v>44136</v>
      </c>
      <c r="FZ34" s="50">
        <f t="shared" si="337"/>
        <v>44137</v>
      </c>
      <c r="GA34" s="50">
        <f t="shared" si="337"/>
        <v>44138</v>
      </c>
      <c r="GB34" s="50">
        <f t="shared" si="337"/>
        <v>44139</v>
      </c>
      <c r="GC34" s="50">
        <f t="shared" si="337"/>
        <v>44140</v>
      </c>
      <c r="GD34" s="50">
        <f t="shared" si="337"/>
        <v>44141</v>
      </c>
      <c r="GE34" s="50">
        <f t="shared" si="337"/>
        <v>44142</v>
      </c>
      <c r="GF34" s="50">
        <f t="shared" si="337"/>
        <v>44143</v>
      </c>
      <c r="GG34" s="50">
        <f t="shared" si="337"/>
        <v>44144</v>
      </c>
      <c r="GH34" s="50">
        <f t="shared" si="337"/>
        <v>44145</v>
      </c>
      <c r="GI34" s="50">
        <f t="shared" si="337"/>
        <v>44146</v>
      </c>
      <c r="GJ34" s="50">
        <f t="shared" si="337"/>
        <v>44147</v>
      </c>
      <c r="GK34" s="50">
        <f t="shared" si="337"/>
        <v>44148</v>
      </c>
      <c r="GL34" s="50">
        <f t="shared" si="337"/>
        <v>44149</v>
      </c>
      <c r="GM34" s="50">
        <f t="shared" si="337"/>
        <v>44150</v>
      </c>
      <c r="GN34" s="50">
        <f t="shared" si="337"/>
        <v>44151</v>
      </c>
      <c r="GO34" s="50">
        <f t="shared" si="337"/>
        <v>44152</v>
      </c>
      <c r="GP34" s="50">
        <f t="shared" si="337"/>
        <v>44153</v>
      </c>
      <c r="GQ34" s="50">
        <f t="shared" si="337"/>
        <v>44154</v>
      </c>
      <c r="GR34" s="50">
        <f t="shared" si="337"/>
        <v>44155</v>
      </c>
      <c r="GS34" s="50">
        <f t="shared" si="337"/>
        <v>44156</v>
      </c>
      <c r="GT34" s="50">
        <f t="shared" si="337"/>
        <v>44157</v>
      </c>
      <c r="GU34" s="50">
        <f t="shared" si="337"/>
        <v>44158</v>
      </c>
      <c r="GV34" s="50">
        <f t="shared" si="337"/>
        <v>44159</v>
      </c>
      <c r="GW34" s="50">
        <f t="shared" si="337"/>
        <v>44160</v>
      </c>
      <c r="GX34" s="50">
        <f t="shared" si="337"/>
        <v>44161</v>
      </c>
      <c r="GY34" s="50">
        <f t="shared" si="337"/>
        <v>44162</v>
      </c>
      <c r="GZ34" s="50">
        <f t="shared" si="337"/>
        <v>44163</v>
      </c>
      <c r="HA34" s="50">
        <f t="shared" si="337"/>
        <v>44164</v>
      </c>
      <c r="HB34" s="50">
        <f t="shared" si="337"/>
        <v>44165</v>
      </c>
      <c r="HC34" s="50">
        <f t="shared" si="337"/>
        <v>44166</v>
      </c>
      <c r="HD34" s="50">
        <f t="shared" ref="HD34:JO34" si="338">HD1</f>
        <v>44167</v>
      </c>
      <c r="HE34" s="50">
        <f t="shared" si="338"/>
        <v>44168</v>
      </c>
      <c r="HF34" s="50">
        <f t="shared" si="338"/>
        <v>44169</v>
      </c>
      <c r="HG34" s="50">
        <f t="shared" si="338"/>
        <v>44170</v>
      </c>
      <c r="HH34" s="50">
        <f t="shared" si="338"/>
        <v>44171</v>
      </c>
      <c r="HI34" s="50">
        <f t="shared" si="338"/>
        <v>44172</v>
      </c>
      <c r="HJ34" s="50">
        <f t="shared" si="338"/>
        <v>44173</v>
      </c>
      <c r="HK34" s="50">
        <f t="shared" si="338"/>
        <v>44174</v>
      </c>
      <c r="HL34" s="50">
        <f t="shared" si="338"/>
        <v>44175</v>
      </c>
      <c r="HM34" s="50">
        <f t="shared" si="338"/>
        <v>44176</v>
      </c>
      <c r="HN34" s="50">
        <f t="shared" si="338"/>
        <v>44177</v>
      </c>
      <c r="HO34" s="50">
        <f t="shared" si="338"/>
        <v>44178</v>
      </c>
      <c r="HP34" s="50">
        <f t="shared" si="338"/>
        <v>44179</v>
      </c>
      <c r="HQ34" s="50">
        <f t="shared" si="338"/>
        <v>44180</v>
      </c>
      <c r="HR34" s="50">
        <f t="shared" si="338"/>
        <v>44181</v>
      </c>
      <c r="HS34" s="50">
        <f t="shared" si="338"/>
        <v>44182</v>
      </c>
      <c r="HT34" s="50">
        <f t="shared" si="338"/>
        <v>44183</v>
      </c>
      <c r="HU34" s="50">
        <f t="shared" si="338"/>
        <v>44184</v>
      </c>
      <c r="HV34" s="50">
        <f t="shared" si="338"/>
        <v>44185</v>
      </c>
      <c r="HW34" s="50">
        <f t="shared" si="338"/>
        <v>44186</v>
      </c>
      <c r="HX34" s="50">
        <f t="shared" si="338"/>
        <v>44187</v>
      </c>
      <c r="HY34" s="50">
        <f t="shared" si="338"/>
        <v>44188</v>
      </c>
      <c r="HZ34" s="50">
        <f t="shared" si="338"/>
        <v>44189</v>
      </c>
      <c r="IA34" s="50">
        <f t="shared" si="338"/>
        <v>44190</v>
      </c>
      <c r="IB34" s="50">
        <f t="shared" si="338"/>
        <v>44191</v>
      </c>
      <c r="IC34" s="50">
        <f t="shared" si="338"/>
        <v>44192</v>
      </c>
      <c r="ID34" s="50">
        <f t="shared" si="338"/>
        <v>44193</v>
      </c>
      <c r="IE34" s="50">
        <f t="shared" si="338"/>
        <v>44194</v>
      </c>
      <c r="IF34" s="50">
        <f t="shared" si="338"/>
        <v>44195</v>
      </c>
      <c r="IG34" s="50">
        <f t="shared" si="338"/>
        <v>44196</v>
      </c>
      <c r="IH34" s="50">
        <f t="shared" si="338"/>
        <v>44197</v>
      </c>
      <c r="II34" s="50">
        <f t="shared" si="338"/>
        <v>44198</v>
      </c>
      <c r="IJ34" s="50">
        <f t="shared" si="338"/>
        <v>44199</v>
      </c>
      <c r="IK34" s="50">
        <f t="shared" si="338"/>
        <v>44200</v>
      </c>
      <c r="IL34" s="50">
        <f t="shared" si="338"/>
        <v>44201</v>
      </c>
      <c r="IM34" s="50">
        <f t="shared" si="338"/>
        <v>44202</v>
      </c>
      <c r="IN34" s="50">
        <f t="shared" si="338"/>
        <v>44203</v>
      </c>
      <c r="IO34" s="50">
        <f t="shared" si="338"/>
        <v>44204</v>
      </c>
      <c r="IP34" s="50">
        <f t="shared" si="338"/>
        <v>44205</v>
      </c>
      <c r="IQ34" s="50">
        <f t="shared" si="338"/>
        <v>44206</v>
      </c>
      <c r="IR34" s="50">
        <f t="shared" si="338"/>
        <v>44207</v>
      </c>
      <c r="IS34" s="50">
        <f t="shared" si="338"/>
        <v>44208</v>
      </c>
      <c r="IT34" s="50">
        <f t="shared" si="338"/>
        <v>44209</v>
      </c>
      <c r="IU34" s="50">
        <f t="shared" si="338"/>
        <v>44210</v>
      </c>
      <c r="IV34" s="50">
        <f t="shared" si="338"/>
        <v>44211</v>
      </c>
      <c r="IW34" s="50">
        <f t="shared" si="338"/>
        <v>44212</v>
      </c>
      <c r="IX34" s="50">
        <f t="shared" si="338"/>
        <v>44213</v>
      </c>
      <c r="IY34" s="50">
        <f t="shared" si="338"/>
        <v>44214</v>
      </c>
      <c r="IZ34" s="50">
        <f t="shared" si="338"/>
        <v>44215</v>
      </c>
      <c r="JA34" s="50">
        <f t="shared" si="338"/>
        <v>44216</v>
      </c>
      <c r="JB34" s="50">
        <f t="shared" si="338"/>
        <v>44217</v>
      </c>
      <c r="JC34" s="50">
        <f t="shared" si="338"/>
        <v>44218</v>
      </c>
      <c r="JD34" s="50">
        <f t="shared" si="338"/>
        <v>44219</v>
      </c>
      <c r="JE34" s="50">
        <f t="shared" si="338"/>
        <v>44220</v>
      </c>
      <c r="JF34" s="50">
        <f t="shared" si="338"/>
        <v>44221</v>
      </c>
      <c r="JG34" s="50">
        <f t="shared" si="338"/>
        <v>44222</v>
      </c>
      <c r="JH34" s="50">
        <f t="shared" si="338"/>
        <v>44223</v>
      </c>
      <c r="JI34" s="50">
        <f t="shared" si="338"/>
        <v>44224</v>
      </c>
      <c r="JJ34" s="50">
        <f t="shared" si="338"/>
        <v>44225</v>
      </c>
      <c r="JK34" s="50">
        <f t="shared" si="338"/>
        <v>44226</v>
      </c>
      <c r="JL34" s="50">
        <f t="shared" si="338"/>
        <v>44227</v>
      </c>
      <c r="JM34" s="50">
        <f t="shared" si="338"/>
        <v>44228</v>
      </c>
      <c r="JN34" s="50">
        <f t="shared" si="338"/>
        <v>44229</v>
      </c>
      <c r="JO34" s="50">
        <f t="shared" si="338"/>
        <v>44230</v>
      </c>
      <c r="JP34" s="50">
        <f t="shared" ref="JP34:LW34" si="339">JP1</f>
        <v>44231</v>
      </c>
      <c r="JQ34" s="50">
        <f t="shared" si="339"/>
        <v>44232</v>
      </c>
      <c r="JR34" s="50">
        <f t="shared" si="339"/>
        <v>44233</v>
      </c>
      <c r="JS34" s="50">
        <f t="shared" si="339"/>
        <v>44234</v>
      </c>
      <c r="JT34" s="50">
        <f t="shared" si="339"/>
        <v>44235</v>
      </c>
      <c r="JU34" s="50">
        <f t="shared" si="339"/>
        <v>44236</v>
      </c>
      <c r="JV34" s="50">
        <f t="shared" si="339"/>
        <v>44237</v>
      </c>
      <c r="JW34" s="50">
        <f t="shared" si="339"/>
        <v>44238</v>
      </c>
      <c r="JX34" s="50">
        <f t="shared" si="339"/>
        <v>44239</v>
      </c>
      <c r="JY34" s="50">
        <f t="shared" si="339"/>
        <v>44240</v>
      </c>
      <c r="JZ34" s="50">
        <f t="shared" si="339"/>
        <v>44241</v>
      </c>
      <c r="KA34" s="50">
        <f t="shared" si="339"/>
        <v>44242</v>
      </c>
      <c r="KB34" s="50">
        <f t="shared" si="339"/>
        <v>44243</v>
      </c>
      <c r="KC34" s="50">
        <f t="shared" si="339"/>
        <v>44244</v>
      </c>
      <c r="KD34" s="50">
        <f t="shared" si="339"/>
        <v>44245</v>
      </c>
      <c r="KE34" s="50">
        <f t="shared" si="339"/>
        <v>44246</v>
      </c>
      <c r="KF34" s="50">
        <f t="shared" si="339"/>
        <v>44247</v>
      </c>
      <c r="KG34" s="50">
        <f t="shared" si="339"/>
        <v>44248</v>
      </c>
      <c r="KH34" s="50">
        <f t="shared" si="339"/>
        <v>44249</v>
      </c>
      <c r="KI34" s="50">
        <f t="shared" si="339"/>
        <v>44250</v>
      </c>
      <c r="KJ34" s="50">
        <f t="shared" si="339"/>
        <v>44251</v>
      </c>
      <c r="KK34" s="50">
        <f t="shared" si="339"/>
        <v>44252</v>
      </c>
      <c r="KL34" s="50">
        <f t="shared" si="339"/>
        <v>44253</v>
      </c>
      <c r="KM34" s="50">
        <f t="shared" si="339"/>
        <v>44254</v>
      </c>
      <c r="KN34" s="50">
        <f t="shared" si="339"/>
        <v>44255</v>
      </c>
      <c r="KO34" s="50">
        <f t="shared" si="339"/>
        <v>44256</v>
      </c>
      <c r="KP34" s="50">
        <f t="shared" si="339"/>
        <v>44257</v>
      </c>
      <c r="KQ34" s="50">
        <f t="shared" si="339"/>
        <v>44258</v>
      </c>
      <c r="KR34" s="50">
        <f t="shared" si="339"/>
        <v>44259</v>
      </c>
      <c r="KS34" s="50">
        <f t="shared" si="339"/>
        <v>44260</v>
      </c>
      <c r="KT34" s="50">
        <f t="shared" si="339"/>
        <v>44261</v>
      </c>
      <c r="KU34" s="50">
        <f t="shared" si="339"/>
        <v>44262</v>
      </c>
      <c r="KV34" s="50">
        <f t="shared" si="339"/>
        <v>44263</v>
      </c>
      <c r="KW34" s="50">
        <f t="shared" si="339"/>
        <v>44264</v>
      </c>
      <c r="KX34" s="50">
        <f t="shared" si="339"/>
        <v>44265</v>
      </c>
      <c r="KY34" s="50">
        <f t="shared" si="339"/>
        <v>44266</v>
      </c>
      <c r="KZ34" s="50">
        <f t="shared" si="339"/>
        <v>44267</v>
      </c>
      <c r="LA34" s="50">
        <f t="shared" si="339"/>
        <v>44268</v>
      </c>
      <c r="LB34" s="50">
        <f t="shared" si="339"/>
        <v>44269</v>
      </c>
      <c r="LC34" s="50">
        <f t="shared" si="339"/>
        <v>44270</v>
      </c>
      <c r="LD34" s="50">
        <f t="shared" si="339"/>
        <v>44271</v>
      </c>
      <c r="LE34" s="50">
        <f t="shared" si="339"/>
        <v>44272</v>
      </c>
      <c r="LF34" s="50">
        <f t="shared" si="339"/>
        <v>44273</v>
      </c>
      <c r="LG34" s="50">
        <f t="shared" si="339"/>
        <v>44274</v>
      </c>
      <c r="LH34" s="50">
        <f t="shared" si="339"/>
        <v>44275</v>
      </c>
      <c r="LI34" s="50">
        <f t="shared" si="339"/>
        <v>44276</v>
      </c>
      <c r="LJ34" s="50">
        <f t="shared" si="339"/>
        <v>44277</v>
      </c>
      <c r="LK34" s="50">
        <f t="shared" si="339"/>
        <v>44278</v>
      </c>
      <c r="LL34" s="50">
        <f t="shared" si="339"/>
        <v>44279</v>
      </c>
      <c r="LM34" s="50">
        <f t="shared" si="339"/>
        <v>44280</v>
      </c>
      <c r="LN34" s="50">
        <f t="shared" si="339"/>
        <v>44281</v>
      </c>
      <c r="LO34" s="50">
        <f t="shared" si="339"/>
        <v>44282</v>
      </c>
      <c r="LP34" s="50">
        <f t="shared" si="339"/>
        <v>44283</v>
      </c>
      <c r="LQ34" s="50">
        <f t="shared" si="339"/>
        <v>44284</v>
      </c>
      <c r="LR34" s="50">
        <f t="shared" si="339"/>
        <v>44285</v>
      </c>
      <c r="LS34" s="50">
        <f t="shared" si="339"/>
        <v>44286</v>
      </c>
      <c r="LT34" s="50">
        <f t="shared" si="339"/>
        <v>44287</v>
      </c>
      <c r="LU34" s="50">
        <f t="shared" si="339"/>
        <v>44288</v>
      </c>
      <c r="LV34" s="50">
        <f t="shared" si="339"/>
        <v>44289</v>
      </c>
      <c r="LW34" s="50">
        <f t="shared" si="339"/>
        <v>44290</v>
      </c>
    </row>
    <row r="35" spans="1:335" ht="15" customHeight="1" x14ac:dyDescent="0.25">
      <c r="A35" s="84" t="s">
        <v>146</v>
      </c>
      <c r="B35" s="84"/>
      <c r="C35" s="84"/>
      <c r="D35" s="84"/>
      <c r="E35" s="85"/>
      <c r="F35" s="36"/>
      <c r="G35" s="36"/>
      <c r="H35" s="36"/>
      <c r="I35" s="36"/>
      <c r="J35" s="36"/>
      <c r="K35" s="36"/>
      <c r="L35" s="36"/>
      <c r="M35" s="36"/>
      <c r="N35" s="36"/>
      <c r="O35" s="35"/>
      <c r="P35" s="88" t="s">
        <v>50</v>
      </c>
      <c r="Q35" s="107" t="s">
        <v>49</v>
      </c>
      <c r="R35" s="55">
        <f>R34</f>
        <v>43975</v>
      </c>
      <c r="S35" s="56">
        <f t="shared" ref="S35:CF35" si="340">S34</f>
        <v>43976</v>
      </c>
      <c r="T35" s="55">
        <f t="shared" si="340"/>
        <v>43977</v>
      </c>
      <c r="U35" s="55">
        <f t="shared" si="340"/>
        <v>43978</v>
      </c>
      <c r="V35" s="55">
        <f t="shared" si="340"/>
        <v>43979</v>
      </c>
      <c r="W35" s="55">
        <f t="shared" si="340"/>
        <v>43980</v>
      </c>
      <c r="X35" s="55">
        <f t="shared" si="340"/>
        <v>43981</v>
      </c>
      <c r="Y35" s="54">
        <f t="shared" si="340"/>
        <v>43982</v>
      </c>
      <c r="Z35" s="55">
        <f t="shared" si="340"/>
        <v>43983</v>
      </c>
      <c r="AA35" s="55">
        <f t="shared" si="340"/>
        <v>43984</v>
      </c>
      <c r="AB35" s="55">
        <f t="shared" si="340"/>
        <v>43985</v>
      </c>
      <c r="AC35" s="55">
        <f t="shared" si="340"/>
        <v>43986</v>
      </c>
      <c r="AD35" s="55">
        <f t="shared" si="340"/>
        <v>43987</v>
      </c>
      <c r="AE35" s="55">
        <f t="shared" si="340"/>
        <v>43988</v>
      </c>
      <c r="AF35" s="54">
        <f t="shared" si="340"/>
        <v>43989</v>
      </c>
      <c r="AG35" s="55">
        <f t="shared" si="340"/>
        <v>43990</v>
      </c>
      <c r="AH35" s="55">
        <f t="shared" si="340"/>
        <v>43991</v>
      </c>
      <c r="AI35" s="55">
        <f t="shared" si="340"/>
        <v>43992</v>
      </c>
      <c r="AJ35" s="55">
        <f t="shared" si="340"/>
        <v>43993</v>
      </c>
      <c r="AK35" s="55">
        <f t="shared" si="340"/>
        <v>43994</v>
      </c>
      <c r="AL35" s="55">
        <f t="shared" si="340"/>
        <v>43995</v>
      </c>
      <c r="AM35" s="54">
        <f t="shared" si="340"/>
        <v>43996</v>
      </c>
      <c r="AN35" s="55">
        <f t="shared" si="340"/>
        <v>43997</v>
      </c>
      <c r="AO35" s="55">
        <f t="shared" si="340"/>
        <v>43998</v>
      </c>
      <c r="AP35" s="55">
        <f t="shared" si="340"/>
        <v>43999</v>
      </c>
      <c r="AQ35" s="55">
        <f t="shared" si="340"/>
        <v>44000</v>
      </c>
      <c r="AR35" s="55">
        <f t="shared" si="340"/>
        <v>44001</v>
      </c>
      <c r="AS35" s="55">
        <f t="shared" si="340"/>
        <v>44002</v>
      </c>
      <c r="AT35" s="54">
        <f t="shared" si="340"/>
        <v>44003</v>
      </c>
      <c r="AU35" s="55">
        <f t="shared" si="340"/>
        <v>44004</v>
      </c>
      <c r="AV35" s="55">
        <f t="shared" si="340"/>
        <v>44005</v>
      </c>
      <c r="AW35" s="55">
        <f t="shared" si="340"/>
        <v>44006</v>
      </c>
      <c r="AX35" s="55">
        <f t="shared" si="340"/>
        <v>44007</v>
      </c>
      <c r="AY35" s="55">
        <f t="shared" si="340"/>
        <v>44008</v>
      </c>
      <c r="AZ35" s="55">
        <f t="shared" si="340"/>
        <v>44009</v>
      </c>
      <c r="BA35" s="54">
        <f t="shared" si="340"/>
        <v>44010</v>
      </c>
      <c r="BB35" s="55">
        <f t="shared" si="340"/>
        <v>44011</v>
      </c>
      <c r="BC35" s="55">
        <f t="shared" si="340"/>
        <v>44012</v>
      </c>
      <c r="BD35" s="55">
        <f t="shared" si="340"/>
        <v>44013</v>
      </c>
      <c r="BE35" s="55">
        <f t="shared" si="340"/>
        <v>44014</v>
      </c>
      <c r="BF35" s="55">
        <f t="shared" si="340"/>
        <v>44015</v>
      </c>
      <c r="BG35" s="55">
        <f t="shared" si="340"/>
        <v>44016</v>
      </c>
      <c r="BH35" s="54">
        <f t="shared" si="340"/>
        <v>44017</v>
      </c>
      <c r="BI35" s="55">
        <f t="shared" si="340"/>
        <v>44018</v>
      </c>
      <c r="BJ35" s="55">
        <f t="shared" si="340"/>
        <v>44019</v>
      </c>
      <c r="BK35" s="55">
        <f t="shared" si="340"/>
        <v>44020</v>
      </c>
      <c r="BL35" s="55">
        <f t="shared" si="340"/>
        <v>44021</v>
      </c>
      <c r="BM35" s="55">
        <f t="shared" si="340"/>
        <v>44022</v>
      </c>
      <c r="BN35" s="55">
        <f t="shared" si="340"/>
        <v>44023</v>
      </c>
      <c r="BO35" s="54">
        <v>12</v>
      </c>
      <c r="BP35" s="55">
        <f t="shared" si="340"/>
        <v>44025</v>
      </c>
      <c r="BQ35" s="55">
        <f t="shared" si="340"/>
        <v>44026</v>
      </c>
      <c r="BR35" s="55">
        <f t="shared" si="340"/>
        <v>44027</v>
      </c>
      <c r="BS35" s="55">
        <f t="shared" si="340"/>
        <v>44028</v>
      </c>
      <c r="BT35" s="55">
        <f t="shared" si="340"/>
        <v>44029</v>
      </c>
      <c r="BU35" s="55">
        <f t="shared" si="340"/>
        <v>44030</v>
      </c>
      <c r="BV35" s="55">
        <v>19</v>
      </c>
      <c r="BW35" s="54"/>
      <c r="BX35" s="55">
        <f t="shared" si="340"/>
        <v>44032</v>
      </c>
      <c r="BY35" s="55">
        <f t="shared" si="340"/>
        <v>44033</v>
      </c>
      <c r="BZ35" s="55">
        <f t="shared" si="340"/>
        <v>44034</v>
      </c>
      <c r="CA35" s="55">
        <f t="shared" si="340"/>
        <v>44035</v>
      </c>
      <c r="CB35" s="55">
        <f t="shared" si="340"/>
        <v>44036</v>
      </c>
      <c r="CC35" s="55">
        <f t="shared" si="340"/>
        <v>44037</v>
      </c>
      <c r="CD35" s="55"/>
      <c r="CE35" s="54">
        <f t="shared" si="340"/>
        <v>44038</v>
      </c>
      <c r="CF35" s="55">
        <f t="shared" si="340"/>
        <v>44039</v>
      </c>
      <c r="CG35" s="55">
        <f t="shared" ref="CG35:EQ35" si="341">CG34</f>
        <v>44040</v>
      </c>
      <c r="CH35" s="55">
        <f t="shared" si="341"/>
        <v>44041</v>
      </c>
      <c r="CI35" s="55">
        <f t="shared" si="341"/>
        <v>44042</v>
      </c>
      <c r="CJ35" s="55">
        <f t="shared" si="341"/>
        <v>44043</v>
      </c>
      <c r="CK35" s="55">
        <f t="shared" si="341"/>
        <v>44044</v>
      </c>
      <c r="CL35" s="54">
        <f t="shared" si="341"/>
        <v>44045</v>
      </c>
      <c r="CM35" s="55">
        <f t="shared" si="341"/>
        <v>44046</v>
      </c>
      <c r="CN35" s="55">
        <f t="shared" si="341"/>
        <v>44047</v>
      </c>
      <c r="CO35" s="55">
        <f t="shared" si="341"/>
        <v>44048</v>
      </c>
      <c r="CP35" s="55">
        <f t="shared" si="341"/>
        <v>44049</v>
      </c>
      <c r="CQ35" s="55">
        <f t="shared" si="341"/>
        <v>44050</v>
      </c>
      <c r="CR35" s="55">
        <f t="shared" si="341"/>
        <v>44051</v>
      </c>
      <c r="CS35" s="54">
        <f t="shared" si="341"/>
        <v>44052</v>
      </c>
      <c r="CT35" s="55">
        <f t="shared" si="341"/>
        <v>44053</v>
      </c>
      <c r="CU35" s="55">
        <f t="shared" si="341"/>
        <v>44054</v>
      </c>
      <c r="CV35" s="55">
        <f t="shared" si="341"/>
        <v>44055</v>
      </c>
      <c r="CW35" s="55">
        <f t="shared" si="341"/>
        <v>44056</v>
      </c>
      <c r="CX35" s="55">
        <f t="shared" si="341"/>
        <v>44057</v>
      </c>
      <c r="CY35" s="55">
        <f t="shared" si="341"/>
        <v>44058</v>
      </c>
      <c r="CZ35" s="54">
        <f t="shared" si="341"/>
        <v>44059</v>
      </c>
      <c r="DA35" s="55">
        <f t="shared" si="341"/>
        <v>44060</v>
      </c>
      <c r="DB35" s="55">
        <f t="shared" si="341"/>
        <v>44061</v>
      </c>
      <c r="DC35" s="55">
        <f t="shared" si="341"/>
        <v>44062</v>
      </c>
      <c r="DD35" s="55">
        <f t="shared" si="341"/>
        <v>44063</v>
      </c>
      <c r="DE35" s="55">
        <f t="shared" si="341"/>
        <v>44064</v>
      </c>
      <c r="DF35" s="55">
        <f t="shared" si="341"/>
        <v>44065</v>
      </c>
      <c r="DG35" s="54">
        <f t="shared" si="341"/>
        <v>44066</v>
      </c>
      <c r="DH35" s="55">
        <f t="shared" si="341"/>
        <v>44067</v>
      </c>
      <c r="DI35" s="55">
        <f t="shared" si="341"/>
        <v>44068</v>
      </c>
      <c r="DJ35" s="55">
        <f t="shared" si="341"/>
        <v>44069</v>
      </c>
      <c r="DK35" s="55">
        <f t="shared" si="341"/>
        <v>44070</v>
      </c>
      <c r="DL35" s="55">
        <f t="shared" si="341"/>
        <v>44071</v>
      </c>
      <c r="DM35" s="55">
        <f t="shared" si="341"/>
        <v>44072</v>
      </c>
      <c r="DN35" s="54">
        <f t="shared" si="341"/>
        <v>44073</v>
      </c>
      <c r="DO35" s="55">
        <f t="shared" si="341"/>
        <v>44074</v>
      </c>
      <c r="DP35" s="55">
        <f t="shared" si="341"/>
        <v>44075</v>
      </c>
      <c r="DQ35" s="55">
        <f t="shared" si="341"/>
        <v>44076</v>
      </c>
      <c r="DR35" s="55">
        <f t="shared" si="341"/>
        <v>44077</v>
      </c>
      <c r="DS35" s="55">
        <f t="shared" si="341"/>
        <v>44078</v>
      </c>
      <c r="DT35" s="55">
        <f t="shared" si="341"/>
        <v>44079</v>
      </c>
      <c r="DU35" s="54">
        <f t="shared" si="341"/>
        <v>44080</v>
      </c>
      <c r="DV35" s="55">
        <f t="shared" si="341"/>
        <v>44081</v>
      </c>
      <c r="DW35" s="55">
        <f t="shared" si="341"/>
        <v>44082</v>
      </c>
      <c r="DX35" s="55">
        <f t="shared" si="341"/>
        <v>44083</v>
      </c>
      <c r="DY35" s="55">
        <f t="shared" si="341"/>
        <v>44084</v>
      </c>
      <c r="DZ35" s="55">
        <f t="shared" si="341"/>
        <v>44085</v>
      </c>
      <c r="EA35" s="55">
        <f t="shared" si="341"/>
        <v>44086</v>
      </c>
      <c r="EB35" s="54">
        <f t="shared" si="341"/>
        <v>44087</v>
      </c>
      <c r="EC35" s="55">
        <f t="shared" si="341"/>
        <v>44088</v>
      </c>
      <c r="ED35" s="55">
        <f t="shared" si="341"/>
        <v>44089</v>
      </c>
      <c r="EE35" s="55">
        <f t="shared" si="341"/>
        <v>44090</v>
      </c>
      <c r="EF35" s="55">
        <f t="shared" si="341"/>
        <v>44091</v>
      </c>
      <c r="EG35" s="55">
        <f t="shared" si="341"/>
        <v>44092</v>
      </c>
      <c r="EH35" s="55">
        <f t="shared" si="341"/>
        <v>44093</v>
      </c>
      <c r="EI35" s="54">
        <f t="shared" si="341"/>
        <v>44094</v>
      </c>
      <c r="EJ35" s="55">
        <f t="shared" si="341"/>
        <v>44095</v>
      </c>
      <c r="EK35" s="55">
        <f t="shared" si="341"/>
        <v>44096</v>
      </c>
      <c r="EL35" s="55">
        <f t="shared" si="341"/>
        <v>44097</v>
      </c>
      <c r="EM35" s="55">
        <f t="shared" si="341"/>
        <v>44098</v>
      </c>
      <c r="EN35" s="55">
        <f t="shared" si="341"/>
        <v>44099</v>
      </c>
      <c r="EO35" s="55">
        <f t="shared" si="341"/>
        <v>44100</v>
      </c>
      <c r="EP35" s="54">
        <f t="shared" si="341"/>
        <v>44101</v>
      </c>
      <c r="EQ35" s="55">
        <f t="shared" si="341"/>
        <v>44102</v>
      </c>
      <c r="ER35" s="55">
        <f t="shared" ref="ER35:HC35" si="342">ER34</f>
        <v>44103</v>
      </c>
      <c r="ES35" s="55">
        <f t="shared" si="342"/>
        <v>44104</v>
      </c>
      <c r="ET35" s="55">
        <f t="shared" si="342"/>
        <v>44105</v>
      </c>
      <c r="EU35" s="55">
        <f t="shared" si="342"/>
        <v>44106</v>
      </c>
      <c r="EV35" s="55">
        <f t="shared" si="342"/>
        <v>44107</v>
      </c>
      <c r="EW35" s="54">
        <f t="shared" si="342"/>
        <v>44108</v>
      </c>
      <c r="EX35" s="55">
        <f t="shared" si="342"/>
        <v>44109</v>
      </c>
      <c r="EY35" s="55">
        <f t="shared" si="342"/>
        <v>44110</v>
      </c>
      <c r="EZ35" s="55">
        <f t="shared" si="342"/>
        <v>44111</v>
      </c>
      <c r="FA35" s="55">
        <f t="shared" si="342"/>
        <v>44112</v>
      </c>
      <c r="FB35" s="55">
        <f t="shared" si="342"/>
        <v>44113</v>
      </c>
      <c r="FC35" s="55">
        <f t="shared" si="342"/>
        <v>44114</v>
      </c>
      <c r="FD35" s="54">
        <f t="shared" si="342"/>
        <v>44115</v>
      </c>
      <c r="FE35" s="55">
        <f t="shared" si="342"/>
        <v>44116</v>
      </c>
      <c r="FF35" s="55">
        <f t="shared" si="342"/>
        <v>44117</v>
      </c>
      <c r="FG35" s="55">
        <f t="shared" si="342"/>
        <v>44118</v>
      </c>
      <c r="FH35" s="55">
        <f t="shared" si="342"/>
        <v>44119</v>
      </c>
      <c r="FI35" s="55">
        <f t="shared" si="342"/>
        <v>44120</v>
      </c>
      <c r="FJ35" s="55">
        <f t="shared" si="342"/>
        <v>44121</v>
      </c>
      <c r="FK35" s="54">
        <f t="shared" si="342"/>
        <v>44122</v>
      </c>
      <c r="FL35" s="55">
        <f t="shared" si="342"/>
        <v>44123</v>
      </c>
      <c r="FM35" s="55">
        <f t="shared" si="342"/>
        <v>44124</v>
      </c>
      <c r="FN35" s="55">
        <f t="shared" si="342"/>
        <v>44125</v>
      </c>
      <c r="FO35" s="55">
        <f t="shared" si="342"/>
        <v>44126</v>
      </c>
      <c r="FP35" s="55">
        <f t="shared" si="342"/>
        <v>44127</v>
      </c>
      <c r="FQ35" s="55">
        <f t="shared" si="342"/>
        <v>44128</v>
      </c>
      <c r="FR35" s="54">
        <f t="shared" si="342"/>
        <v>44129</v>
      </c>
      <c r="FS35" s="55">
        <f t="shared" si="342"/>
        <v>44130</v>
      </c>
      <c r="FT35" s="55">
        <f t="shared" si="342"/>
        <v>44131</v>
      </c>
      <c r="FU35" s="55">
        <f t="shared" si="342"/>
        <v>44132</v>
      </c>
      <c r="FV35" s="55">
        <f t="shared" si="342"/>
        <v>44133</v>
      </c>
      <c r="FW35" s="55">
        <f t="shared" si="342"/>
        <v>44134</v>
      </c>
      <c r="FX35" s="55">
        <f t="shared" si="342"/>
        <v>44135</v>
      </c>
      <c r="FY35" s="54">
        <f t="shared" si="342"/>
        <v>44136</v>
      </c>
      <c r="FZ35" s="55">
        <f t="shared" si="342"/>
        <v>44137</v>
      </c>
      <c r="GA35" s="55">
        <f t="shared" si="342"/>
        <v>44138</v>
      </c>
      <c r="GB35" s="55">
        <f t="shared" si="342"/>
        <v>44139</v>
      </c>
      <c r="GC35" s="55">
        <f t="shared" si="342"/>
        <v>44140</v>
      </c>
      <c r="GD35" s="55">
        <f t="shared" si="342"/>
        <v>44141</v>
      </c>
      <c r="GE35" s="55">
        <f t="shared" si="342"/>
        <v>44142</v>
      </c>
      <c r="GF35" s="54">
        <f t="shared" si="342"/>
        <v>44143</v>
      </c>
      <c r="GG35" s="55">
        <f t="shared" si="342"/>
        <v>44144</v>
      </c>
      <c r="GH35" s="55">
        <f t="shared" si="342"/>
        <v>44145</v>
      </c>
      <c r="GI35" s="55">
        <f t="shared" si="342"/>
        <v>44146</v>
      </c>
      <c r="GJ35" s="55">
        <f t="shared" si="342"/>
        <v>44147</v>
      </c>
      <c r="GK35" s="55">
        <f t="shared" si="342"/>
        <v>44148</v>
      </c>
      <c r="GL35" s="55">
        <f t="shared" si="342"/>
        <v>44149</v>
      </c>
      <c r="GM35" s="54">
        <f t="shared" si="342"/>
        <v>44150</v>
      </c>
      <c r="GN35" s="55">
        <f t="shared" si="342"/>
        <v>44151</v>
      </c>
      <c r="GO35" s="55">
        <f t="shared" si="342"/>
        <v>44152</v>
      </c>
      <c r="GP35" s="55">
        <f t="shared" si="342"/>
        <v>44153</v>
      </c>
      <c r="GQ35" s="55">
        <f t="shared" si="342"/>
        <v>44154</v>
      </c>
      <c r="GR35" s="55">
        <f t="shared" si="342"/>
        <v>44155</v>
      </c>
      <c r="GS35" s="55">
        <f t="shared" si="342"/>
        <v>44156</v>
      </c>
      <c r="GT35" s="54">
        <f t="shared" si="342"/>
        <v>44157</v>
      </c>
      <c r="GU35" s="55">
        <f t="shared" si="342"/>
        <v>44158</v>
      </c>
      <c r="GV35" s="55">
        <f t="shared" si="342"/>
        <v>44159</v>
      </c>
      <c r="GW35" s="55">
        <f t="shared" si="342"/>
        <v>44160</v>
      </c>
      <c r="GX35" s="55">
        <f t="shared" si="342"/>
        <v>44161</v>
      </c>
      <c r="GY35" s="55">
        <f t="shared" si="342"/>
        <v>44162</v>
      </c>
      <c r="GZ35" s="55">
        <f t="shared" si="342"/>
        <v>44163</v>
      </c>
      <c r="HA35" s="54">
        <f t="shared" si="342"/>
        <v>44164</v>
      </c>
      <c r="HB35" s="55">
        <f t="shared" si="342"/>
        <v>44165</v>
      </c>
      <c r="HC35" s="55">
        <f t="shared" si="342"/>
        <v>44166</v>
      </c>
      <c r="HD35" s="55">
        <f t="shared" ref="HD35:JO35" si="343">HD34</f>
        <v>44167</v>
      </c>
      <c r="HE35" s="55">
        <f t="shared" si="343"/>
        <v>44168</v>
      </c>
      <c r="HF35" s="55">
        <f t="shared" si="343"/>
        <v>44169</v>
      </c>
      <c r="HG35" s="55">
        <f t="shared" si="343"/>
        <v>44170</v>
      </c>
      <c r="HH35" s="54">
        <f t="shared" si="343"/>
        <v>44171</v>
      </c>
      <c r="HI35" s="55">
        <f t="shared" si="343"/>
        <v>44172</v>
      </c>
      <c r="HJ35" s="55">
        <f t="shared" si="343"/>
        <v>44173</v>
      </c>
      <c r="HK35" s="55">
        <f t="shared" si="343"/>
        <v>44174</v>
      </c>
      <c r="HL35" s="55">
        <f t="shared" si="343"/>
        <v>44175</v>
      </c>
      <c r="HM35" s="55">
        <f t="shared" si="343"/>
        <v>44176</v>
      </c>
      <c r="HN35" s="55">
        <f t="shared" si="343"/>
        <v>44177</v>
      </c>
      <c r="HO35" s="54">
        <f t="shared" si="343"/>
        <v>44178</v>
      </c>
      <c r="HP35" s="55">
        <f t="shared" si="343"/>
        <v>44179</v>
      </c>
      <c r="HQ35" s="55">
        <f t="shared" si="343"/>
        <v>44180</v>
      </c>
      <c r="HR35" s="55">
        <f t="shared" si="343"/>
        <v>44181</v>
      </c>
      <c r="HS35" s="55">
        <f t="shared" si="343"/>
        <v>44182</v>
      </c>
      <c r="HT35" s="55">
        <f t="shared" si="343"/>
        <v>44183</v>
      </c>
      <c r="HU35" s="55">
        <f t="shared" si="343"/>
        <v>44184</v>
      </c>
      <c r="HV35" s="54">
        <f t="shared" si="343"/>
        <v>44185</v>
      </c>
      <c r="HW35" s="55">
        <f t="shared" si="343"/>
        <v>44186</v>
      </c>
      <c r="HX35" s="55">
        <f t="shared" si="343"/>
        <v>44187</v>
      </c>
      <c r="HY35" s="55">
        <f t="shared" si="343"/>
        <v>44188</v>
      </c>
      <c r="HZ35" s="55">
        <f t="shared" si="343"/>
        <v>44189</v>
      </c>
      <c r="IA35" s="55">
        <f t="shared" si="343"/>
        <v>44190</v>
      </c>
      <c r="IB35" s="55">
        <f t="shared" si="343"/>
        <v>44191</v>
      </c>
      <c r="IC35" s="54">
        <f t="shared" si="343"/>
        <v>44192</v>
      </c>
      <c r="ID35" s="55">
        <f t="shared" si="343"/>
        <v>44193</v>
      </c>
      <c r="IE35" s="55">
        <f t="shared" si="343"/>
        <v>44194</v>
      </c>
      <c r="IF35" s="55">
        <f t="shared" si="343"/>
        <v>44195</v>
      </c>
      <c r="IG35" s="55">
        <f t="shared" si="343"/>
        <v>44196</v>
      </c>
      <c r="IH35" s="55">
        <f t="shared" si="343"/>
        <v>44197</v>
      </c>
      <c r="II35" s="55">
        <f t="shared" si="343"/>
        <v>44198</v>
      </c>
      <c r="IJ35" s="54">
        <f t="shared" si="343"/>
        <v>44199</v>
      </c>
      <c r="IK35" s="55">
        <f t="shared" si="343"/>
        <v>44200</v>
      </c>
      <c r="IL35" s="55">
        <f t="shared" si="343"/>
        <v>44201</v>
      </c>
      <c r="IM35" s="55">
        <f t="shared" si="343"/>
        <v>44202</v>
      </c>
      <c r="IN35" s="55">
        <f t="shared" si="343"/>
        <v>44203</v>
      </c>
      <c r="IO35" s="55">
        <f t="shared" si="343"/>
        <v>44204</v>
      </c>
      <c r="IP35" s="55">
        <f t="shared" si="343"/>
        <v>44205</v>
      </c>
      <c r="IQ35" s="54">
        <f t="shared" si="343"/>
        <v>44206</v>
      </c>
      <c r="IR35" s="55">
        <f t="shared" si="343"/>
        <v>44207</v>
      </c>
      <c r="IS35" s="55">
        <f t="shared" si="343"/>
        <v>44208</v>
      </c>
      <c r="IT35" s="55">
        <f t="shared" si="343"/>
        <v>44209</v>
      </c>
      <c r="IU35" s="55">
        <f t="shared" si="343"/>
        <v>44210</v>
      </c>
      <c r="IV35" s="55">
        <f t="shared" si="343"/>
        <v>44211</v>
      </c>
      <c r="IW35" s="55">
        <f t="shared" si="343"/>
        <v>44212</v>
      </c>
      <c r="IX35" s="54">
        <f t="shared" si="343"/>
        <v>44213</v>
      </c>
      <c r="IY35" s="55">
        <f t="shared" si="343"/>
        <v>44214</v>
      </c>
      <c r="IZ35" s="55">
        <f t="shared" si="343"/>
        <v>44215</v>
      </c>
      <c r="JA35" s="55">
        <f t="shared" si="343"/>
        <v>44216</v>
      </c>
      <c r="JB35" s="55">
        <f t="shared" si="343"/>
        <v>44217</v>
      </c>
      <c r="JC35" s="55">
        <f t="shared" si="343"/>
        <v>44218</v>
      </c>
      <c r="JD35" s="55">
        <f t="shared" si="343"/>
        <v>44219</v>
      </c>
      <c r="JE35" s="54">
        <f t="shared" si="343"/>
        <v>44220</v>
      </c>
      <c r="JF35" s="55">
        <f t="shared" si="343"/>
        <v>44221</v>
      </c>
      <c r="JG35" s="55">
        <f t="shared" si="343"/>
        <v>44222</v>
      </c>
      <c r="JH35" s="55">
        <f t="shared" si="343"/>
        <v>44223</v>
      </c>
      <c r="JI35" s="55">
        <f t="shared" si="343"/>
        <v>44224</v>
      </c>
      <c r="JJ35" s="55">
        <f t="shared" si="343"/>
        <v>44225</v>
      </c>
      <c r="JK35" s="55">
        <f t="shared" si="343"/>
        <v>44226</v>
      </c>
      <c r="JL35" s="54">
        <f t="shared" si="343"/>
        <v>44227</v>
      </c>
      <c r="JM35" s="55">
        <f t="shared" si="343"/>
        <v>44228</v>
      </c>
      <c r="JN35" s="55">
        <f t="shared" si="343"/>
        <v>44229</v>
      </c>
      <c r="JO35" s="55">
        <f t="shared" si="343"/>
        <v>44230</v>
      </c>
      <c r="JP35" s="55">
        <f t="shared" ref="JP35:LW35" si="344">JP34</f>
        <v>44231</v>
      </c>
      <c r="JQ35" s="55">
        <f t="shared" si="344"/>
        <v>44232</v>
      </c>
      <c r="JR35" s="55">
        <f t="shared" si="344"/>
        <v>44233</v>
      </c>
      <c r="JS35" s="54">
        <f t="shared" si="344"/>
        <v>44234</v>
      </c>
      <c r="JT35" s="55">
        <f t="shared" si="344"/>
        <v>44235</v>
      </c>
      <c r="JU35" s="55">
        <f t="shared" si="344"/>
        <v>44236</v>
      </c>
      <c r="JV35" s="55">
        <f t="shared" si="344"/>
        <v>44237</v>
      </c>
      <c r="JW35" s="55">
        <f t="shared" si="344"/>
        <v>44238</v>
      </c>
      <c r="JX35" s="55">
        <f t="shared" si="344"/>
        <v>44239</v>
      </c>
      <c r="JY35" s="55">
        <f t="shared" si="344"/>
        <v>44240</v>
      </c>
      <c r="JZ35" s="54">
        <f t="shared" si="344"/>
        <v>44241</v>
      </c>
      <c r="KA35" s="55">
        <f t="shared" si="344"/>
        <v>44242</v>
      </c>
      <c r="KB35" s="55">
        <f t="shared" si="344"/>
        <v>44243</v>
      </c>
      <c r="KC35" s="55">
        <f t="shared" si="344"/>
        <v>44244</v>
      </c>
      <c r="KD35" s="55">
        <f t="shared" si="344"/>
        <v>44245</v>
      </c>
      <c r="KE35" s="55">
        <f t="shared" si="344"/>
        <v>44246</v>
      </c>
      <c r="KF35" s="55">
        <f t="shared" si="344"/>
        <v>44247</v>
      </c>
      <c r="KG35" s="54">
        <f t="shared" si="344"/>
        <v>44248</v>
      </c>
      <c r="KH35" s="55">
        <f t="shared" si="344"/>
        <v>44249</v>
      </c>
      <c r="KI35" s="55">
        <f t="shared" si="344"/>
        <v>44250</v>
      </c>
      <c r="KJ35" s="55">
        <f t="shared" si="344"/>
        <v>44251</v>
      </c>
      <c r="KK35" s="55">
        <f t="shared" si="344"/>
        <v>44252</v>
      </c>
      <c r="KL35" s="55">
        <f t="shared" si="344"/>
        <v>44253</v>
      </c>
      <c r="KM35" s="55">
        <f t="shared" si="344"/>
        <v>44254</v>
      </c>
      <c r="KN35" s="54">
        <f t="shared" si="344"/>
        <v>44255</v>
      </c>
      <c r="KO35" s="55">
        <f t="shared" si="344"/>
        <v>44256</v>
      </c>
      <c r="KP35" s="55">
        <f t="shared" si="344"/>
        <v>44257</v>
      </c>
      <c r="KQ35" s="55">
        <f t="shared" si="344"/>
        <v>44258</v>
      </c>
      <c r="KR35" s="55">
        <f t="shared" si="344"/>
        <v>44259</v>
      </c>
      <c r="KS35" s="55">
        <f t="shared" si="344"/>
        <v>44260</v>
      </c>
      <c r="KT35" s="55">
        <f t="shared" si="344"/>
        <v>44261</v>
      </c>
      <c r="KU35" s="54">
        <f t="shared" si="344"/>
        <v>44262</v>
      </c>
      <c r="KV35" s="55">
        <f t="shared" si="344"/>
        <v>44263</v>
      </c>
      <c r="KW35" s="55">
        <f t="shared" si="344"/>
        <v>44264</v>
      </c>
      <c r="KX35" s="55">
        <f t="shared" si="344"/>
        <v>44265</v>
      </c>
      <c r="KY35" s="55">
        <f t="shared" si="344"/>
        <v>44266</v>
      </c>
      <c r="KZ35" s="55">
        <f t="shared" si="344"/>
        <v>44267</v>
      </c>
      <c r="LA35" s="55">
        <f t="shared" si="344"/>
        <v>44268</v>
      </c>
      <c r="LB35" s="54">
        <f t="shared" si="344"/>
        <v>44269</v>
      </c>
      <c r="LC35" s="55">
        <f t="shared" si="344"/>
        <v>44270</v>
      </c>
      <c r="LD35" s="55">
        <f t="shared" si="344"/>
        <v>44271</v>
      </c>
      <c r="LE35" s="55">
        <f t="shared" si="344"/>
        <v>44272</v>
      </c>
      <c r="LF35" s="55">
        <f t="shared" si="344"/>
        <v>44273</v>
      </c>
      <c r="LG35" s="55">
        <f t="shared" si="344"/>
        <v>44274</v>
      </c>
      <c r="LH35" s="55">
        <f t="shared" si="344"/>
        <v>44275</v>
      </c>
      <c r="LI35" s="54">
        <f t="shared" si="344"/>
        <v>44276</v>
      </c>
      <c r="LJ35" s="55">
        <f t="shared" si="344"/>
        <v>44277</v>
      </c>
      <c r="LK35" s="55">
        <f t="shared" si="344"/>
        <v>44278</v>
      </c>
      <c r="LL35" s="55">
        <f t="shared" si="344"/>
        <v>44279</v>
      </c>
      <c r="LM35" s="55">
        <f t="shared" si="344"/>
        <v>44280</v>
      </c>
      <c r="LN35" s="55">
        <f t="shared" si="344"/>
        <v>44281</v>
      </c>
      <c r="LO35" s="55">
        <f t="shared" si="344"/>
        <v>44282</v>
      </c>
      <c r="LP35" s="54">
        <f t="shared" si="344"/>
        <v>44283</v>
      </c>
      <c r="LQ35" s="55">
        <f t="shared" si="344"/>
        <v>44284</v>
      </c>
      <c r="LR35" s="55">
        <f t="shared" si="344"/>
        <v>44285</v>
      </c>
      <c r="LS35" s="55">
        <f t="shared" si="344"/>
        <v>44286</v>
      </c>
      <c r="LT35" s="55">
        <f t="shared" si="344"/>
        <v>44287</v>
      </c>
      <c r="LU35" s="55">
        <f t="shared" si="344"/>
        <v>44288</v>
      </c>
      <c r="LV35" s="55">
        <f t="shared" si="344"/>
        <v>44289</v>
      </c>
      <c r="LW35" s="54">
        <f t="shared" si="344"/>
        <v>44290</v>
      </c>
    </row>
    <row r="36" spans="1:335" ht="15" customHeight="1" x14ac:dyDescent="0.25">
      <c r="A36" s="86"/>
      <c r="B36" s="86"/>
      <c r="C36" s="86"/>
      <c r="D36" s="86"/>
      <c r="E36" s="87"/>
      <c r="F36" s="19"/>
      <c r="G36" s="19"/>
      <c r="H36" s="19"/>
      <c r="I36" s="19"/>
      <c r="J36" s="19"/>
      <c r="K36" s="19"/>
      <c r="L36" s="19"/>
      <c r="M36" s="19"/>
      <c r="N36" s="19"/>
      <c r="O36" s="9"/>
      <c r="P36" s="89"/>
      <c r="Q36" s="105"/>
      <c r="R36" s="24"/>
      <c r="S36" s="25"/>
      <c r="T36" s="25"/>
      <c r="U36" s="25"/>
      <c r="V36" s="25"/>
      <c r="W36" s="25"/>
      <c r="X36" s="25"/>
      <c r="Y36" s="24"/>
      <c r="Z36" s="25"/>
      <c r="AA36" s="25"/>
      <c r="AB36" s="25"/>
      <c r="AC36" s="25"/>
      <c r="AD36" s="25"/>
      <c r="AE36" s="25"/>
      <c r="AF36" s="24"/>
      <c r="AG36" s="25"/>
      <c r="AH36" s="25" t="s">
        <v>38</v>
      </c>
      <c r="AI36" s="25"/>
      <c r="AJ36" s="25" t="s">
        <v>38</v>
      </c>
      <c r="AK36" s="25"/>
      <c r="AL36" s="25"/>
      <c r="AM36" s="24"/>
      <c r="AN36" s="25"/>
      <c r="AO36" s="25" t="s">
        <v>38</v>
      </c>
      <c r="AP36" s="25"/>
      <c r="AQ36" s="25" t="s">
        <v>38</v>
      </c>
      <c r="AR36" s="25"/>
      <c r="AS36" s="25"/>
      <c r="AT36" s="24"/>
      <c r="AU36" s="25"/>
      <c r="AV36" s="25" t="s">
        <v>38</v>
      </c>
      <c r="AW36" s="25" t="s">
        <v>266</v>
      </c>
      <c r="AX36" s="25" t="s">
        <v>38</v>
      </c>
      <c r="AY36" s="25"/>
      <c r="AZ36" s="25"/>
      <c r="BA36" s="24"/>
      <c r="BB36" s="25"/>
      <c r="BC36" s="25" t="s">
        <v>38</v>
      </c>
      <c r="BD36" s="25"/>
      <c r="BE36" s="25" t="s">
        <v>38</v>
      </c>
      <c r="BF36" s="25"/>
      <c r="BG36" s="25"/>
      <c r="BH36" s="24"/>
      <c r="BI36" s="25"/>
      <c r="BJ36" s="25" t="s">
        <v>38</v>
      </c>
      <c r="BK36" s="25"/>
      <c r="BL36" s="25" t="s">
        <v>38</v>
      </c>
      <c r="BM36" s="25" t="s">
        <v>55</v>
      </c>
      <c r="BN36" s="25"/>
      <c r="BO36" s="24" t="s">
        <v>150</v>
      </c>
      <c r="BP36" s="25"/>
      <c r="BQ36" s="25"/>
      <c r="BR36" s="25"/>
      <c r="BS36" s="25"/>
      <c r="BT36" s="25"/>
      <c r="BU36" s="25"/>
      <c r="BV36" s="25" t="s">
        <v>150</v>
      </c>
      <c r="BW36" s="24"/>
      <c r="BX36" s="25"/>
      <c r="BY36" s="25"/>
      <c r="BZ36" s="25"/>
      <c r="CA36" s="25"/>
      <c r="CB36" s="25"/>
      <c r="CC36" s="25"/>
      <c r="CD36" s="25"/>
      <c r="CE36" s="24"/>
      <c r="CF36" s="25"/>
      <c r="CG36" s="25"/>
      <c r="CH36" s="25"/>
      <c r="CI36" s="25"/>
      <c r="CJ36" s="25"/>
      <c r="CK36" s="25"/>
      <c r="CL36" s="24"/>
      <c r="CM36" s="25"/>
      <c r="CN36" s="25" t="s">
        <v>38</v>
      </c>
      <c r="CO36" s="25"/>
      <c r="CP36" s="25" t="s">
        <v>38</v>
      </c>
      <c r="CQ36" s="25" t="s">
        <v>38</v>
      </c>
      <c r="CR36" s="25"/>
      <c r="CS36" s="24"/>
      <c r="CT36" s="25"/>
      <c r="CU36" s="25" t="s">
        <v>38</v>
      </c>
      <c r="CV36" s="25"/>
      <c r="CW36" s="25" t="s">
        <v>38</v>
      </c>
      <c r="CX36" s="25" t="s">
        <v>38</v>
      </c>
      <c r="CY36" s="25"/>
      <c r="CZ36" s="24"/>
      <c r="DA36" s="25"/>
      <c r="DB36" s="25" t="s">
        <v>38</v>
      </c>
      <c r="DC36" s="25"/>
      <c r="DD36" s="25" t="s">
        <v>38</v>
      </c>
      <c r="DE36" s="25" t="s">
        <v>38</v>
      </c>
      <c r="DF36" s="25"/>
      <c r="DG36" s="24"/>
      <c r="DH36" s="25"/>
      <c r="DI36" s="25" t="s">
        <v>38</v>
      </c>
      <c r="DJ36" s="25"/>
      <c r="DK36" s="25" t="s">
        <v>38</v>
      </c>
      <c r="DL36" s="25" t="s">
        <v>38</v>
      </c>
      <c r="DM36" s="25"/>
      <c r="DN36" s="24"/>
      <c r="DO36" s="25"/>
      <c r="DP36" s="25" t="s">
        <v>38</v>
      </c>
      <c r="DQ36" s="25"/>
      <c r="DR36" s="25" t="s">
        <v>38</v>
      </c>
      <c r="DS36" s="25" t="s">
        <v>38</v>
      </c>
      <c r="DT36" s="25"/>
      <c r="DU36" s="24"/>
      <c r="DV36" s="25"/>
      <c r="DW36" s="25" t="s">
        <v>38</v>
      </c>
      <c r="DX36" s="25"/>
      <c r="DY36" s="25" t="s">
        <v>38</v>
      </c>
      <c r="DZ36" s="25" t="s">
        <v>38</v>
      </c>
      <c r="EA36" s="25"/>
      <c r="EB36" s="24"/>
      <c r="EC36" s="25"/>
      <c r="ED36" s="25" t="s">
        <v>38</v>
      </c>
      <c r="EE36" s="25"/>
      <c r="EF36" s="25" t="s">
        <v>38</v>
      </c>
      <c r="EG36" s="25" t="s">
        <v>38</v>
      </c>
      <c r="EH36" s="25"/>
      <c r="EI36" s="24"/>
      <c r="EJ36" s="25"/>
      <c r="EK36" s="25" t="s">
        <v>38</v>
      </c>
      <c r="EL36" s="25"/>
      <c r="EM36" s="25" t="s">
        <v>38</v>
      </c>
      <c r="EN36" s="25" t="s">
        <v>38</v>
      </c>
      <c r="EO36" s="25"/>
      <c r="EP36" s="24"/>
      <c r="EQ36" s="25"/>
      <c r="ER36" s="25" t="s">
        <v>38</v>
      </c>
      <c r="ES36" s="25"/>
      <c r="ET36" s="25" t="s">
        <v>38</v>
      </c>
      <c r="EU36" s="25" t="s">
        <v>38</v>
      </c>
      <c r="EV36" s="25"/>
      <c r="EW36" s="24"/>
      <c r="EX36" s="25"/>
      <c r="EY36" s="25" t="s">
        <v>38</v>
      </c>
      <c r="EZ36" s="25"/>
      <c r="FA36" s="25" t="s">
        <v>38</v>
      </c>
      <c r="FB36" s="25" t="s">
        <v>38</v>
      </c>
      <c r="FC36" s="25"/>
      <c r="FD36" s="24"/>
      <c r="FE36" s="25"/>
      <c r="FF36" s="25" t="s">
        <v>38</v>
      </c>
      <c r="FG36" s="25"/>
      <c r="FH36" s="25" t="s">
        <v>38</v>
      </c>
      <c r="FI36" s="25" t="s">
        <v>38</v>
      </c>
      <c r="FJ36" s="25"/>
      <c r="FK36" s="24"/>
      <c r="FL36" s="25"/>
      <c r="FM36" s="25" t="s">
        <v>38</v>
      </c>
      <c r="FN36" s="25"/>
      <c r="FO36" s="25" t="s">
        <v>38</v>
      </c>
      <c r="FP36" s="25" t="s">
        <v>38</v>
      </c>
      <c r="FQ36" s="25"/>
      <c r="FR36" s="24"/>
      <c r="FS36" s="25"/>
      <c r="FT36" s="25" t="s">
        <v>38</v>
      </c>
      <c r="FU36" s="25"/>
      <c r="FV36" s="25" t="s">
        <v>38</v>
      </c>
      <c r="FW36" s="25" t="s">
        <v>38</v>
      </c>
      <c r="FX36" s="25"/>
      <c r="FY36" s="24"/>
      <c r="FZ36" s="25"/>
      <c r="GA36" s="25" t="s">
        <v>38</v>
      </c>
      <c r="GB36" s="25"/>
      <c r="GC36" s="25" t="s">
        <v>38</v>
      </c>
      <c r="GD36" s="25" t="s">
        <v>38</v>
      </c>
      <c r="GE36" s="25"/>
      <c r="GF36" s="24"/>
      <c r="GG36" s="25"/>
      <c r="GH36" s="25" t="s">
        <v>38</v>
      </c>
      <c r="GI36" s="25"/>
      <c r="GJ36" s="25" t="s">
        <v>38</v>
      </c>
      <c r="GK36" s="25" t="s">
        <v>38</v>
      </c>
      <c r="GL36" s="25"/>
      <c r="GM36" s="24"/>
      <c r="GN36" s="25"/>
      <c r="GO36" s="25" t="s">
        <v>38</v>
      </c>
      <c r="GP36" s="25"/>
      <c r="GQ36" s="25" t="s">
        <v>38</v>
      </c>
      <c r="GR36" s="25" t="s">
        <v>38</v>
      </c>
      <c r="GS36" s="25"/>
      <c r="GT36" s="24"/>
      <c r="GU36" s="25"/>
      <c r="GV36" s="25" t="s">
        <v>38</v>
      </c>
      <c r="GW36" s="25"/>
      <c r="GX36" s="25" t="s">
        <v>38</v>
      </c>
      <c r="GY36" s="25" t="s">
        <v>38</v>
      </c>
      <c r="GZ36" s="25"/>
      <c r="HA36" s="24"/>
      <c r="HB36" s="25"/>
      <c r="HC36" s="25" t="s">
        <v>38</v>
      </c>
      <c r="HD36" s="25" t="s">
        <v>38</v>
      </c>
      <c r="HE36" s="25"/>
      <c r="HF36" s="25" t="s">
        <v>38</v>
      </c>
      <c r="HG36" s="25"/>
      <c r="HH36" s="24"/>
      <c r="HI36" s="25"/>
      <c r="HJ36" s="25" t="s">
        <v>38</v>
      </c>
      <c r="HK36" s="25"/>
      <c r="HL36" s="25" t="s">
        <v>38</v>
      </c>
      <c r="HM36" s="25" t="s">
        <v>38</v>
      </c>
      <c r="HN36" s="25"/>
      <c r="HO36" s="24"/>
      <c r="HP36" s="25"/>
      <c r="HQ36" s="25" t="s">
        <v>38</v>
      </c>
      <c r="HR36" s="25"/>
      <c r="HS36" s="25" t="s">
        <v>38</v>
      </c>
      <c r="HT36" s="25" t="s">
        <v>38</v>
      </c>
      <c r="HU36" s="25"/>
      <c r="HV36" s="24"/>
      <c r="HW36" s="25"/>
      <c r="HX36" s="25" t="s">
        <v>38</v>
      </c>
      <c r="HY36" s="25"/>
      <c r="HZ36" s="25" t="s">
        <v>38</v>
      </c>
      <c r="IA36" s="25" t="s">
        <v>38</v>
      </c>
      <c r="IB36" s="25"/>
      <c r="IC36" s="24"/>
      <c r="ID36" s="25"/>
      <c r="IE36" s="25" t="s">
        <v>38</v>
      </c>
      <c r="IF36" s="25"/>
      <c r="IG36" s="25" t="s">
        <v>38</v>
      </c>
      <c r="IH36" s="25" t="s">
        <v>38</v>
      </c>
      <c r="II36" s="25"/>
      <c r="IJ36" s="24"/>
      <c r="IK36" s="25"/>
      <c r="IL36" s="25" t="s">
        <v>38</v>
      </c>
      <c r="IM36" s="25"/>
      <c r="IN36" s="25" t="s">
        <v>38</v>
      </c>
      <c r="IO36" s="25" t="s">
        <v>38</v>
      </c>
      <c r="IP36" s="25"/>
      <c r="IQ36" s="24"/>
      <c r="IR36" s="25"/>
      <c r="IS36" s="25" t="s">
        <v>38</v>
      </c>
      <c r="IT36" s="25"/>
      <c r="IU36" s="25" t="s">
        <v>38</v>
      </c>
      <c r="IV36" s="25" t="s">
        <v>38</v>
      </c>
      <c r="IW36" s="25"/>
      <c r="IX36" s="24"/>
      <c r="IY36" s="25"/>
      <c r="IZ36" s="25" t="s">
        <v>38</v>
      </c>
      <c r="JA36" s="25"/>
      <c r="JB36" s="25" t="s">
        <v>38</v>
      </c>
      <c r="JC36" s="25" t="s">
        <v>38</v>
      </c>
      <c r="JD36" s="25"/>
      <c r="JE36" s="24"/>
      <c r="JF36" s="25"/>
      <c r="JG36" s="25" t="s">
        <v>38</v>
      </c>
      <c r="JH36" s="25"/>
      <c r="JI36" s="25" t="s">
        <v>38</v>
      </c>
      <c r="JJ36" s="25" t="s">
        <v>38</v>
      </c>
      <c r="JK36" s="25"/>
      <c r="JL36" s="24"/>
      <c r="JM36" s="25"/>
      <c r="JN36" s="25" t="s">
        <v>38</v>
      </c>
      <c r="JO36" s="25"/>
      <c r="JP36" s="25" t="s">
        <v>38</v>
      </c>
      <c r="JQ36" s="25" t="s">
        <v>38</v>
      </c>
      <c r="JR36" s="25"/>
      <c r="JS36" s="24"/>
      <c r="JT36" s="25"/>
      <c r="JU36" s="25" t="s">
        <v>38</v>
      </c>
      <c r="JV36" s="25"/>
      <c r="JW36" s="25" t="s">
        <v>38</v>
      </c>
      <c r="JX36" s="25" t="s">
        <v>38</v>
      </c>
      <c r="JY36" s="25"/>
      <c r="JZ36" s="24"/>
      <c r="KA36" s="25"/>
      <c r="KB36" s="25" t="s">
        <v>38</v>
      </c>
      <c r="KC36" s="25"/>
      <c r="KD36" s="25" t="s">
        <v>38</v>
      </c>
      <c r="KE36" s="25" t="s">
        <v>38</v>
      </c>
      <c r="KF36" s="25"/>
      <c r="KG36" s="24"/>
      <c r="KH36" s="25"/>
      <c r="KI36" s="25" t="s">
        <v>38</v>
      </c>
      <c r="KJ36" s="25"/>
      <c r="KK36" s="25" t="s">
        <v>38</v>
      </c>
      <c r="KL36" s="25" t="s">
        <v>38</v>
      </c>
      <c r="KM36" s="25"/>
      <c r="KN36" s="24"/>
      <c r="KO36" s="25"/>
      <c r="KP36" s="25" t="s">
        <v>38</v>
      </c>
      <c r="KQ36" s="25"/>
      <c r="KR36" s="25" t="s">
        <v>38</v>
      </c>
      <c r="KS36" s="25"/>
      <c r="KT36" s="25"/>
      <c r="KU36" s="26"/>
      <c r="KV36" s="25"/>
      <c r="KW36" s="25" t="s">
        <v>38</v>
      </c>
      <c r="KX36" s="25"/>
      <c r="KY36" s="25" t="s">
        <v>38</v>
      </c>
      <c r="KZ36" s="25"/>
      <c r="LA36" s="25"/>
      <c r="LB36" s="24"/>
      <c r="LC36" s="25"/>
      <c r="LD36" s="25"/>
      <c r="LE36" s="25"/>
      <c r="LF36" s="25"/>
      <c r="LG36" s="25"/>
      <c r="LH36" s="25"/>
      <c r="LI36" s="24"/>
      <c r="LJ36" s="25"/>
      <c r="LK36" s="25"/>
      <c r="LL36" s="25"/>
      <c r="LM36" s="25"/>
      <c r="LN36" s="25"/>
      <c r="LO36" s="25"/>
      <c r="LP36" s="24"/>
      <c r="LQ36" s="25"/>
      <c r="LR36" s="25"/>
      <c r="LS36" s="25"/>
      <c r="LT36" s="25"/>
      <c r="LU36" s="25"/>
      <c r="LV36" s="25"/>
      <c r="LW36" s="24"/>
    </row>
    <row r="37" spans="1:335" x14ac:dyDescent="0.25">
      <c r="A37" s="11" t="s">
        <v>150</v>
      </c>
      <c r="B37" s="11"/>
      <c r="C37" s="11"/>
      <c r="D37" s="11"/>
      <c r="E37" s="11"/>
      <c r="F37" s="13" t="s">
        <v>149</v>
      </c>
      <c r="G37" s="40" t="s">
        <v>148</v>
      </c>
      <c r="H37" s="40" t="s">
        <v>120</v>
      </c>
      <c r="I37" s="11" t="s">
        <v>41</v>
      </c>
      <c r="J37" s="11" t="s">
        <v>119</v>
      </c>
      <c r="K37" s="11" t="s">
        <v>42</v>
      </c>
      <c r="L37" s="11" t="s">
        <v>118</v>
      </c>
      <c r="M37" s="11" t="s">
        <v>47</v>
      </c>
      <c r="N37" s="11" t="s">
        <v>101</v>
      </c>
      <c r="O37" s="12" t="s">
        <v>46</v>
      </c>
      <c r="P37" s="11"/>
      <c r="Q37" s="12"/>
      <c r="R37" s="12"/>
      <c r="S37" s="11"/>
      <c r="T37" s="11"/>
      <c r="U37" s="11"/>
      <c r="V37" s="11"/>
      <c r="W37" s="11"/>
      <c r="X37" s="11"/>
      <c r="Y37" s="12"/>
      <c r="Z37" s="11"/>
      <c r="AA37" s="11"/>
      <c r="AB37" s="11"/>
      <c r="AC37" s="11"/>
      <c r="AD37" s="11"/>
      <c r="AE37" s="11"/>
      <c r="AF37" s="12"/>
      <c r="AG37" s="11"/>
      <c r="AH37" s="11"/>
      <c r="AI37" s="11"/>
      <c r="AJ37" s="11"/>
      <c r="AK37" s="11"/>
      <c r="AL37" s="11"/>
      <c r="AM37" s="12"/>
      <c r="AN37" s="11"/>
      <c r="AO37" s="11"/>
      <c r="AP37" s="11"/>
      <c r="AQ37" s="11"/>
      <c r="AR37" s="11"/>
      <c r="AS37" s="11"/>
      <c r="AT37" s="12"/>
      <c r="AU37" s="11"/>
      <c r="AV37" s="11"/>
      <c r="AW37" s="11"/>
      <c r="AX37" s="11"/>
      <c r="AY37" s="11"/>
      <c r="AZ37" s="11"/>
      <c r="BA37" s="12"/>
      <c r="BB37" s="11"/>
      <c r="BC37" s="11"/>
      <c r="BD37" s="11"/>
      <c r="BE37" s="11"/>
      <c r="BF37" s="11"/>
      <c r="BG37" s="11"/>
      <c r="BH37" s="12"/>
      <c r="BI37" s="11"/>
      <c r="BJ37" s="11"/>
      <c r="BK37" s="11"/>
      <c r="BL37" s="11"/>
      <c r="BM37" s="11"/>
      <c r="BN37" s="11"/>
      <c r="BO37" s="12"/>
      <c r="BP37" s="11"/>
      <c r="BQ37" s="11"/>
      <c r="BR37" s="11"/>
      <c r="BS37" s="11"/>
      <c r="BT37" s="11"/>
      <c r="BU37" s="11"/>
      <c r="BV37" s="11"/>
      <c r="BW37" s="12"/>
      <c r="BX37" s="11"/>
      <c r="BY37" s="11"/>
      <c r="BZ37" s="11"/>
      <c r="CA37" s="11"/>
      <c r="CB37" s="11"/>
      <c r="CC37" s="11"/>
      <c r="CD37" s="11"/>
      <c r="CE37" s="12"/>
      <c r="CF37" s="11"/>
      <c r="CG37" s="11"/>
      <c r="CH37" s="11"/>
      <c r="CI37" s="11"/>
      <c r="CJ37" s="11"/>
      <c r="CK37" s="11"/>
      <c r="CL37" s="12"/>
      <c r="CM37" s="11"/>
      <c r="CN37" s="11"/>
      <c r="CO37" s="11"/>
      <c r="CP37" s="11"/>
      <c r="CQ37" s="11"/>
      <c r="CR37" s="11"/>
      <c r="CS37" s="12"/>
      <c r="CT37" s="11"/>
      <c r="CU37" s="11"/>
      <c r="CV37" s="11"/>
      <c r="CW37" s="11"/>
      <c r="CX37" s="11"/>
      <c r="CY37" s="11"/>
      <c r="CZ37" s="12"/>
      <c r="DA37" s="11"/>
      <c r="DB37" s="11"/>
      <c r="DC37" s="11"/>
      <c r="DD37" s="11"/>
      <c r="DE37" s="11"/>
      <c r="DF37" s="11"/>
      <c r="DG37" s="12"/>
      <c r="DH37" s="11"/>
      <c r="DI37" s="11"/>
      <c r="DJ37" s="11"/>
      <c r="DK37" s="11"/>
      <c r="DL37" s="11"/>
      <c r="DM37" s="11"/>
      <c r="DN37" s="12"/>
      <c r="DO37" s="11"/>
      <c r="DP37" s="11"/>
      <c r="DQ37" s="11"/>
      <c r="DR37" s="11"/>
      <c r="DS37" s="11"/>
      <c r="DT37" s="11"/>
      <c r="DU37" s="12"/>
      <c r="DV37" s="11"/>
      <c r="DW37" s="11"/>
      <c r="DX37" s="11"/>
      <c r="DY37" s="11"/>
      <c r="DZ37" s="11"/>
      <c r="EA37" s="11"/>
      <c r="EB37" s="12"/>
      <c r="EC37" s="11"/>
      <c r="ED37" s="11"/>
      <c r="EE37" s="11"/>
      <c r="EF37" s="11"/>
      <c r="EG37" s="11"/>
      <c r="EH37" s="11"/>
      <c r="EI37" s="12"/>
      <c r="EJ37" s="11"/>
      <c r="EK37" s="11"/>
      <c r="EL37" s="11"/>
      <c r="EM37" s="11"/>
      <c r="EN37" s="11"/>
      <c r="EO37" s="11"/>
      <c r="EP37" s="12"/>
      <c r="EQ37" s="11"/>
      <c r="ER37" s="11"/>
      <c r="ES37" s="11"/>
      <c r="ET37" s="11"/>
      <c r="EU37" s="11"/>
      <c r="EV37" s="11"/>
      <c r="EW37" s="12"/>
      <c r="EX37" s="11"/>
      <c r="EY37" s="11"/>
      <c r="EZ37" s="11"/>
      <c r="FA37" s="11"/>
      <c r="FB37" s="11"/>
      <c r="FC37" s="11"/>
      <c r="FD37" s="12"/>
      <c r="FE37" s="11"/>
      <c r="FF37" s="11"/>
      <c r="FG37" s="11"/>
      <c r="FH37" s="11"/>
      <c r="FI37" s="11"/>
      <c r="FJ37" s="11"/>
      <c r="FK37" s="12"/>
      <c r="FL37" s="11"/>
      <c r="FM37" s="11"/>
      <c r="FN37" s="11"/>
      <c r="FO37" s="11"/>
      <c r="FP37" s="11"/>
      <c r="FQ37" s="11"/>
      <c r="FR37" s="12"/>
      <c r="FS37" s="11"/>
      <c r="FT37" s="11"/>
      <c r="FU37" s="11"/>
      <c r="FV37" s="11"/>
      <c r="FW37" s="11"/>
      <c r="FX37" s="11"/>
      <c r="FY37" s="12"/>
      <c r="FZ37" s="11"/>
      <c r="GA37" s="11"/>
      <c r="GB37" s="11"/>
      <c r="GC37" s="11"/>
      <c r="GD37" s="11"/>
      <c r="GE37" s="11"/>
      <c r="GF37" s="12"/>
      <c r="GG37" s="11"/>
      <c r="GH37" s="11"/>
      <c r="GI37" s="11"/>
      <c r="GJ37" s="11"/>
      <c r="GK37" s="11"/>
      <c r="GL37" s="11"/>
      <c r="GM37" s="12"/>
      <c r="GN37" s="11"/>
      <c r="GO37" s="11"/>
      <c r="GP37" s="11"/>
      <c r="GQ37" s="11"/>
      <c r="GR37" s="11"/>
      <c r="GS37" s="11"/>
      <c r="GT37" s="12"/>
      <c r="GU37" s="11"/>
      <c r="GV37" s="11"/>
      <c r="GW37" s="11"/>
      <c r="GX37" s="11"/>
      <c r="GY37" s="11"/>
      <c r="GZ37" s="11"/>
      <c r="HA37" s="12"/>
      <c r="HB37" s="11"/>
      <c r="HC37" s="11"/>
      <c r="HD37" s="11"/>
      <c r="HE37" s="11"/>
      <c r="HF37" s="11"/>
      <c r="HG37" s="11"/>
      <c r="HH37" s="12"/>
      <c r="HI37" s="11"/>
      <c r="HJ37" s="11"/>
      <c r="HK37" s="11"/>
      <c r="HL37" s="11"/>
      <c r="HM37" s="11"/>
      <c r="HN37" s="11"/>
      <c r="HO37" s="12"/>
      <c r="HP37" s="11"/>
      <c r="HQ37" s="11"/>
      <c r="HR37" s="11"/>
      <c r="HS37" s="11"/>
      <c r="HT37" s="11"/>
      <c r="HU37" s="11"/>
      <c r="HV37" s="12"/>
      <c r="HW37" s="11"/>
      <c r="HX37" s="11"/>
      <c r="HY37" s="11"/>
      <c r="HZ37" s="11"/>
      <c r="IA37" s="11"/>
      <c r="IB37" s="11"/>
      <c r="IC37" s="12"/>
      <c r="ID37" s="11"/>
      <c r="IE37" s="11"/>
      <c r="IF37" s="11"/>
      <c r="IG37" s="11"/>
      <c r="IH37" s="11"/>
      <c r="II37" s="11"/>
      <c r="IJ37" s="12"/>
      <c r="IK37" s="11"/>
      <c r="IL37" s="11"/>
      <c r="IM37" s="11"/>
      <c r="IN37" s="11"/>
      <c r="IO37" s="11"/>
      <c r="IP37" s="11"/>
      <c r="IQ37" s="12"/>
      <c r="IR37" s="11"/>
      <c r="IS37" s="11"/>
      <c r="IT37" s="11"/>
      <c r="IU37" s="11"/>
      <c r="IV37" s="11"/>
      <c r="IW37" s="11"/>
      <c r="IX37" s="12"/>
      <c r="IY37" s="11"/>
      <c r="IZ37" s="11"/>
      <c r="JA37" s="11"/>
      <c r="JB37" s="11"/>
      <c r="JC37" s="11"/>
      <c r="JD37" s="11"/>
      <c r="JE37" s="12"/>
      <c r="JF37" s="11"/>
      <c r="JG37" s="11"/>
      <c r="JH37" s="11"/>
      <c r="JI37" s="11"/>
      <c r="JJ37" s="11"/>
      <c r="JK37" s="11"/>
      <c r="JL37" s="12"/>
      <c r="JM37" s="11"/>
      <c r="JN37" s="11"/>
      <c r="JO37" s="11"/>
      <c r="JP37" s="11"/>
      <c r="JQ37" s="11"/>
      <c r="JR37" s="11"/>
      <c r="JS37" s="12"/>
      <c r="JT37" s="11"/>
      <c r="JU37" s="11"/>
      <c r="JV37" s="11"/>
      <c r="JW37" s="11"/>
      <c r="JX37" s="11"/>
      <c r="JY37" s="11"/>
      <c r="JZ37" s="12"/>
      <c r="KA37" s="11"/>
      <c r="KB37" s="11"/>
      <c r="KC37" s="11"/>
      <c r="KD37" s="11"/>
      <c r="KE37" s="11"/>
      <c r="KF37" s="11"/>
      <c r="KG37" s="12"/>
      <c r="KH37" s="11"/>
      <c r="KI37" s="11"/>
      <c r="KJ37" s="11"/>
      <c r="KK37" s="11"/>
      <c r="KL37" s="11"/>
      <c r="KM37" s="11"/>
      <c r="KN37" s="12"/>
      <c r="KO37" s="11"/>
      <c r="KP37" s="11"/>
      <c r="KQ37" s="11"/>
      <c r="KR37" s="11"/>
      <c r="KS37" s="11"/>
      <c r="KT37" s="11"/>
      <c r="KU37" s="12"/>
      <c r="KV37" s="11"/>
      <c r="KW37" s="11"/>
      <c r="KX37" s="11"/>
      <c r="KY37" s="11"/>
      <c r="KZ37" s="11"/>
      <c r="LA37" s="11"/>
      <c r="LB37" s="12"/>
      <c r="LC37" s="11"/>
      <c r="LD37" s="11"/>
      <c r="LE37" s="11"/>
      <c r="LF37" s="11"/>
      <c r="LG37" s="11"/>
      <c r="LH37" s="11"/>
      <c r="LI37" s="12"/>
      <c r="LJ37" s="11"/>
      <c r="LK37" s="11"/>
      <c r="LL37" s="11"/>
      <c r="LM37" s="11"/>
      <c r="LN37" s="11"/>
      <c r="LO37" s="11"/>
      <c r="LP37" s="12"/>
      <c r="LQ37" s="11"/>
      <c r="LR37" s="11"/>
      <c r="LS37" s="11"/>
      <c r="LT37" s="11"/>
      <c r="LU37" s="11"/>
      <c r="LV37" s="11"/>
      <c r="LW37" s="12"/>
    </row>
    <row r="38" spans="1:335" hidden="1" x14ac:dyDescent="0.25">
      <c r="A38" s="11"/>
      <c r="B38" s="11"/>
      <c r="C38" s="11"/>
      <c r="D38" s="11"/>
      <c r="E38" s="11"/>
      <c r="F38" s="33">
        <v>37257</v>
      </c>
      <c r="G38" s="32">
        <v>37987</v>
      </c>
      <c r="H38" s="32">
        <v>38718</v>
      </c>
      <c r="I38" s="32">
        <v>39083</v>
      </c>
      <c r="J38" s="32">
        <v>39448</v>
      </c>
      <c r="K38" s="32">
        <v>39814</v>
      </c>
      <c r="L38" s="32">
        <v>40179</v>
      </c>
      <c r="M38" s="11"/>
      <c r="N38" s="11"/>
      <c r="O38" s="12"/>
      <c r="P38" s="11"/>
      <c r="Q38" s="12"/>
      <c r="R38" s="12"/>
      <c r="S38" s="11"/>
      <c r="T38" s="11"/>
      <c r="U38" s="11"/>
      <c r="V38" s="11"/>
      <c r="W38" s="11"/>
      <c r="X38" s="11"/>
      <c r="Y38" s="12"/>
      <c r="Z38" s="11"/>
      <c r="AA38" s="11"/>
      <c r="AB38" s="11"/>
      <c r="AC38" s="11"/>
      <c r="AD38" s="11"/>
      <c r="AE38" s="11"/>
      <c r="AF38" s="12"/>
      <c r="AG38" s="11"/>
      <c r="AH38" s="11"/>
      <c r="AI38" s="11"/>
      <c r="AJ38" s="11"/>
      <c r="AK38" s="11"/>
      <c r="AL38" s="11"/>
      <c r="AM38" s="12"/>
      <c r="AN38" s="11"/>
      <c r="AO38" s="11"/>
      <c r="AP38" s="11"/>
      <c r="AQ38" s="11"/>
      <c r="AR38" s="11"/>
      <c r="AS38" s="11"/>
      <c r="AT38" s="12"/>
      <c r="AU38" s="11"/>
      <c r="AV38" s="11"/>
      <c r="AW38" s="11"/>
      <c r="AX38" s="11"/>
      <c r="AY38" s="11"/>
      <c r="AZ38" s="11"/>
      <c r="BA38" s="12"/>
      <c r="BB38" s="11"/>
      <c r="BC38" s="11"/>
      <c r="BD38" s="11"/>
      <c r="BE38" s="11"/>
      <c r="BF38" s="11"/>
      <c r="BG38" s="11"/>
      <c r="BH38" s="12"/>
      <c r="BI38" s="11"/>
      <c r="BJ38" s="11"/>
      <c r="BK38" s="11"/>
      <c r="BL38" s="11"/>
      <c r="BM38" s="11"/>
      <c r="BN38" s="11"/>
      <c r="BO38" s="12"/>
      <c r="BP38" s="11"/>
      <c r="BQ38" s="11"/>
      <c r="BR38" s="11"/>
      <c r="BS38" s="11"/>
      <c r="BT38" s="11"/>
      <c r="BU38" s="11"/>
      <c r="BV38" s="11"/>
      <c r="BW38" s="12"/>
      <c r="BX38" s="11"/>
      <c r="BY38" s="11"/>
      <c r="BZ38" s="11"/>
      <c r="CA38" s="11"/>
      <c r="CB38" s="11"/>
      <c r="CC38" s="11"/>
      <c r="CD38" s="11"/>
      <c r="CE38" s="12"/>
      <c r="CF38" s="11"/>
      <c r="CG38" s="11"/>
      <c r="CH38" s="11"/>
      <c r="CI38" s="11"/>
      <c r="CJ38" s="11"/>
      <c r="CK38" s="11"/>
      <c r="CL38" s="12"/>
      <c r="CM38" s="11"/>
      <c r="CN38" s="11"/>
      <c r="CO38" s="11"/>
      <c r="CP38" s="11"/>
      <c r="CQ38" s="11"/>
      <c r="CR38" s="11"/>
      <c r="CS38" s="12"/>
      <c r="CT38" s="11"/>
      <c r="CU38" s="11"/>
      <c r="CV38" s="11"/>
      <c r="CW38" s="11"/>
      <c r="CX38" s="11"/>
      <c r="CY38" s="11"/>
      <c r="CZ38" s="12"/>
      <c r="DA38" s="11"/>
      <c r="DB38" s="11"/>
      <c r="DC38" s="11"/>
      <c r="DD38" s="11"/>
      <c r="DE38" s="11"/>
      <c r="DF38" s="11"/>
      <c r="DG38" s="12"/>
      <c r="DH38" s="11"/>
      <c r="DI38" s="11"/>
      <c r="DJ38" s="11"/>
      <c r="DK38" s="11"/>
      <c r="DL38" s="11"/>
      <c r="DM38" s="11"/>
      <c r="DN38" s="12"/>
      <c r="DO38" s="11"/>
      <c r="DP38" s="11"/>
      <c r="DQ38" s="11"/>
      <c r="DR38" s="11"/>
      <c r="DS38" s="11"/>
      <c r="DT38" s="11"/>
      <c r="DU38" s="12"/>
      <c r="DV38" s="11"/>
      <c r="DW38" s="11"/>
      <c r="DX38" s="11"/>
      <c r="DY38" s="11"/>
      <c r="DZ38" s="11"/>
      <c r="EA38" s="11"/>
      <c r="EB38" s="12"/>
      <c r="EC38" s="11"/>
      <c r="ED38" s="11"/>
      <c r="EE38" s="11"/>
      <c r="EF38" s="11"/>
      <c r="EG38" s="11"/>
      <c r="EH38" s="11"/>
      <c r="EI38" s="12"/>
      <c r="EJ38" s="11"/>
      <c r="EK38" s="11"/>
      <c r="EL38" s="11"/>
      <c r="EM38" s="11"/>
      <c r="EN38" s="11"/>
      <c r="EO38" s="11"/>
      <c r="EP38" s="12"/>
      <c r="EQ38" s="11"/>
      <c r="ER38" s="11"/>
      <c r="ES38" s="11"/>
      <c r="ET38" s="11"/>
      <c r="EU38" s="11"/>
      <c r="EV38" s="11"/>
      <c r="EW38" s="12"/>
      <c r="EX38" s="11"/>
      <c r="EY38" s="11"/>
      <c r="EZ38" s="11"/>
      <c r="FA38" s="11"/>
      <c r="FB38" s="11"/>
      <c r="FC38" s="11"/>
      <c r="FD38" s="12"/>
      <c r="FE38" s="11"/>
      <c r="FF38" s="11"/>
      <c r="FG38" s="11"/>
      <c r="FH38" s="11"/>
      <c r="FI38" s="11"/>
      <c r="FJ38" s="11"/>
      <c r="FK38" s="12"/>
      <c r="FL38" s="11"/>
      <c r="FM38" s="11"/>
      <c r="FN38" s="11"/>
      <c r="FO38" s="11"/>
      <c r="FP38" s="11"/>
      <c r="FQ38" s="11"/>
      <c r="FR38" s="12"/>
      <c r="FS38" s="11"/>
      <c r="FT38" s="11"/>
      <c r="FU38" s="11"/>
      <c r="FV38" s="11"/>
      <c r="FW38" s="11"/>
      <c r="FX38" s="11"/>
      <c r="FY38" s="12"/>
      <c r="FZ38" s="11"/>
      <c r="GA38" s="11"/>
      <c r="GB38" s="11"/>
      <c r="GC38" s="11"/>
      <c r="GD38" s="11"/>
      <c r="GE38" s="11"/>
      <c r="GF38" s="12"/>
      <c r="GG38" s="11"/>
      <c r="GH38" s="11"/>
      <c r="GI38" s="11"/>
      <c r="GJ38" s="11"/>
      <c r="GK38" s="11"/>
      <c r="GL38" s="11"/>
      <c r="GM38" s="12"/>
      <c r="GN38" s="11"/>
      <c r="GO38" s="11"/>
      <c r="GP38" s="11"/>
      <c r="GQ38" s="11"/>
      <c r="GR38" s="11"/>
      <c r="GS38" s="11"/>
      <c r="GT38" s="12"/>
      <c r="GU38" s="11"/>
      <c r="GV38" s="11"/>
      <c r="GW38" s="11"/>
      <c r="GX38" s="11"/>
      <c r="GY38" s="11"/>
      <c r="GZ38" s="11"/>
      <c r="HA38" s="12"/>
      <c r="HB38" s="11"/>
      <c r="HC38" s="11"/>
      <c r="HD38" s="11"/>
      <c r="HE38" s="11"/>
      <c r="HF38" s="11"/>
      <c r="HG38" s="11"/>
      <c r="HH38" s="12"/>
      <c r="HI38" s="11"/>
      <c r="HJ38" s="11"/>
      <c r="HK38" s="11"/>
      <c r="HL38" s="11"/>
      <c r="HM38" s="11"/>
      <c r="HN38" s="11"/>
      <c r="HO38" s="12"/>
      <c r="HP38" s="11"/>
      <c r="HQ38" s="11"/>
      <c r="HR38" s="11"/>
      <c r="HS38" s="11"/>
      <c r="HT38" s="11"/>
      <c r="HU38" s="11"/>
      <c r="HV38" s="12"/>
      <c r="HW38" s="11"/>
      <c r="HX38" s="11"/>
      <c r="HY38" s="11"/>
      <c r="HZ38" s="11"/>
      <c r="IA38" s="11"/>
      <c r="IB38" s="11"/>
      <c r="IC38" s="12"/>
      <c r="ID38" s="11"/>
      <c r="IE38" s="11"/>
      <c r="IF38" s="11"/>
      <c r="IG38" s="11"/>
      <c r="IH38" s="11"/>
      <c r="II38" s="11"/>
      <c r="IJ38" s="12"/>
      <c r="IK38" s="11"/>
      <c r="IL38" s="11"/>
      <c r="IM38" s="11"/>
      <c r="IN38" s="11"/>
      <c r="IO38" s="11"/>
      <c r="IP38" s="11"/>
      <c r="IQ38" s="12"/>
      <c r="IR38" s="11"/>
      <c r="IS38" s="11"/>
      <c r="IT38" s="11"/>
      <c r="IU38" s="11"/>
      <c r="IV38" s="11"/>
      <c r="IW38" s="11"/>
      <c r="IX38" s="12"/>
      <c r="IY38" s="11"/>
      <c r="IZ38" s="11"/>
      <c r="JA38" s="11"/>
      <c r="JB38" s="11"/>
      <c r="JC38" s="11"/>
      <c r="JD38" s="11"/>
      <c r="JE38" s="12"/>
      <c r="JF38" s="11"/>
      <c r="JG38" s="11"/>
      <c r="JH38" s="11"/>
      <c r="JI38" s="11"/>
      <c r="JJ38" s="11"/>
      <c r="JK38" s="11"/>
      <c r="JL38" s="12"/>
      <c r="JM38" s="11"/>
      <c r="JN38" s="11"/>
      <c r="JO38" s="11"/>
      <c r="JP38" s="11"/>
      <c r="JQ38" s="11"/>
      <c r="JR38" s="11"/>
      <c r="JS38" s="12"/>
      <c r="JT38" s="11"/>
      <c r="JU38" s="11"/>
      <c r="JV38" s="11"/>
      <c r="JW38" s="11"/>
      <c r="JX38" s="11"/>
      <c r="JY38" s="11"/>
      <c r="JZ38" s="12"/>
      <c r="KA38" s="11"/>
      <c r="KB38" s="11"/>
      <c r="KC38" s="11"/>
      <c r="KD38" s="11"/>
      <c r="KE38" s="11"/>
      <c r="KF38" s="11"/>
      <c r="KG38" s="12"/>
      <c r="KH38" s="11"/>
      <c r="KI38" s="11"/>
      <c r="KJ38" s="11"/>
      <c r="KK38" s="11"/>
      <c r="KL38" s="11"/>
      <c r="KM38" s="11"/>
      <c r="KN38" s="12"/>
      <c r="KO38" s="11"/>
      <c r="KP38" s="11"/>
      <c r="KQ38" s="11"/>
      <c r="KR38" s="11"/>
      <c r="KS38" s="11"/>
      <c r="KT38" s="11"/>
      <c r="KU38" s="12"/>
      <c r="KV38" s="11"/>
      <c r="KW38" s="11"/>
      <c r="KX38" s="11"/>
      <c r="KY38" s="11"/>
      <c r="KZ38" s="11"/>
      <c r="LA38" s="11"/>
      <c r="LB38" s="12"/>
      <c r="LC38" s="11"/>
      <c r="LD38" s="11"/>
      <c r="LE38" s="11"/>
      <c r="LF38" s="11"/>
      <c r="LG38" s="11"/>
      <c r="LH38" s="11"/>
      <c r="LI38" s="12"/>
      <c r="LJ38" s="11"/>
      <c r="LK38" s="11"/>
      <c r="LL38" s="11"/>
      <c r="LM38" s="11"/>
      <c r="LN38" s="11"/>
      <c r="LO38" s="11"/>
      <c r="LP38" s="12"/>
      <c r="LQ38" s="11"/>
      <c r="LR38" s="11"/>
      <c r="LS38" s="11"/>
      <c r="LT38" s="11"/>
      <c r="LU38" s="11"/>
      <c r="LV38" s="11"/>
      <c r="LW38" s="12"/>
    </row>
    <row r="39" spans="1:335" ht="7.5" customHeight="1" x14ac:dyDescent="0.25">
      <c r="A39" s="8"/>
      <c r="B39" s="8"/>
      <c r="C39" s="8"/>
      <c r="D39" s="8"/>
      <c r="E39" s="8"/>
      <c r="F39" s="10"/>
      <c r="G39" s="19"/>
      <c r="H39" s="19"/>
      <c r="I39" s="8"/>
      <c r="J39" s="8"/>
      <c r="K39" s="8"/>
      <c r="L39" s="8"/>
      <c r="M39" s="8"/>
      <c r="N39" s="8"/>
      <c r="O39" s="9"/>
      <c r="P39" s="8" t="str">
        <f>IF(SUM(Q39:LW39) &gt; 0, SUM(Q39:LW39), "")</f>
        <v/>
      </c>
      <c r="Q39" s="106" t="str">
        <f t="shared" ref="Q39:Q58" si="345">IF(SUM(R39:XFD39) &gt; 0, SUM(R39:XFD39) / $P$59 * 100, "")</f>
        <v/>
      </c>
      <c r="R39" s="7"/>
      <c r="Y39" s="7"/>
      <c r="AF39" s="7"/>
      <c r="AM39" s="7"/>
      <c r="AT39" s="7"/>
      <c r="BA39" s="7"/>
      <c r="BH39" s="7"/>
      <c r="BO39" s="7"/>
      <c r="BW39" s="7"/>
      <c r="CE39" s="7"/>
      <c r="CL39" s="7"/>
      <c r="CS39" s="7"/>
      <c r="CZ39" s="7"/>
      <c r="DG39" s="7"/>
      <c r="DN39" s="7"/>
      <c r="DU39" s="7"/>
      <c r="EB39" s="7"/>
      <c r="EI39" s="7"/>
      <c r="EP39" s="7"/>
      <c r="EW39" s="7"/>
      <c r="FD39" s="7"/>
      <c r="FK39" s="7"/>
      <c r="FR39" s="7"/>
      <c r="FY39" s="7"/>
      <c r="GF39" s="7"/>
      <c r="GM39" s="7"/>
      <c r="GT39" s="7"/>
      <c r="HA39" s="7"/>
      <c r="HH39" s="7"/>
      <c r="HO39" s="7"/>
      <c r="HV39" s="7"/>
      <c r="IC39" s="7"/>
      <c r="IJ39" s="7"/>
      <c r="IQ39" s="7"/>
      <c r="IX39" s="7"/>
      <c r="JE39" s="7"/>
      <c r="JL39" s="7"/>
      <c r="JS39" s="7"/>
      <c r="JZ39" s="7"/>
      <c r="KG39" s="7"/>
      <c r="KN39" s="7"/>
      <c r="KU39" s="7"/>
      <c r="LB39" s="7"/>
      <c r="LI39" s="7"/>
      <c r="LP39" s="7"/>
      <c r="LW39" s="7"/>
    </row>
    <row r="40" spans="1:335" ht="15" customHeight="1" x14ac:dyDescent="0.25">
      <c r="A40" s="8" t="s">
        <v>117</v>
      </c>
      <c r="B40" s="8" t="s">
        <v>116</v>
      </c>
      <c r="C40" s="8" t="s">
        <v>115</v>
      </c>
      <c r="D40" s="8" t="s">
        <v>114</v>
      </c>
      <c r="E40" s="57">
        <v>40073</v>
      </c>
      <c r="F40" s="19">
        <f t="shared" ref="F40:L51" si="346">IF($E40 &gt;= F$38, 1, "")</f>
        <v>1</v>
      </c>
      <c r="G40" s="19">
        <f t="shared" si="346"/>
        <v>1</v>
      </c>
      <c r="H40" s="19">
        <f t="shared" si="346"/>
        <v>1</v>
      </c>
      <c r="I40" s="19">
        <f t="shared" si="346"/>
        <v>1</v>
      </c>
      <c r="J40" s="19">
        <f t="shared" si="346"/>
        <v>1</v>
      </c>
      <c r="K40" s="19">
        <f t="shared" si="346"/>
        <v>1</v>
      </c>
      <c r="L40" s="19" t="str">
        <f t="shared" si="346"/>
        <v/>
      </c>
      <c r="M40" s="8">
        <v>1</v>
      </c>
      <c r="N40" s="8"/>
      <c r="O40" s="9"/>
      <c r="P40" s="8">
        <f t="shared" ref="P40:P58" si="347">IF(SUM(R40:LW40) &gt; 0, SUM(R40:LW40), "")</f>
        <v>9</v>
      </c>
      <c r="Q40" s="106">
        <f t="shared" si="345"/>
        <v>69.230769230769226</v>
      </c>
      <c r="R40" s="7"/>
      <c r="Y40" s="7"/>
      <c r="AF40" s="7"/>
      <c r="AJ40">
        <v>1</v>
      </c>
      <c r="AM40" s="7"/>
      <c r="AQ40">
        <v>1</v>
      </c>
      <c r="AT40" s="7"/>
      <c r="AW40">
        <v>1</v>
      </c>
      <c r="AX40">
        <v>1</v>
      </c>
      <c r="BA40" s="7"/>
      <c r="BE40">
        <v>1</v>
      </c>
      <c r="BH40" s="7"/>
      <c r="BL40">
        <v>1</v>
      </c>
      <c r="BM40">
        <v>1</v>
      </c>
      <c r="BO40" s="7">
        <v>1</v>
      </c>
      <c r="BV40">
        <v>1</v>
      </c>
      <c r="BW40" s="7"/>
      <c r="CE40" s="7"/>
      <c r="CL40" s="7"/>
      <c r="CS40" s="7"/>
      <c r="CZ40" s="7"/>
      <c r="DG40" s="7"/>
      <c r="DN40" s="7"/>
      <c r="DU40" s="7"/>
      <c r="EB40" s="7"/>
      <c r="EI40" s="7"/>
      <c r="EP40" s="7"/>
      <c r="EW40" s="7"/>
      <c r="FD40" s="7"/>
      <c r="FK40" s="7"/>
      <c r="FR40" s="7"/>
      <c r="FY40" s="7"/>
      <c r="GF40" s="7"/>
      <c r="GM40" s="7"/>
      <c r="GT40" s="7"/>
      <c r="HA40" s="7"/>
      <c r="HH40" s="7"/>
      <c r="HO40" s="7"/>
      <c r="HV40" s="7"/>
      <c r="IC40" s="7"/>
      <c r="IJ40" s="7"/>
      <c r="IQ40" s="7"/>
      <c r="IX40" s="7"/>
      <c r="JE40" s="7"/>
      <c r="JL40" s="7"/>
      <c r="JS40" s="7"/>
      <c r="JZ40" s="7"/>
      <c r="KG40" s="7"/>
      <c r="KN40" s="7"/>
      <c r="KU40" s="7"/>
      <c r="LB40" s="7"/>
      <c r="LI40" s="7"/>
      <c r="LP40" s="7"/>
      <c r="LW40" s="7"/>
    </row>
    <row r="41" spans="1:335" ht="15" customHeight="1" x14ac:dyDescent="0.25">
      <c r="A41" s="8" t="s">
        <v>74</v>
      </c>
      <c r="B41" s="8" t="s">
        <v>109</v>
      </c>
      <c r="C41" s="8" t="s">
        <v>108</v>
      </c>
      <c r="D41" s="8" t="s">
        <v>107</v>
      </c>
      <c r="E41" s="18">
        <v>39474</v>
      </c>
      <c r="F41" s="10">
        <f t="shared" si="346"/>
        <v>1</v>
      </c>
      <c r="G41" s="19">
        <f t="shared" si="346"/>
        <v>1</v>
      </c>
      <c r="H41" s="19">
        <f t="shared" si="346"/>
        <v>1</v>
      </c>
      <c r="I41" s="19">
        <f t="shared" si="346"/>
        <v>1</v>
      </c>
      <c r="J41" s="19">
        <f t="shared" si="346"/>
        <v>1</v>
      </c>
      <c r="K41" s="19" t="str">
        <f t="shared" si="346"/>
        <v/>
      </c>
      <c r="L41" s="19" t="str">
        <f t="shared" si="346"/>
        <v/>
      </c>
      <c r="M41" s="8">
        <v>1</v>
      </c>
      <c r="N41" s="8"/>
      <c r="O41" s="9"/>
      <c r="P41" s="8">
        <f t="shared" si="347"/>
        <v>14</v>
      </c>
      <c r="Q41" s="106">
        <f t="shared" si="345"/>
        <v>107.69230769230769</v>
      </c>
      <c r="R41" s="7"/>
      <c r="Y41" s="7"/>
      <c r="AF41" s="7"/>
      <c r="AH41">
        <v>1</v>
      </c>
      <c r="AJ41">
        <v>1</v>
      </c>
      <c r="AM41" s="7"/>
      <c r="AO41">
        <v>1</v>
      </c>
      <c r="AQ41">
        <v>1</v>
      </c>
      <c r="AT41" s="7"/>
      <c r="AV41">
        <v>1</v>
      </c>
      <c r="AW41">
        <v>1</v>
      </c>
      <c r="AX41">
        <v>1</v>
      </c>
      <c r="BA41" s="7"/>
      <c r="BC41">
        <v>1</v>
      </c>
      <c r="BE41">
        <v>1</v>
      </c>
      <c r="BH41" s="7"/>
      <c r="BJ41">
        <v>1</v>
      </c>
      <c r="BL41">
        <v>1</v>
      </c>
      <c r="BM41">
        <v>1</v>
      </c>
      <c r="BO41" s="7">
        <v>1</v>
      </c>
      <c r="BV41">
        <v>1</v>
      </c>
      <c r="BW41" s="7"/>
      <c r="CE41" s="7"/>
      <c r="CL41" s="7"/>
      <c r="CS41" s="7"/>
      <c r="CZ41" s="7"/>
      <c r="DG41" s="7"/>
      <c r="DN41" s="7"/>
      <c r="DU41" s="7"/>
      <c r="EB41" s="7"/>
      <c r="EI41" s="7"/>
      <c r="EP41" s="7"/>
      <c r="EW41" s="7"/>
      <c r="FD41" s="7"/>
      <c r="FK41" s="7"/>
      <c r="FR41" s="7"/>
      <c r="FY41" s="7"/>
      <c r="GF41" s="7"/>
      <c r="GM41" s="7"/>
      <c r="GT41" s="7"/>
      <c r="HA41" s="7"/>
      <c r="HH41" s="7"/>
      <c r="HO41" s="7"/>
      <c r="HV41" s="7"/>
      <c r="IC41" s="7"/>
      <c r="IJ41" s="7"/>
      <c r="IQ41" s="7"/>
      <c r="IX41" s="7"/>
      <c r="JE41" s="7"/>
      <c r="JL41" s="7"/>
      <c r="JS41" s="7"/>
      <c r="JZ41" s="7"/>
      <c r="KG41" s="7"/>
      <c r="KN41" s="7"/>
      <c r="KU41" s="7"/>
      <c r="LB41" s="7"/>
      <c r="LI41" s="7"/>
      <c r="LP41" s="7"/>
      <c r="LW41" s="7"/>
    </row>
    <row r="42" spans="1:335" ht="15" customHeight="1" x14ac:dyDescent="0.25">
      <c r="A42" s="8" t="s">
        <v>239</v>
      </c>
      <c r="B42" s="8" t="s">
        <v>240</v>
      </c>
      <c r="C42" s="8" t="s">
        <v>241</v>
      </c>
      <c r="D42" s="8" t="s">
        <v>242</v>
      </c>
      <c r="E42" s="18">
        <v>39425</v>
      </c>
      <c r="F42" s="10">
        <f t="shared" si="346"/>
        <v>1</v>
      </c>
      <c r="G42" s="19">
        <f t="shared" si="346"/>
        <v>1</v>
      </c>
      <c r="H42" s="19">
        <f t="shared" si="346"/>
        <v>1</v>
      </c>
      <c r="I42" s="19">
        <f t="shared" si="346"/>
        <v>1</v>
      </c>
      <c r="J42" s="19" t="str">
        <f t="shared" si="346"/>
        <v/>
      </c>
      <c r="K42" s="19" t="str">
        <f t="shared" si="346"/>
        <v/>
      </c>
      <c r="L42" s="19" t="str">
        <f t="shared" si="346"/>
        <v/>
      </c>
      <c r="M42" s="8">
        <v>1</v>
      </c>
      <c r="N42" s="8"/>
      <c r="O42" s="9"/>
      <c r="P42" s="8">
        <f t="shared" si="347"/>
        <v>12</v>
      </c>
      <c r="Q42" s="106">
        <f t="shared" si="345"/>
        <v>92.307692307692307</v>
      </c>
      <c r="R42" s="7"/>
      <c r="Y42" s="7"/>
      <c r="AF42" s="7"/>
      <c r="AH42">
        <v>1</v>
      </c>
      <c r="AJ42">
        <v>1</v>
      </c>
      <c r="AM42" s="7"/>
      <c r="AO42">
        <v>1</v>
      </c>
      <c r="AQ42">
        <v>1</v>
      </c>
      <c r="AT42" s="7"/>
      <c r="AV42">
        <v>1</v>
      </c>
      <c r="AW42">
        <v>1</v>
      </c>
      <c r="AX42">
        <v>1</v>
      </c>
      <c r="BA42" s="7"/>
      <c r="BC42">
        <v>1</v>
      </c>
      <c r="BE42">
        <v>1</v>
      </c>
      <c r="BH42" s="7"/>
      <c r="BJ42">
        <v>1</v>
      </c>
      <c r="BL42">
        <v>1</v>
      </c>
      <c r="BM42">
        <v>1</v>
      </c>
      <c r="BO42" s="7"/>
      <c r="BW42" s="7"/>
      <c r="CE42" s="7"/>
      <c r="CL42" s="7"/>
      <c r="CS42" s="7"/>
      <c r="CZ42" s="7"/>
      <c r="DG42" s="7"/>
      <c r="DN42" s="7"/>
      <c r="DU42" s="7"/>
      <c r="EB42" s="7"/>
      <c r="EI42" s="7"/>
      <c r="EP42" s="7"/>
      <c r="EW42" s="7"/>
      <c r="FD42" s="7"/>
      <c r="FK42" s="7"/>
      <c r="FR42" s="7"/>
      <c r="FY42" s="7"/>
      <c r="GF42" s="7"/>
      <c r="GM42" s="7"/>
      <c r="GT42" s="7"/>
      <c r="HA42" s="7"/>
      <c r="HH42" s="7"/>
      <c r="HO42" s="7"/>
      <c r="HV42" s="7"/>
      <c r="IC42" s="7"/>
      <c r="IJ42" s="7"/>
      <c r="IQ42" s="7"/>
      <c r="IX42" s="7"/>
      <c r="JE42" s="7"/>
      <c r="JL42" s="7"/>
      <c r="JS42" s="7"/>
      <c r="JZ42" s="7"/>
      <c r="KG42" s="7"/>
      <c r="KN42" s="7"/>
      <c r="KU42" s="7"/>
      <c r="LB42" s="7"/>
      <c r="LI42" s="7"/>
      <c r="LP42" s="7"/>
      <c r="LW42" s="7"/>
    </row>
    <row r="43" spans="1:335" ht="15" customHeight="1" x14ac:dyDescent="0.25">
      <c r="A43" s="8" t="s">
        <v>236</v>
      </c>
      <c r="B43" s="8"/>
      <c r="C43" s="8" t="s">
        <v>36</v>
      </c>
      <c r="D43" s="8" t="s">
        <v>237</v>
      </c>
      <c r="E43" s="18">
        <v>38536</v>
      </c>
      <c r="F43" s="10">
        <f t="shared" si="346"/>
        <v>1</v>
      </c>
      <c r="G43" s="19">
        <f t="shared" si="346"/>
        <v>1</v>
      </c>
      <c r="H43" s="19" t="str">
        <f t="shared" si="346"/>
        <v/>
      </c>
      <c r="I43" s="19" t="str">
        <f t="shared" si="346"/>
        <v/>
      </c>
      <c r="J43" s="19" t="str">
        <f t="shared" si="346"/>
        <v/>
      </c>
      <c r="K43" s="19" t="str">
        <f t="shared" si="346"/>
        <v/>
      </c>
      <c r="L43" s="19" t="str">
        <f t="shared" si="346"/>
        <v/>
      </c>
      <c r="M43" s="8">
        <v>1</v>
      </c>
      <c r="N43" s="8"/>
      <c r="O43" s="9"/>
      <c r="P43" s="8">
        <f t="shared" si="347"/>
        <v>5</v>
      </c>
      <c r="Q43" s="106">
        <f t="shared" si="345"/>
        <v>38.461538461538467</v>
      </c>
      <c r="R43" s="7"/>
      <c r="Y43" s="7"/>
      <c r="AF43" s="7"/>
      <c r="AH43">
        <v>1</v>
      </c>
      <c r="AM43" s="7"/>
      <c r="AQ43">
        <v>1</v>
      </c>
      <c r="AT43" s="7"/>
      <c r="BA43" s="7"/>
      <c r="BC43">
        <v>1</v>
      </c>
      <c r="BH43" s="7"/>
      <c r="BL43">
        <v>1</v>
      </c>
      <c r="BM43">
        <v>1</v>
      </c>
      <c r="BO43" s="7"/>
      <c r="BW43" s="7"/>
      <c r="CE43" s="7"/>
      <c r="CL43" s="7"/>
      <c r="CS43" s="7"/>
      <c r="CZ43" s="7"/>
      <c r="DG43" s="7"/>
      <c r="DN43" s="7"/>
      <c r="DU43" s="7"/>
      <c r="EB43" s="7"/>
      <c r="EI43" s="7"/>
      <c r="EP43" s="7"/>
      <c r="EW43" s="7"/>
      <c r="FD43" s="7"/>
      <c r="FK43" s="7"/>
      <c r="FR43" s="7"/>
      <c r="FY43" s="7"/>
      <c r="GF43" s="7"/>
      <c r="GM43" s="7"/>
      <c r="GT43" s="7"/>
      <c r="HA43" s="7"/>
      <c r="HH43" s="7"/>
      <c r="HO43" s="7"/>
      <c r="HV43" s="7"/>
      <c r="IC43" s="7"/>
      <c r="IJ43" s="7"/>
      <c r="IQ43" s="7"/>
      <c r="IX43" s="7"/>
      <c r="JE43" s="7"/>
      <c r="JL43" s="7"/>
      <c r="JS43" s="7"/>
      <c r="JZ43" s="7"/>
      <c r="KG43" s="7"/>
      <c r="KN43" s="7"/>
      <c r="KU43" s="7"/>
      <c r="LB43" s="7"/>
      <c r="LI43" s="7"/>
      <c r="LP43" s="7"/>
      <c r="LW43" s="7"/>
    </row>
    <row r="44" spans="1:335" x14ac:dyDescent="0.25">
      <c r="A44" s="8" t="s">
        <v>232</v>
      </c>
      <c r="B44" s="8" t="s">
        <v>233</v>
      </c>
      <c r="C44" s="8" t="s">
        <v>235</v>
      </c>
      <c r="D44" s="8" t="s">
        <v>234</v>
      </c>
      <c r="E44" s="18">
        <v>38679</v>
      </c>
      <c r="F44" s="10">
        <f t="shared" si="346"/>
        <v>1</v>
      </c>
      <c r="G44" s="19">
        <f t="shared" si="346"/>
        <v>1</v>
      </c>
      <c r="H44" s="19" t="str">
        <f t="shared" si="346"/>
        <v/>
      </c>
      <c r="I44" s="19" t="str">
        <f t="shared" si="346"/>
        <v/>
      </c>
      <c r="J44" s="19" t="str">
        <f t="shared" si="346"/>
        <v/>
      </c>
      <c r="K44" s="19" t="str">
        <f t="shared" si="346"/>
        <v/>
      </c>
      <c r="L44" s="19" t="str">
        <f t="shared" si="346"/>
        <v/>
      </c>
      <c r="M44" s="8">
        <v>1</v>
      </c>
      <c r="N44" s="8"/>
      <c r="O44" s="9"/>
      <c r="P44" s="8">
        <f t="shared" si="347"/>
        <v>5</v>
      </c>
      <c r="Q44" s="106">
        <f t="shared" si="345"/>
        <v>38.461538461538467</v>
      </c>
      <c r="R44" s="7"/>
      <c r="Y44" s="7"/>
      <c r="AF44" s="7"/>
      <c r="AH44">
        <v>1</v>
      </c>
      <c r="AM44" s="7"/>
      <c r="AQ44">
        <v>1</v>
      </c>
      <c r="AT44" s="7"/>
      <c r="BA44" s="7"/>
      <c r="BC44">
        <v>1</v>
      </c>
      <c r="BH44" s="7"/>
      <c r="BL44">
        <v>1</v>
      </c>
      <c r="BM44">
        <v>1</v>
      </c>
      <c r="BO44" s="7"/>
      <c r="BW44" s="7"/>
      <c r="CE44" s="7"/>
      <c r="CL44" s="7"/>
      <c r="CS44" s="7"/>
      <c r="CZ44" s="7"/>
      <c r="DG44" s="7"/>
      <c r="DN44" s="7"/>
      <c r="DU44" s="7"/>
      <c r="EB44" s="7"/>
      <c r="EI44" s="7"/>
      <c r="EP44" s="7"/>
      <c r="EW44" s="7"/>
      <c r="FD44" s="7"/>
      <c r="FK44" s="7"/>
      <c r="FR44" s="7"/>
      <c r="FY44" s="7"/>
      <c r="GF44" s="7"/>
      <c r="GM44" s="7"/>
      <c r="GT44" s="7"/>
      <c r="HA44" s="7"/>
      <c r="HH44" s="7"/>
      <c r="HO44" s="7"/>
      <c r="HV44" s="7"/>
      <c r="IC44" s="7"/>
      <c r="IJ44" s="7"/>
      <c r="IQ44" s="7"/>
      <c r="IX44" s="7"/>
      <c r="JE44" s="7"/>
      <c r="JL44" s="7"/>
      <c r="JS44" s="7"/>
      <c r="JZ44" s="7"/>
      <c r="KG44" s="7"/>
      <c r="KN44" s="7"/>
      <c r="KU44" s="7"/>
      <c r="LB44" s="7"/>
      <c r="LI44" s="7"/>
      <c r="LP44" s="7"/>
      <c r="LW44" s="7"/>
    </row>
    <row r="45" spans="1:335" x14ac:dyDescent="0.25">
      <c r="A45" s="8" t="s">
        <v>63</v>
      </c>
      <c r="B45" s="8"/>
      <c r="C45" s="8" t="s">
        <v>296</v>
      </c>
      <c r="D45" s="8" t="s">
        <v>297</v>
      </c>
      <c r="E45" s="18">
        <v>39814</v>
      </c>
      <c r="F45" s="10">
        <f t="shared" si="346"/>
        <v>1</v>
      </c>
      <c r="G45" s="19">
        <f t="shared" si="346"/>
        <v>1</v>
      </c>
      <c r="H45" s="19">
        <f t="shared" si="346"/>
        <v>1</v>
      </c>
      <c r="I45" s="8">
        <f t="shared" si="346"/>
        <v>1</v>
      </c>
      <c r="J45" s="8">
        <f t="shared" si="346"/>
        <v>1</v>
      </c>
      <c r="K45" s="8">
        <f t="shared" si="346"/>
        <v>1</v>
      </c>
      <c r="L45" s="8" t="str">
        <f t="shared" si="346"/>
        <v/>
      </c>
      <c r="M45" s="8">
        <v>1</v>
      </c>
      <c r="N45" s="8"/>
      <c r="O45" s="9"/>
      <c r="P45" s="8">
        <f t="shared" si="347"/>
        <v>3</v>
      </c>
      <c r="Q45" s="106">
        <f t="shared" si="345"/>
        <v>23.076923076923077</v>
      </c>
      <c r="R45" s="7"/>
      <c r="Y45" s="7"/>
      <c r="AF45" s="7"/>
      <c r="AM45" s="7"/>
      <c r="AO45">
        <v>1</v>
      </c>
      <c r="AT45" s="7"/>
      <c r="AX45">
        <v>1</v>
      </c>
      <c r="BA45" s="7"/>
      <c r="BE45">
        <v>1</v>
      </c>
      <c r="BH45" s="7"/>
      <c r="BO45" s="7"/>
      <c r="BW45" s="7"/>
      <c r="CE45" s="7"/>
      <c r="CL45" s="7"/>
      <c r="CS45" s="7"/>
      <c r="CZ45" s="7"/>
      <c r="DG45" s="7"/>
      <c r="DN45" s="7"/>
      <c r="DU45" s="7"/>
      <c r="EB45" s="7"/>
      <c r="EI45" s="7"/>
      <c r="EP45" s="7"/>
      <c r="EW45" s="7"/>
      <c r="FD45" s="7"/>
      <c r="FK45" s="7"/>
      <c r="FR45" s="7"/>
      <c r="FY45" s="7"/>
      <c r="GF45" s="7"/>
      <c r="GM45" s="7"/>
      <c r="GT45" s="7"/>
      <c r="HA45" s="7"/>
      <c r="HH45" s="7"/>
      <c r="HO45" s="7"/>
      <c r="HV45" s="7"/>
      <c r="IC45" s="7"/>
      <c r="IJ45" s="7"/>
      <c r="IQ45" s="7"/>
      <c r="IX45" s="7"/>
      <c r="JE45" s="7"/>
      <c r="JL45" s="7"/>
      <c r="JS45" s="7"/>
      <c r="JZ45" s="7"/>
      <c r="KG45" s="7"/>
      <c r="KN45" s="7"/>
      <c r="KU45" s="7"/>
      <c r="LB45" s="7"/>
      <c r="LI45" s="7"/>
      <c r="LP45" s="7"/>
      <c r="LW45" s="7"/>
    </row>
    <row r="46" spans="1:335" x14ac:dyDescent="0.25">
      <c r="A46" s="8" t="s">
        <v>93</v>
      </c>
      <c r="B46" s="8"/>
      <c r="C46" s="8" t="s">
        <v>92</v>
      </c>
      <c r="D46" s="8" t="s">
        <v>91</v>
      </c>
      <c r="E46" s="18">
        <v>39507</v>
      </c>
      <c r="F46" s="10">
        <f t="shared" si="346"/>
        <v>1</v>
      </c>
      <c r="G46" s="19">
        <f t="shared" si="346"/>
        <v>1</v>
      </c>
      <c r="H46" s="19">
        <f t="shared" si="346"/>
        <v>1</v>
      </c>
      <c r="I46" s="19">
        <f t="shared" si="346"/>
        <v>1</v>
      </c>
      <c r="J46" s="19">
        <f t="shared" si="346"/>
        <v>1</v>
      </c>
      <c r="K46" s="19" t="str">
        <f t="shared" si="346"/>
        <v/>
      </c>
      <c r="L46" s="19" t="str">
        <f t="shared" si="346"/>
        <v/>
      </c>
      <c r="M46" s="8">
        <v>1</v>
      </c>
      <c r="N46" s="8"/>
      <c r="O46" s="9"/>
      <c r="P46" s="8">
        <f t="shared" si="347"/>
        <v>12</v>
      </c>
      <c r="Q46" s="106">
        <f t="shared" si="345"/>
        <v>92.307692307692307</v>
      </c>
      <c r="R46" s="7"/>
      <c r="Y46" s="7"/>
      <c r="AF46" s="7"/>
      <c r="AH46">
        <v>1</v>
      </c>
      <c r="AM46" s="7"/>
      <c r="AO46">
        <v>1</v>
      </c>
      <c r="AQ46">
        <v>1</v>
      </c>
      <c r="AT46" s="7"/>
      <c r="AV46">
        <v>1</v>
      </c>
      <c r="AW46">
        <v>1</v>
      </c>
      <c r="AX46">
        <v>1</v>
      </c>
      <c r="BA46" s="7"/>
      <c r="BC46">
        <v>1</v>
      </c>
      <c r="BE46">
        <v>1</v>
      </c>
      <c r="BH46" s="7"/>
      <c r="BJ46">
        <v>1</v>
      </c>
      <c r="BL46">
        <v>1</v>
      </c>
      <c r="BM46">
        <v>1</v>
      </c>
      <c r="BO46" s="7">
        <v>1</v>
      </c>
      <c r="BW46" s="7"/>
      <c r="CE46" s="7"/>
      <c r="CL46" s="7"/>
      <c r="CS46" s="7"/>
      <c r="CZ46" s="7"/>
      <c r="DG46" s="7"/>
      <c r="DN46" s="7"/>
      <c r="DU46" s="7"/>
      <c r="EB46" s="7"/>
      <c r="EI46" s="7"/>
      <c r="EP46" s="7"/>
      <c r="EW46" s="7"/>
      <c r="FD46" s="7"/>
      <c r="FK46" s="7"/>
      <c r="FR46" s="7"/>
      <c r="FY46" s="7"/>
      <c r="GF46" s="7"/>
      <c r="GM46" s="7"/>
      <c r="GT46" s="7"/>
      <c r="HA46" s="7"/>
      <c r="HH46" s="7"/>
      <c r="HO46" s="7"/>
      <c r="HV46" s="7"/>
      <c r="IC46" s="7"/>
      <c r="IJ46" s="7"/>
      <c r="IQ46" s="7"/>
      <c r="IX46" s="7"/>
      <c r="JE46" s="7"/>
      <c r="JL46" s="7"/>
      <c r="JS46" s="7"/>
      <c r="JZ46" s="7"/>
      <c r="KG46" s="7"/>
      <c r="KN46" s="7"/>
      <c r="KU46" s="7"/>
      <c r="LB46" s="7"/>
      <c r="LI46" s="7"/>
      <c r="LP46" s="7"/>
      <c r="LW46" s="7"/>
    </row>
    <row r="47" spans="1:335" x14ac:dyDescent="0.25">
      <c r="A47" s="8" t="s">
        <v>90</v>
      </c>
      <c r="B47" s="8"/>
      <c r="C47" s="8" t="s">
        <v>89</v>
      </c>
      <c r="D47" s="8" t="s">
        <v>88</v>
      </c>
      <c r="E47" s="18">
        <v>39651</v>
      </c>
      <c r="F47" s="10">
        <f t="shared" si="346"/>
        <v>1</v>
      </c>
      <c r="G47" s="19">
        <f t="shared" si="346"/>
        <v>1</v>
      </c>
      <c r="H47" s="19">
        <f t="shared" si="346"/>
        <v>1</v>
      </c>
      <c r="I47" s="8">
        <f t="shared" si="346"/>
        <v>1</v>
      </c>
      <c r="J47" s="8">
        <f t="shared" si="346"/>
        <v>1</v>
      </c>
      <c r="K47" s="8" t="str">
        <f t="shared" si="346"/>
        <v/>
      </c>
      <c r="L47" s="8" t="str">
        <f t="shared" si="346"/>
        <v/>
      </c>
      <c r="M47" s="8">
        <v>1</v>
      </c>
      <c r="N47" s="8"/>
      <c r="O47" s="9"/>
      <c r="P47" s="8">
        <f t="shared" si="347"/>
        <v>3</v>
      </c>
      <c r="Q47" s="106">
        <f t="shared" si="345"/>
        <v>23.076923076923077</v>
      </c>
      <c r="R47" s="7"/>
      <c r="Y47" s="7"/>
      <c r="AF47" s="7"/>
      <c r="AH47">
        <v>1</v>
      </c>
      <c r="AJ47">
        <v>1</v>
      </c>
      <c r="AM47" s="7"/>
      <c r="AT47" s="7"/>
      <c r="AV47">
        <v>1</v>
      </c>
      <c r="BA47" s="7"/>
      <c r="BH47" s="7"/>
      <c r="BO47" s="7"/>
      <c r="BW47" s="7"/>
      <c r="CE47" s="7"/>
      <c r="CL47" s="7"/>
      <c r="CS47" s="7"/>
      <c r="CZ47" s="7"/>
      <c r="DG47" s="7"/>
      <c r="DN47" s="7"/>
      <c r="DU47" s="7"/>
      <c r="EB47" s="7"/>
      <c r="EI47" s="7"/>
      <c r="EP47" s="7"/>
      <c r="EW47" s="7"/>
      <c r="FD47" s="7"/>
      <c r="FK47" s="7"/>
      <c r="FR47" s="7"/>
      <c r="FY47" s="7"/>
      <c r="GF47" s="7"/>
      <c r="GM47" s="7"/>
      <c r="GT47" s="7"/>
      <c r="HA47" s="7"/>
      <c r="HH47" s="7"/>
      <c r="HO47" s="7"/>
      <c r="HV47" s="7"/>
      <c r="IC47" s="7"/>
      <c r="IJ47" s="7"/>
      <c r="IQ47" s="7"/>
      <c r="IX47" s="7"/>
      <c r="JE47" s="7"/>
      <c r="JL47" s="7"/>
      <c r="JS47" s="7"/>
      <c r="JZ47" s="7"/>
      <c r="KG47" s="7"/>
      <c r="KN47" s="7"/>
      <c r="KU47" s="7"/>
      <c r="LB47" s="7"/>
      <c r="LI47" s="7"/>
      <c r="LP47" s="7"/>
      <c r="LW47" s="7"/>
    </row>
    <row r="48" spans="1:335" x14ac:dyDescent="0.25">
      <c r="A48" s="8" t="s">
        <v>136</v>
      </c>
      <c r="B48" s="8" t="s">
        <v>135</v>
      </c>
      <c r="C48" s="8" t="s">
        <v>238</v>
      </c>
      <c r="D48" s="8" t="s">
        <v>88</v>
      </c>
      <c r="E48" s="18">
        <v>38979</v>
      </c>
      <c r="F48" s="10">
        <f t="shared" si="346"/>
        <v>1</v>
      </c>
      <c r="G48" s="19">
        <f t="shared" si="346"/>
        <v>1</v>
      </c>
      <c r="H48" s="19">
        <f t="shared" si="346"/>
        <v>1</v>
      </c>
      <c r="I48" s="8" t="str">
        <f t="shared" si="346"/>
        <v/>
      </c>
      <c r="J48" s="8" t="str">
        <f t="shared" si="346"/>
        <v/>
      </c>
      <c r="K48" s="8" t="str">
        <f t="shared" si="346"/>
        <v/>
      </c>
      <c r="L48" s="8" t="str">
        <f t="shared" si="346"/>
        <v/>
      </c>
      <c r="M48" s="8">
        <v>1</v>
      </c>
      <c r="N48" s="8"/>
      <c r="O48" s="9"/>
      <c r="P48" s="8">
        <f t="shared" si="347"/>
        <v>8</v>
      </c>
      <c r="Q48" s="106">
        <f t="shared" si="345"/>
        <v>61.53846153846154</v>
      </c>
      <c r="R48" s="7"/>
      <c r="Y48" s="7"/>
      <c r="AF48" s="7"/>
      <c r="AH48">
        <v>1</v>
      </c>
      <c r="AJ48">
        <v>1</v>
      </c>
      <c r="AM48" s="7"/>
      <c r="AT48" s="7"/>
      <c r="AV48">
        <v>1</v>
      </c>
      <c r="AW48">
        <v>1</v>
      </c>
      <c r="BA48" s="7"/>
      <c r="BH48" s="7"/>
      <c r="BJ48">
        <v>1</v>
      </c>
      <c r="BL48">
        <v>1</v>
      </c>
      <c r="BM48">
        <v>1</v>
      </c>
      <c r="BO48" s="7">
        <v>1</v>
      </c>
      <c r="BW48" s="7"/>
      <c r="CE48" s="7"/>
      <c r="CL48" s="7"/>
      <c r="CS48" s="7"/>
      <c r="CZ48" s="7"/>
      <c r="DG48" s="7"/>
      <c r="DN48" s="7"/>
      <c r="DU48" s="7"/>
      <c r="EB48" s="7"/>
      <c r="EI48" s="7"/>
      <c r="EP48" s="7"/>
      <c r="EW48" s="7"/>
      <c r="FD48" s="7"/>
      <c r="FK48" s="7"/>
      <c r="FR48" s="7"/>
      <c r="FY48" s="7"/>
      <c r="GF48" s="7"/>
      <c r="GM48" s="7"/>
      <c r="GT48" s="7"/>
      <c r="HA48" s="7"/>
      <c r="HH48" s="7"/>
      <c r="HO48" s="7"/>
      <c r="HV48" s="7"/>
      <c r="IC48" s="7"/>
      <c r="IJ48" s="7"/>
      <c r="IQ48" s="7"/>
      <c r="IX48" s="7"/>
      <c r="JE48" s="7"/>
      <c r="JL48" s="7"/>
      <c r="JS48" s="7"/>
      <c r="JZ48" s="7"/>
      <c r="KG48" s="7"/>
      <c r="KN48" s="7"/>
      <c r="KU48" s="7"/>
      <c r="LB48" s="7"/>
      <c r="LI48" s="7"/>
      <c r="LP48" s="7"/>
      <c r="LW48" s="7"/>
    </row>
    <row r="49" spans="1:335" x14ac:dyDescent="0.25">
      <c r="A49" s="8" t="s">
        <v>87</v>
      </c>
      <c r="B49" s="8"/>
      <c r="C49" s="8" t="s">
        <v>86</v>
      </c>
      <c r="D49" s="8" t="s">
        <v>85</v>
      </c>
      <c r="E49" s="18">
        <v>39562</v>
      </c>
      <c r="F49" s="10">
        <f t="shared" si="346"/>
        <v>1</v>
      </c>
      <c r="G49" s="19">
        <f t="shared" si="346"/>
        <v>1</v>
      </c>
      <c r="H49" s="19">
        <f t="shared" si="346"/>
        <v>1</v>
      </c>
      <c r="I49" s="8">
        <f t="shared" si="346"/>
        <v>1</v>
      </c>
      <c r="J49" s="8">
        <f t="shared" si="346"/>
        <v>1</v>
      </c>
      <c r="K49" s="8" t="str">
        <f t="shared" si="346"/>
        <v/>
      </c>
      <c r="L49" s="8" t="str">
        <f t="shared" si="346"/>
        <v/>
      </c>
      <c r="M49" s="8">
        <v>1</v>
      </c>
      <c r="N49" s="8"/>
      <c r="O49" s="9"/>
      <c r="P49" s="8">
        <f t="shared" si="347"/>
        <v>5</v>
      </c>
      <c r="Q49" s="106">
        <f t="shared" si="345"/>
        <v>38.461538461538467</v>
      </c>
      <c r="R49" s="7"/>
      <c r="Y49" s="7"/>
      <c r="AF49" s="7"/>
      <c r="AM49" s="7"/>
      <c r="AO49">
        <v>1</v>
      </c>
      <c r="AQ49">
        <v>1</v>
      </c>
      <c r="AT49" s="7"/>
      <c r="AV49">
        <v>1</v>
      </c>
      <c r="BA49" s="7"/>
      <c r="BH49" s="7"/>
      <c r="BL49">
        <v>1</v>
      </c>
      <c r="BM49">
        <v>1</v>
      </c>
      <c r="BO49" s="7"/>
      <c r="BW49" s="7"/>
      <c r="CE49" s="7"/>
      <c r="CL49" s="7"/>
      <c r="CS49" s="7"/>
      <c r="CZ49" s="7"/>
      <c r="DG49" s="7"/>
      <c r="DN49" s="7"/>
      <c r="DU49" s="7"/>
      <c r="EB49" s="7"/>
      <c r="EI49" s="7"/>
      <c r="EP49" s="7"/>
      <c r="EW49" s="7"/>
      <c r="FD49" s="7"/>
      <c r="FK49" s="7"/>
      <c r="FR49" s="7"/>
      <c r="FY49" s="7"/>
      <c r="GF49" s="7"/>
      <c r="GM49" s="7"/>
      <c r="GT49" s="7"/>
      <c r="HA49" s="7"/>
      <c r="HH49" s="7"/>
      <c r="HO49" s="7"/>
      <c r="HV49" s="7"/>
      <c r="IC49" s="7"/>
      <c r="IJ49" s="7"/>
      <c r="IQ49" s="7"/>
      <c r="IX49" s="7"/>
      <c r="JE49" s="7"/>
      <c r="JL49" s="7"/>
      <c r="JS49" s="7"/>
      <c r="JZ49" s="7"/>
      <c r="KG49" s="7"/>
      <c r="KN49" s="7"/>
      <c r="KU49" s="7"/>
      <c r="LB49" s="7"/>
      <c r="LI49" s="7"/>
      <c r="LP49" s="7"/>
      <c r="LW49" s="7"/>
    </row>
    <row r="50" spans="1:335" x14ac:dyDescent="0.25">
      <c r="A50" s="8" t="s">
        <v>84</v>
      </c>
      <c r="B50" s="8"/>
      <c r="C50" s="8" t="s">
        <v>83</v>
      </c>
      <c r="D50" s="8" t="s">
        <v>82</v>
      </c>
      <c r="E50" s="18">
        <v>39475</v>
      </c>
      <c r="F50" s="10">
        <f t="shared" si="346"/>
        <v>1</v>
      </c>
      <c r="G50" s="19">
        <f t="shared" si="346"/>
        <v>1</v>
      </c>
      <c r="H50" s="19">
        <f t="shared" si="346"/>
        <v>1</v>
      </c>
      <c r="I50" s="8">
        <f t="shared" si="346"/>
        <v>1</v>
      </c>
      <c r="J50" s="8">
        <f t="shared" si="346"/>
        <v>1</v>
      </c>
      <c r="K50" s="8" t="str">
        <f t="shared" si="346"/>
        <v/>
      </c>
      <c r="L50" s="8" t="str">
        <f t="shared" si="346"/>
        <v/>
      </c>
      <c r="M50" s="8">
        <v>1</v>
      </c>
      <c r="N50" s="8"/>
      <c r="O50" s="9"/>
      <c r="P50" s="8">
        <f t="shared" si="347"/>
        <v>10</v>
      </c>
      <c r="Q50" s="106">
        <f t="shared" si="345"/>
        <v>76.923076923076934</v>
      </c>
      <c r="R50" s="7"/>
      <c r="Y50" s="7"/>
      <c r="AF50" s="7"/>
      <c r="AH50">
        <v>1</v>
      </c>
      <c r="AJ50">
        <v>1</v>
      </c>
      <c r="AM50" s="7"/>
      <c r="AO50">
        <v>1</v>
      </c>
      <c r="AQ50">
        <v>1</v>
      </c>
      <c r="AT50" s="7"/>
      <c r="AX50">
        <v>1</v>
      </c>
      <c r="BA50" s="7"/>
      <c r="BC50">
        <v>1</v>
      </c>
      <c r="BE50">
        <v>1</v>
      </c>
      <c r="BH50" s="7"/>
      <c r="BJ50">
        <v>1</v>
      </c>
      <c r="BL50">
        <v>1</v>
      </c>
      <c r="BM50">
        <v>1</v>
      </c>
      <c r="BO50" s="7"/>
      <c r="BW50" s="7"/>
      <c r="CE50" s="7"/>
      <c r="CL50" s="7"/>
      <c r="CS50" s="7"/>
      <c r="CZ50" s="7"/>
      <c r="DG50" s="7"/>
      <c r="DN50" s="7"/>
      <c r="DU50" s="7"/>
      <c r="EB50" s="7"/>
      <c r="EI50" s="7"/>
      <c r="EP50" s="7"/>
      <c r="EW50" s="7"/>
      <c r="FD50" s="7"/>
      <c r="FK50" s="7"/>
      <c r="FR50" s="7"/>
      <c r="FY50" s="7"/>
      <c r="GF50" s="7"/>
      <c r="GM50" s="7"/>
      <c r="GT50" s="7"/>
      <c r="HA50" s="7"/>
      <c r="HH50" s="7"/>
      <c r="HO50" s="7"/>
      <c r="HV50" s="7"/>
      <c r="IC50" s="7"/>
      <c r="IJ50" s="7"/>
      <c r="IQ50" s="7"/>
      <c r="IX50" s="7"/>
      <c r="JE50" s="7"/>
      <c r="JL50" s="7"/>
      <c r="JS50" s="7"/>
      <c r="JZ50" s="7"/>
      <c r="KG50" s="7"/>
      <c r="KN50" s="7"/>
      <c r="KU50" s="7"/>
      <c r="LB50" s="7"/>
      <c r="LI50" s="7"/>
      <c r="LP50" s="7"/>
      <c r="LW50" s="7"/>
    </row>
    <row r="51" spans="1:335" x14ac:dyDescent="0.25">
      <c r="A51" s="8" t="s">
        <v>81</v>
      </c>
      <c r="B51" s="8"/>
      <c r="C51" s="8" t="s">
        <v>80</v>
      </c>
      <c r="D51" s="8" t="s">
        <v>79</v>
      </c>
      <c r="E51" s="18">
        <v>39927</v>
      </c>
      <c r="F51" s="10">
        <f t="shared" si="346"/>
        <v>1</v>
      </c>
      <c r="G51" s="19">
        <f t="shared" si="346"/>
        <v>1</v>
      </c>
      <c r="H51" s="19">
        <f t="shared" si="346"/>
        <v>1</v>
      </c>
      <c r="I51" s="8">
        <f t="shared" si="346"/>
        <v>1</v>
      </c>
      <c r="J51" s="8">
        <f t="shared" si="346"/>
        <v>1</v>
      </c>
      <c r="K51" s="8">
        <f t="shared" si="346"/>
        <v>1</v>
      </c>
      <c r="L51" s="8" t="str">
        <f t="shared" si="346"/>
        <v/>
      </c>
      <c r="M51" s="8">
        <v>1</v>
      </c>
      <c r="N51" s="8"/>
      <c r="O51" s="9"/>
      <c r="P51" s="8">
        <f t="shared" si="347"/>
        <v>4</v>
      </c>
      <c r="Q51" s="106">
        <f t="shared" si="345"/>
        <v>30.76923076923077</v>
      </c>
      <c r="R51" s="7"/>
      <c r="Y51" s="7"/>
      <c r="AF51" s="7"/>
      <c r="AH51">
        <v>1</v>
      </c>
      <c r="AJ51">
        <v>1</v>
      </c>
      <c r="AM51" s="7"/>
      <c r="AO51">
        <v>1</v>
      </c>
      <c r="AT51" s="7"/>
      <c r="AV51">
        <v>1</v>
      </c>
      <c r="BA51" s="7"/>
      <c r="BH51" s="7"/>
      <c r="BO51" s="7"/>
      <c r="BW51" s="7"/>
      <c r="CE51" s="7"/>
      <c r="CL51" s="7"/>
      <c r="CS51" s="7"/>
      <c r="CZ51" s="7"/>
      <c r="DG51" s="7"/>
      <c r="DN51" s="7"/>
      <c r="DU51" s="7"/>
      <c r="EB51" s="7"/>
      <c r="EI51" s="7"/>
      <c r="EP51" s="7"/>
      <c r="EW51" s="7"/>
      <c r="FD51" s="7"/>
      <c r="FK51" s="7"/>
      <c r="FR51" s="7"/>
      <c r="FY51" s="7"/>
      <c r="GF51" s="7"/>
      <c r="GM51" s="7"/>
      <c r="GT51" s="7"/>
      <c r="HA51" s="7"/>
      <c r="HH51" s="7"/>
      <c r="HO51" s="7"/>
      <c r="HV51" s="7"/>
      <c r="IC51" s="7"/>
      <c r="IJ51" s="7"/>
      <c r="IQ51" s="7"/>
      <c r="IX51" s="7"/>
      <c r="JE51" s="7"/>
      <c r="JL51" s="7"/>
      <c r="JS51" s="7"/>
      <c r="JZ51" s="7"/>
      <c r="KG51" s="7"/>
      <c r="KN51" s="7"/>
      <c r="KU51" s="7"/>
      <c r="LB51" s="7"/>
      <c r="LI51" s="7"/>
      <c r="LP51" s="7"/>
      <c r="LW51" s="7"/>
    </row>
    <row r="52" spans="1:335" x14ac:dyDescent="0.25">
      <c r="A52" s="8" t="s">
        <v>78</v>
      </c>
      <c r="B52" s="8" t="s">
        <v>77</v>
      </c>
      <c r="C52" s="8" t="s">
        <v>76</v>
      </c>
      <c r="D52" s="8" t="s">
        <v>75</v>
      </c>
      <c r="E52" s="18">
        <v>40051</v>
      </c>
      <c r="F52" s="10">
        <f t="shared" ref="F52:L58" si="348">IF($E52 &gt;= F$38, 1, "")</f>
        <v>1</v>
      </c>
      <c r="G52" s="19">
        <f t="shared" si="348"/>
        <v>1</v>
      </c>
      <c r="H52" s="19">
        <f t="shared" si="348"/>
        <v>1</v>
      </c>
      <c r="I52" s="8">
        <f t="shared" si="348"/>
        <v>1</v>
      </c>
      <c r="J52" s="8">
        <f t="shared" si="348"/>
        <v>1</v>
      </c>
      <c r="K52" s="8">
        <f t="shared" si="348"/>
        <v>1</v>
      </c>
      <c r="L52" s="8" t="str">
        <f t="shared" si="348"/>
        <v/>
      </c>
      <c r="M52" s="8">
        <v>1</v>
      </c>
      <c r="N52" s="8"/>
      <c r="O52" s="9"/>
      <c r="P52" s="8">
        <f t="shared" si="347"/>
        <v>7</v>
      </c>
      <c r="Q52" s="106">
        <f t="shared" si="345"/>
        <v>53.846153846153847</v>
      </c>
      <c r="R52" s="7"/>
      <c r="Y52" s="7"/>
      <c r="AF52" s="7"/>
      <c r="AH52">
        <v>1</v>
      </c>
      <c r="AM52" s="7"/>
      <c r="AO52">
        <v>1</v>
      </c>
      <c r="AT52" s="7"/>
      <c r="AV52">
        <v>1</v>
      </c>
      <c r="AW52">
        <v>1</v>
      </c>
      <c r="BA52" s="7"/>
      <c r="BC52">
        <v>1</v>
      </c>
      <c r="BH52" s="7"/>
      <c r="BJ52">
        <v>1</v>
      </c>
      <c r="BM52">
        <v>1</v>
      </c>
      <c r="BO52" s="7"/>
      <c r="BW52" s="7"/>
      <c r="CE52" s="7"/>
      <c r="CL52" s="7"/>
      <c r="CS52" s="7"/>
      <c r="CZ52" s="7"/>
      <c r="DG52" s="7"/>
      <c r="DN52" s="7"/>
      <c r="DU52" s="7"/>
      <c r="EB52" s="7"/>
      <c r="EI52" s="7"/>
      <c r="EP52" s="7"/>
      <c r="EW52" s="7"/>
      <c r="FD52" s="7"/>
      <c r="FK52" s="7"/>
      <c r="FR52" s="7"/>
      <c r="FY52" s="7"/>
      <c r="GF52" s="7"/>
      <c r="GM52" s="7"/>
      <c r="GT52" s="7"/>
      <c r="HA52" s="7"/>
      <c r="HH52" s="7"/>
      <c r="HO52" s="7"/>
      <c r="HV52" s="7"/>
      <c r="IC52" s="7"/>
      <c r="IJ52" s="7"/>
      <c r="IQ52" s="7"/>
      <c r="IX52" s="7"/>
      <c r="JE52" s="7"/>
      <c r="JL52" s="7"/>
      <c r="JS52" s="7"/>
      <c r="JZ52" s="7"/>
      <c r="KG52" s="7"/>
      <c r="KN52" s="7"/>
      <c r="KU52" s="7"/>
      <c r="LB52" s="7"/>
      <c r="LI52" s="7"/>
      <c r="LP52" s="7"/>
      <c r="LW52" s="7"/>
    </row>
    <row r="53" spans="1:335" x14ac:dyDescent="0.25">
      <c r="A53" s="8" t="s">
        <v>74</v>
      </c>
      <c r="B53" s="8"/>
      <c r="C53" s="8" t="s">
        <v>27</v>
      </c>
      <c r="D53" s="8" t="s">
        <v>71</v>
      </c>
      <c r="E53" s="18">
        <v>40004</v>
      </c>
      <c r="F53" s="10">
        <f t="shared" si="348"/>
        <v>1</v>
      </c>
      <c r="G53" s="19">
        <f t="shared" si="348"/>
        <v>1</v>
      </c>
      <c r="H53" s="19">
        <f t="shared" si="348"/>
        <v>1</v>
      </c>
      <c r="I53" s="8">
        <f t="shared" si="348"/>
        <v>1</v>
      </c>
      <c r="J53" s="8">
        <f t="shared" si="348"/>
        <v>1</v>
      </c>
      <c r="K53" s="8">
        <f t="shared" si="348"/>
        <v>1</v>
      </c>
      <c r="L53" s="8" t="str">
        <f t="shared" si="348"/>
        <v/>
      </c>
      <c r="M53" s="8">
        <v>1</v>
      </c>
      <c r="N53" s="8"/>
      <c r="O53" s="9"/>
      <c r="P53" s="8">
        <f t="shared" si="347"/>
        <v>8</v>
      </c>
      <c r="Q53" s="106">
        <f t="shared" si="345"/>
        <v>61.53846153846154</v>
      </c>
      <c r="R53" s="7"/>
      <c r="Y53" s="7"/>
      <c r="AF53" s="7"/>
      <c r="AH53">
        <v>1</v>
      </c>
      <c r="AM53" s="7"/>
      <c r="AO53">
        <v>1</v>
      </c>
      <c r="AQ53">
        <v>1</v>
      </c>
      <c r="AT53" s="7"/>
      <c r="AV53">
        <v>1</v>
      </c>
      <c r="AX53">
        <v>1</v>
      </c>
      <c r="BA53" s="7"/>
      <c r="BC53">
        <v>1</v>
      </c>
      <c r="BH53" s="7"/>
      <c r="BJ53">
        <v>1</v>
      </c>
      <c r="BL53">
        <v>1</v>
      </c>
      <c r="BO53" s="7"/>
      <c r="BW53" s="7"/>
      <c r="CE53" s="7"/>
      <c r="CL53" s="7"/>
      <c r="CS53" s="7"/>
      <c r="CZ53" s="7"/>
      <c r="DG53" s="7"/>
      <c r="DN53" s="7"/>
      <c r="DU53" s="7"/>
      <c r="EB53" s="7"/>
      <c r="EI53" s="7"/>
      <c r="EP53" s="7"/>
      <c r="EW53" s="7"/>
      <c r="FD53" s="7"/>
      <c r="FK53" s="7"/>
      <c r="FR53" s="7"/>
      <c r="FY53" s="7"/>
      <c r="GF53" s="7"/>
      <c r="GM53" s="7"/>
      <c r="GT53" s="7"/>
      <c r="HA53" s="7"/>
      <c r="HH53" s="7"/>
      <c r="HO53" s="7"/>
      <c r="HV53" s="7"/>
      <c r="IC53" s="7"/>
      <c r="IJ53" s="7"/>
      <c r="IQ53" s="7"/>
      <c r="IX53" s="7"/>
      <c r="JE53" s="7"/>
      <c r="JL53" s="7"/>
      <c r="JS53" s="7"/>
      <c r="JZ53" s="7"/>
      <c r="KG53" s="7"/>
      <c r="KN53" s="7"/>
      <c r="KU53" s="7"/>
      <c r="LB53" s="7"/>
      <c r="LI53" s="7"/>
      <c r="LP53" s="7"/>
      <c r="LW53" s="7"/>
    </row>
    <row r="54" spans="1:335" hidden="1" x14ac:dyDescent="0.25">
      <c r="A54" s="8"/>
      <c r="B54" s="8"/>
      <c r="C54" s="8"/>
      <c r="D54" s="8"/>
      <c r="E54" s="18"/>
      <c r="F54" s="10" t="str">
        <f t="shared" si="348"/>
        <v/>
      </c>
      <c r="G54" s="19" t="str">
        <f t="shared" si="348"/>
        <v/>
      </c>
      <c r="H54" s="19" t="str">
        <f t="shared" si="348"/>
        <v/>
      </c>
      <c r="I54" s="8" t="str">
        <f t="shared" si="348"/>
        <v/>
      </c>
      <c r="J54" s="8" t="str">
        <f t="shared" si="348"/>
        <v/>
      </c>
      <c r="K54" s="8" t="str">
        <f t="shared" si="348"/>
        <v/>
      </c>
      <c r="L54" s="8" t="str">
        <f t="shared" si="348"/>
        <v/>
      </c>
      <c r="M54" s="8"/>
      <c r="N54" s="8"/>
      <c r="O54" s="9"/>
      <c r="P54" s="8" t="str">
        <f t="shared" si="347"/>
        <v/>
      </c>
      <c r="Q54" s="106" t="str">
        <f t="shared" si="345"/>
        <v/>
      </c>
      <c r="R54" s="7"/>
      <c r="Y54" s="7"/>
      <c r="AF54" s="7"/>
      <c r="AM54" s="7"/>
      <c r="AT54" s="7"/>
      <c r="BA54" s="7"/>
      <c r="BH54" s="7"/>
      <c r="BO54" s="7"/>
      <c r="BW54" s="7"/>
      <c r="CE54" s="7"/>
      <c r="CL54" s="7"/>
      <c r="CS54" s="7"/>
      <c r="CZ54" s="7"/>
      <c r="DG54" s="7"/>
      <c r="DN54" s="7"/>
      <c r="DU54" s="7"/>
      <c r="EB54" s="7"/>
      <c r="EI54" s="7"/>
      <c r="EP54" s="7"/>
      <c r="EW54" s="7"/>
      <c r="FD54" s="7"/>
      <c r="FK54" s="7"/>
      <c r="FR54" s="7"/>
      <c r="FY54" s="7"/>
      <c r="GF54" s="7"/>
      <c r="GM54" s="7"/>
      <c r="GT54" s="7"/>
      <c r="HA54" s="7"/>
      <c r="HH54" s="7"/>
      <c r="HO54" s="7"/>
      <c r="HV54" s="7"/>
      <c r="IC54" s="7"/>
      <c r="IJ54" s="7"/>
      <c r="IQ54" s="7"/>
      <c r="IX54" s="7"/>
      <c r="JE54" s="7"/>
      <c r="JL54" s="7"/>
      <c r="JS54" s="7"/>
      <c r="JZ54" s="7"/>
      <c r="KG54" s="7"/>
      <c r="KN54" s="7"/>
      <c r="KU54" s="7"/>
      <c r="LB54" s="7"/>
      <c r="LI54" s="7"/>
      <c r="LP54" s="7"/>
      <c r="LW54" s="7"/>
    </row>
    <row r="55" spans="1:335" hidden="1" x14ac:dyDescent="0.25">
      <c r="A55" s="8"/>
      <c r="B55" s="8"/>
      <c r="C55" s="8"/>
      <c r="D55" s="8"/>
      <c r="E55" s="18"/>
      <c r="F55" s="10" t="str">
        <f t="shared" si="348"/>
        <v/>
      </c>
      <c r="G55" s="19" t="str">
        <f t="shared" si="348"/>
        <v/>
      </c>
      <c r="H55" s="19" t="str">
        <f t="shared" si="348"/>
        <v/>
      </c>
      <c r="I55" s="8" t="str">
        <f t="shared" si="348"/>
        <v/>
      </c>
      <c r="J55" s="8" t="str">
        <f t="shared" si="348"/>
        <v/>
      </c>
      <c r="K55" s="8" t="str">
        <f t="shared" si="348"/>
        <v/>
      </c>
      <c r="L55" s="8" t="str">
        <f t="shared" si="348"/>
        <v/>
      </c>
      <c r="M55" s="8"/>
      <c r="N55" s="8"/>
      <c r="O55" s="9"/>
      <c r="P55" s="8" t="str">
        <f t="shared" si="347"/>
        <v/>
      </c>
      <c r="Q55" s="106" t="str">
        <f t="shared" si="345"/>
        <v/>
      </c>
      <c r="R55" s="7"/>
      <c r="Y55" s="7"/>
      <c r="AF55" s="7"/>
      <c r="AM55" s="7"/>
      <c r="AT55" s="7"/>
      <c r="BA55" s="7"/>
      <c r="BH55" s="7"/>
      <c r="BO55" s="7"/>
      <c r="BW55" s="7"/>
      <c r="CE55" s="7"/>
      <c r="CL55" s="7"/>
      <c r="CS55" s="7"/>
      <c r="CZ55" s="7"/>
      <c r="DG55" s="7"/>
      <c r="DN55" s="7"/>
      <c r="DU55" s="7"/>
      <c r="EB55" s="7"/>
      <c r="EI55" s="7"/>
      <c r="EP55" s="7"/>
      <c r="EW55" s="7"/>
      <c r="FD55" s="7"/>
      <c r="FK55" s="7"/>
      <c r="FR55" s="7"/>
      <c r="FY55" s="7"/>
      <c r="GF55" s="7"/>
      <c r="GM55" s="7"/>
      <c r="GT55" s="7"/>
      <c r="HA55" s="7"/>
      <c r="HH55" s="7"/>
      <c r="HO55" s="7"/>
      <c r="HV55" s="7"/>
      <c r="IC55" s="7"/>
      <c r="IJ55" s="7"/>
      <c r="IQ55" s="7"/>
      <c r="IX55" s="7"/>
      <c r="JE55" s="7"/>
      <c r="JL55" s="7"/>
      <c r="JS55" s="7"/>
      <c r="JZ55" s="7"/>
      <c r="KG55" s="7"/>
      <c r="KN55" s="7"/>
      <c r="KU55" s="7"/>
      <c r="LB55" s="7"/>
      <c r="LI55" s="7"/>
      <c r="LP55" s="7"/>
      <c r="LW55" s="7"/>
    </row>
    <row r="56" spans="1:335" hidden="1" x14ac:dyDescent="0.25">
      <c r="A56" s="8"/>
      <c r="B56" s="8"/>
      <c r="C56" s="8"/>
      <c r="D56" s="8"/>
      <c r="E56" s="18"/>
      <c r="F56" s="10" t="str">
        <f t="shared" si="348"/>
        <v/>
      </c>
      <c r="G56" s="19" t="str">
        <f t="shared" si="348"/>
        <v/>
      </c>
      <c r="H56" s="19" t="str">
        <f t="shared" si="348"/>
        <v/>
      </c>
      <c r="I56" s="8" t="str">
        <f t="shared" si="348"/>
        <v/>
      </c>
      <c r="J56" s="8" t="str">
        <f t="shared" si="348"/>
        <v/>
      </c>
      <c r="K56" s="8" t="str">
        <f t="shared" si="348"/>
        <v/>
      </c>
      <c r="L56" s="8" t="str">
        <f t="shared" si="348"/>
        <v/>
      </c>
      <c r="M56" s="8"/>
      <c r="N56" s="8"/>
      <c r="O56" s="9"/>
      <c r="P56" s="8" t="str">
        <f t="shared" si="347"/>
        <v/>
      </c>
      <c r="Q56" s="106" t="str">
        <f t="shared" si="345"/>
        <v/>
      </c>
      <c r="R56" s="7"/>
      <c r="Y56" s="7"/>
      <c r="AF56" s="7"/>
      <c r="AM56" s="7"/>
      <c r="AT56" s="7"/>
      <c r="BA56" s="7"/>
      <c r="BH56" s="7"/>
      <c r="BO56" s="7"/>
      <c r="BW56" s="7"/>
      <c r="CE56" s="7"/>
      <c r="CL56" s="7"/>
      <c r="CS56" s="7"/>
      <c r="CZ56" s="7"/>
      <c r="DG56" s="7"/>
      <c r="DN56" s="7"/>
      <c r="DU56" s="7"/>
      <c r="EB56" s="7"/>
      <c r="EI56" s="7"/>
      <c r="EP56" s="7"/>
      <c r="EW56" s="7"/>
      <c r="FD56" s="7"/>
      <c r="FK56" s="7"/>
      <c r="FR56" s="7"/>
      <c r="FY56" s="7"/>
      <c r="GF56" s="7"/>
      <c r="GM56" s="7"/>
      <c r="GT56" s="7"/>
      <c r="HA56" s="7"/>
      <c r="HH56" s="7"/>
      <c r="HO56" s="7"/>
      <c r="HV56" s="7"/>
      <c r="IC56" s="7"/>
      <c r="IJ56" s="7"/>
      <c r="IQ56" s="7"/>
      <c r="IX56" s="7"/>
      <c r="JE56" s="7"/>
      <c r="JL56" s="7"/>
      <c r="JS56" s="7"/>
      <c r="JZ56" s="7"/>
      <c r="KG56" s="7"/>
      <c r="KN56" s="7"/>
      <c r="KU56" s="7"/>
      <c r="LB56" s="7"/>
      <c r="LI56" s="7"/>
      <c r="LP56" s="7"/>
      <c r="LW56" s="7"/>
    </row>
    <row r="57" spans="1:335" hidden="1" x14ac:dyDescent="0.25">
      <c r="A57" s="8"/>
      <c r="B57" s="8"/>
      <c r="C57" s="8"/>
      <c r="D57" s="8"/>
      <c r="E57" s="18"/>
      <c r="F57" s="10" t="str">
        <f t="shared" si="348"/>
        <v/>
      </c>
      <c r="G57" s="19" t="str">
        <f t="shared" si="348"/>
        <v/>
      </c>
      <c r="H57" s="19" t="str">
        <f t="shared" si="348"/>
        <v/>
      </c>
      <c r="I57" s="8" t="str">
        <f t="shared" si="348"/>
        <v/>
      </c>
      <c r="J57" s="8" t="str">
        <f t="shared" si="348"/>
        <v/>
      </c>
      <c r="K57" s="8" t="str">
        <f t="shared" si="348"/>
        <v/>
      </c>
      <c r="L57" s="8" t="str">
        <f t="shared" si="348"/>
        <v/>
      </c>
      <c r="M57" s="8"/>
      <c r="N57" s="8"/>
      <c r="O57" s="9"/>
      <c r="P57" s="8" t="str">
        <f t="shared" si="347"/>
        <v/>
      </c>
      <c r="Q57" s="106" t="str">
        <f t="shared" si="345"/>
        <v/>
      </c>
      <c r="R57" s="7"/>
      <c r="Y57" s="7"/>
      <c r="AF57" s="7"/>
      <c r="AM57" s="7"/>
      <c r="AT57" s="7"/>
      <c r="BA57" s="7"/>
      <c r="BH57" s="7"/>
      <c r="BO57" s="7"/>
      <c r="BW57" s="7"/>
      <c r="CE57" s="7"/>
      <c r="CL57" s="7"/>
      <c r="CS57" s="7"/>
      <c r="CZ57" s="7"/>
      <c r="DG57" s="7"/>
      <c r="DN57" s="7"/>
      <c r="DU57" s="7"/>
      <c r="EB57" s="7"/>
      <c r="EI57" s="7"/>
      <c r="EP57" s="7"/>
      <c r="EW57" s="7"/>
      <c r="FD57" s="7"/>
      <c r="FK57" s="7"/>
      <c r="FR57" s="7"/>
      <c r="FY57" s="7"/>
      <c r="GF57" s="7"/>
      <c r="GM57" s="7"/>
      <c r="GT57" s="7"/>
      <c r="HA57" s="7"/>
      <c r="HH57" s="7"/>
      <c r="HO57" s="7"/>
      <c r="HV57" s="7"/>
      <c r="IC57" s="7"/>
      <c r="IJ57" s="7"/>
      <c r="IQ57" s="7"/>
      <c r="IX57" s="7"/>
      <c r="JE57" s="7"/>
      <c r="JL57" s="7"/>
      <c r="JS57" s="7"/>
      <c r="JZ57" s="7"/>
      <c r="KG57" s="7"/>
      <c r="KN57" s="7"/>
      <c r="KU57" s="7"/>
      <c r="LB57" s="7"/>
      <c r="LI57" s="7"/>
      <c r="LP57" s="7"/>
      <c r="LW57" s="7"/>
    </row>
    <row r="58" spans="1:335" ht="7.5" customHeight="1" x14ac:dyDescent="0.25">
      <c r="A58" s="8"/>
      <c r="B58" s="8"/>
      <c r="C58" s="8"/>
      <c r="D58" s="8"/>
      <c r="E58" s="18"/>
      <c r="F58" s="10" t="str">
        <f t="shared" si="348"/>
        <v/>
      </c>
      <c r="G58" s="19" t="str">
        <f t="shared" si="348"/>
        <v/>
      </c>
      <c r="H58" s="19" t="str">
        <f t="shared" si="348"/>
        <v/>
      </c>
      <c r="I58" s="19" t="str">
        <f t="shared" si="348"/>
        <v/>
      </c>
      <c r="J58" s="19" t="str">
        <f t="shared" si="348"/>
        <v/>
      </c>
      <c r="K58" s="19" t="str">
        <f t="shared" si="348"/>
        <v/>
      </c>
      <c r="L58" s="19" t="str">
        <f t="shared" si="348"/>
        <v/>
      </c>
      <c r="M58" s="8"/>
      <c r="N58" s="8"/>
      <c r="O58" s="9"/>
      <c r="P58" s="8" t="str">
        <f t="shared" si="347"/>
        <v/>
      </c>
      <c r="Q58" s="106" t="str">
        <f t="shared" si="345"/>
        <v/>
      </c>
      <c r="R58" s="7"/>
      <c r="Y58" s="7"/>
      <c r="AF58" s="7"/>
      <c r="AM58" s="7"/>
      <c r="AT58" s="7"/>
      <c r="BA58" s="7"/>
      <c r="BH58" s="7"/>
      <c r="BO58" s="7"/>
      <c r="BW58" s="7"/>
      <c r="CE58" s="7"/>
      <c r="CL58" s="7"/>
      <c r="CS58" s="7"/>
      <c r="CZ58" s="7"/>
      <c r="DG58" s="7"/>
      <c r="DN58" s="7"/>
      <c r="DU58" s="7"/>
      <c r="EB58" s="7"/>
      <c r="EI58" s="7"/>
      <c r="EP58" s="7"/>
      <c r="EW58" s="7"/>
      <c r="FD58" s="7"/>
      <c r="FK58" s="7"/>
      <c r="FR58" s="7"/>
      <c r="FY58" s="7"/>
      <c r="GF58" s="7"/>
      <c r="GM58" s="7"/>
      <c r="GT58" s="7"/>
      <c r="HA58" s="7"/>
      <c r="HH58" s="7"/>
      <c r="HO58" s="7"/>
      <c r="HV58" s="7"/>
      <c r="IC58" s="7"/>
      <c r="IJ58" s="7"/>
      <c r="IQ58" s="7"/>
      <c r="IX58" s="7"/>
      <c r="JE58" s="7"/>
      <c r="JL58" s="7"/>
      <c r="JS58" s="7"/>
      <c r="JZ58" s="7"/>
      <c r="KG58" s="7"/>
      <c r="KN58" s="7"/>
      <c r="KU58" s="7"/>
      <c r="LB58" s="7"/>
      <c r="LI58" s="7"/>
      <c r="LP58" s="7"/>
      <c r="LW58" s="7"/>
    </row>
    <row r="59" spans="1:335" ht="15" customHeight="1" x14ac:dyDescent="0.25">
      <c r="A59" s="23" t="s">
        <v>18</v>
      </c>
      <c r="B59" s="20"/>
      <c r="C59" s="20"/>
      <c r="D59" s="20"/>
      <c r="E59" s="60"/>
      <c r="F59" s="20"/>
      <c r="G59" s="20"/>
      <c r="H59" s="20"/>
      <c r="I59" s="20"/>
      <c r="J59" s="20"/>
      <c r="K59" s="20"/>
      <c r="L59" s="20"/>
      <c r="M59" s="20"/>
      <c r="N59" s="20"/>
      <c r="O59" s="21"/>
      <c r="P59" s="3">
        <f>SUM(R59:LW59)</f>
        <v>13</v>
      </c>
      <c r="Q59" s="102"/>
      <c r="R59" s="21"/>
      <c r="S59" s="20"/>
      <c r="T59" s="20"/>
      <c r="U59" s="20"/>
      <c r="V59" s="20"/>
      <c r="W59" s="20"/>
      <c r="X59" s="20"/>
      <c r="Y59" s="21"/>
      <c r="Z59" s="20"/>
      <c r="AA59" s="20"/>
      <c r="AB59" s="20"/>
      <c r="AC59" s="20"/>
      <c r="AD59" s="20"/>
      <c r="AE59" s="20"/>
      <c r="AF59" s="21"/>
      <c r="AG59" s="20"/>
      <c r="AH59" s="20">
        <v>1</v>
      </c>
      <c r="AI59" s="20"/>
      <c r="AJ59" s="20">
        <v>1</v>
      </c>
      <c r="AK59" s="20"/>
      <c r="AL59" s="20"/>
      <c r="AM59" s="21"/>
      <c r="AN59" s="20"/>
      <c r="AO59" s="20">
        <v>1</v>
      </c>
      <c r="AP59" s="20"/>
      <c r="AQ59" s="20">
        <v>1</v>
      </c>
      <c r="AR59" s="20"/>
      <c r="AS59" s="20"/>
      <c r="AT59" s="21"/>
      <c r="AU59" s="20"/>
      <c r="AV59" s="20">
        <v>1</v>
      </c>
      <c r="AW59" s="20">
        <v>1</v>
      </c>
      <c r="AX59" s="20">
        <v>1</v>
      </c>
      <c r="AY59" s="20"/>
      <c r="AZ59" s="20"/>
      <c r="BA59" s="21"/>
      <c r="BB59" s="20"/>
      <c r="BC59" s="20">
        <v>1</v>
      </c>
      <c r="BD59" s="20"/>
      <c r="BE59" s="20">
        <v>1</v>
      </c>
      <c r="BF59" s="20"/>
      <c r="BG59" s="20"/>
      <c r="BH59" s="21"/>
      <c r="BI59" s="20"/>
      <c r="BJ59" s="20">
        <v>1</v>
      </c>
      <c r="BK59" s="20"/>
      <c r="BL59" s="20">
        <v>1</v>
      </c>
      <c r="BM59" s="20"/>
      <c r="BN59" s="20"/>
      <c r="BO59" s="21">
        <v>1</v>
      </c>
      <c r="BP59" s="20"/>
      <c r="BQ59" s="20"/>
      <c r="BR59" s="20"/>
      <c r="BS59" s="20"/>
      <c r="BT59" s="20"/>
      <c r="BU59" s="20"/>
      <c r="BV59" s="20">
        <v>1</v>
      </c>
      <c r="BW59" s="21"/>
      <c r="BX59" s="20"/>
      <c r="BY59" s="20"/>
      <c r="BZ59" s="20"/>
      <c r="CA59" s="20"/>
      <c r="CB59" s="20"/>
      <c r="CC59" s="20"/>
      <c r="CD59" s="20"/>
      <c r="CE59" s="21"/>
      <c r="CF59" s="20"/>
      <c r="CG59" s="20"/>
      <c r="CH59" s="20"/>
      <c r="CI59" s="20"/>
      <c r="CJ59" s="20"/>
      <c r="CK59" s="20"/>
      <c r="CL59" s="21"/>
      <c r="CM59" s="20"/>
      <c r="CN59" s="20"/>
      <c r="CO59" s="20"/>
      <c r="CP59" s="20"/>
      <c r="CQ59" s="20"/>
      <c r="CR59" s="20"/>
      <c r="CS59" s="21"/>
      <c r="CT59" s="20"/>
      <c r="CU59" s="20"/>
      <c r="CV59" s="20"/>
      <c r="CW59" s="20"/>
      <c r="CX59" s="20"/>
      <c r="CY59" s="20"/>
      <c r="CZ59" s="21"/>
      <c r="DA59" s="20"/>
      <c r="DB59" s="20"/>
      <c r="DC59" s="20"/>
      <c r="DD59" s="20"/>
      <c r="DE59" s="20"/>
      <c r="DF59" s="20"/>
      <c r="DG59" s="21"/>
      <c r="DH59" s="20"/>
      <c r="DI59" s="20"/>
      <c r="DJ59" s="20"/>
      <c r="DK59" s="20"/>
      <c r="DL59" s="20"/>
      <c r="DM59" s="20"/>
      <c r="DN59" s="21"/>
      <c r="DO59" s="20"/>
      <c r="DP59" s="20"/>
      <c r="DQ59" s="20"/>
      <c r="DR59" s="20"/>
      <c r="DS59" s="20"/>
      <c r="DT59" s="20"/>
      <c r="DU59" s="21"/>
      <c r="DV59" s="20"/>
      <c r="DW59" s="20"/>
      <c r="DX59" s="20"/>
      <c r="DY59" s="20"/>
      <c r="DZ59" s="20"/>
      <c r="EA59" s="20"/>
      <c r="EB59" s="21"/>
      <c r="EC59" s="20"/>
      <c r="ED59" s="20"/>
      <c r="EE59" s="20"/>
      <c r="EF59" s="20"/>
      <c r="EG59" s="20"/>
      <c r="EH59" s="20"/>
      <c r="EI59" s="21"/>
      <c r="EJ59" s="20"/>
      <c r="EK59" s="20"/>
      <c r="EL59" s="20"/>
      <c r="EM59" s="20"/>
      <c r="EN59" s="20"/>
      <c r="EO59" s="20"/>
      <c r="EP59" s="21"/>
      <c r="EQ59" s="20"/>
      <c r="ER59" s="20"/>
      <c r="ES59" s="20"/>
      <c r="ET59" s="20"/>
      <c r="EU59" s="20"/>
      <c r="EV59" s="20"/>
      <c r="EW59" s="21"/>
      <c r="EX59" s="20"/>
      <c r="EY59" s="20"/>
      <c r="EZ59" s="20"/>
      <c r="FA59" s="20"/>
      <c r="FB59" s="20"/>
      <c r="FC59" s="20"/>
      <c r="FD59" s="21"/>
      <c r="FE59" s="20"/>
      <c r="FF59" s="20"/>
      <c r="FG59" s="20"/>
      <c r="FH59" s="20"/>
      <c r="FI59" s="20"/>
      <c r="FJ59" s="20"/>
      <c r="FK59" s="21"/>
      <c r="FL59" s="20"/>
      <c r="FM59" s="20"/>
      <c r="FN59" s="20"/>
      <c r="FO59" s="20"/>
      <c r="FP59" s="20"/>
      <c r="FQ59" s="20"/>
      <c r="FR59" s="21"/>
      <c r="FS59" s="20"/>
      <c r="FT59" s="20"/>
      <c r="FU59" s="20"/>
      <c r="FV59" s="20"/>
      <c r="FW59" s="20"/>
      <c r="FX59" s="20"/>
      <c r="FY59" s="21"/>
      <c r="FZ59" s="20"/>
      <c r="GA59" s="20"/>
      <c r="GB59" s="20"/>
      <c r="GC59" s="20"/>
      <c r="GD59" s="20"/>
      <c r="GE59" s="20"/>
      <c r="GF59" s="21"/>
      <c r="GG59" s="20"/>
      <c r="GH59" s="20"/>
      <c r="GI59" s="20"/>
      <c r="GJ59" s="20"/>
      <c r="GK59" s="20"/>
      <c r="GL59" s="20"/>
      <c r="GM59" s="21"/>
      <c r="GN59" s="20"/>
      <c r="GO59" s="20"/>
      <c r="GP59" s="20"/>
      <c r="GQ59" s="20"/>
      <c r="GR59" s="20"/>
      <c r="GS59" s="20"/>
      <c r="GT59" s="21"/>
      <c r="GU59" s="20"/>
      <c r="GV59" s="20"/>
      <c r="GW59" s="20"/>
      <c r="GX59" s="20"/>
      <c r="GY59" s="20"/>
      <c r="GZ59" s="20"/>
      <c r="HA59" s="21"/>
      <c r="HB59" s="20"/>
      <c r="HC59" s="20"/>
      <c r="HD59" s="20"/>
      <c r="HE59" s="20"/>
      <c r="HF59" s="20"/>
      <c r="HG59" s="20"/>
      <c r="HH59" s="21"/>
      <c r="HI59" s="20"/>
      <c r="HJ59" s="20"/>
      <c r="HK59" s="20"/>
      <c r="HL59" s="20"/>
      <c r="HM59" s="20"/>
      <c r="HN59" s="20"/>
      <c r="HO59" s="21"/>
      <c r="HP59" s="20"/>
      <c r="HQ59" s="20"/>
      <c r="HR59" s="20"/>
      <c r="HS59" s="20"/>
      <c r="HT59" s="20"/>
      <c r="HU59" s="20"/>
      <c r="HV59" s="21"/>
      <c r="HW59" s="20"/>
      <c r="HX59" s="20"/>
      <c r="HY59" s="20"/>
      <c r="HZ59" s="20"/>
      <c r="IA59" s="20"/>
      <c r="IB59" s="20"/>
      <c r="IC59" s="21"/>
      <c r="ID59" s="20"/>
      <c r="IE59" s="20"/>
      <c r="IF59" s="20"/>
      <c r="IG59" s="20"/>
      <c r="IH59" s="20"/>
      <c r="II59" s="20"/>
      <c r="IJ59" s="21"/>
      <c r="IK59" s="20"/>
      <c r="IL59" s="20"/>
      <c r="IM59" s="20"/>
      <c r="IN59" s="20"/>
      <c r="IO59" s="20"/>
      <c r="IP59" s="20"/>
      <c r="IQ59" s="21"/>
      <c r="IR59" s="20"/>
      <c r="IS59" s="20"/>
      <c r="IT59" s="20"/>
      <c r="IU59" s="20"/>
      <c r="IV59" s="20"/>
      <c r="IW59" s="20"/>
      <c r="IX59" s="21"/>
      <c r="IY59" s="20"/>
      <c r="IZ59" s="20"/>
      <c r="JA59" s="20"/>
      <c r="JB59" s="20"/>
      <c r="JC59" s="20"/>
      <c r="JD59" s="20"/>
      <c r="JE59" s="21"/>
      <c r="JF59" s="20"/>
      <c r="JG59" s="20"/>
      <c r="JH59" s="20"/>
      <c r="JI59" s="20"/>
      <c r="JJ59" s="20"/>
      <c r="JK59" s="20"/>
      <c r="JL59" s="21"/>
      <c r="JM59" s="20"/>
      <c r="JN59" s="20"/>
      <c r="JO59" s="20"/>
      <c r="JP59" s="20"/>
      <c r="JQ59" s="20"/>
      <c r="JR59" s="20"/>
      <c r="JS59" s="21"/>
      <c r="JT59" s="20"/>
      <c r="JU59" s="20"/>
      <c r="JV59" s="20"/>
      <c r="JW59" s="20"/>
      <c r="JX59" s="20"/>
      <c r="JY59" s="20"/>
      <c r="JZ59" s="21"/>
      <c r="KA59" s="20"/>
      <c r="KB59" s="20"/>
      <c r="KC59" s="20"/>
      <c r="KD59" s="20"/>
      <c r="KE59" s="20"/>
      <c r="KF59" s="20"/>
      <c r="KG59" s="21"/>
      <c r="KH59" s="20"/>
      <c r="KI59" s="20"/>
      <c r="KJ59" s="20"/>
      <c r="KK59" s="20"/>
      <c r="KL59" s="20"/>
      <c r="KM59" s="20"/>
      <c r="KN59" s="21"/>
      <c r="KO59" s="20"/>
      <c r="KP59" s="20"/>
      <c r="KQ59" s="20"/>
      <c r="KR59" s="20"/>
      <c r="KS59" s="20"/>
      <c r="KT59" s="20"/>
      <c r="KU59" s="21"/>
      <c r="KV59" s="20"/>
      <c r="KW59" s="20"/>
      <c r="KX59" s="20"/>
      <c r="KY59" s="20"/>
      <c r="KZ59" s="20"/>
      <c r="LA59" s="20"/>
      <c r="LB59" s="21"/>
      <c r="LC59" s="20"/>
      <c r="LD59" s="20"/>
      <c r="LE59" s="20"/>
      <c r="LF59" s="20"/>
      <c r="LG59" s="20"/>
      <c r="LH59" s="20"/>
      <c r="LI59" s="21"/>
      <c r="LJ59" s="20"/>
      <c r="LK59" s="20"/>
      <c r="LL59" s="20"/>
      <c r="LM59" s="20"/>
      <c r="LN59" s="20"/>
      <c r="LO59" s="20"/>
      <c r="LP59" s="21"/>
      <c r="LQ59" s="20"/>
      <c r="LR59" s="20"/>
      <c r="LS59" s="20"/>
      <c r="LT59" s="20"/>
      <c r="LU59" s="20"/>
      <c r="LV59" s="20"/>
      <c r="LW59" s="21"/>
    </row>
    <row r="60" spans="1:335" ht="12.75" customHeight="1" x14ac:dyDescent="0.25">
      <c r="A60" s="23" t="s">
        <v>243</v>
      </c>
      <c r="B60" s="20"/>
      <c r="C60" s="20"/>
      <c r="D60" s="20"/>
      <c r="E60" s="61"/>
      <c r="F60" s="20"/>
      <c r="G60" s="20"/>
      <c r="H60" s="20"/>
      <c r="I60" s="20"/>
      <c r="J60" s="20"/>
      <c r="K60" s="20"/>
      <c r="L60" s="20"/>
      <c r="M60" s="20"/>
      <c r="N60" s="20"/>
      <c r="O60" s="21"/>
      <c r="P60" s="101">
        <f>VisibleSum(P39:P58)</f>
        <v>7.5</v>
      </c>
      <c r="Q60" s="103">
        <f>P60 / P59 * 100</f>
        <v>57.692307692307686</v>
      </c>
      <c r="R60" s="63" t="str">
        <f t="shared" ref="R60:CE60" si="349">IF(SUM(R38:R58) &gt; 0, SUM(R38:R58), "")</f>
        <v/>
      </c>
      <c r="S60" s="20" t="str">
        <f t="shared" si="349"/>
        <v/>
      </c>
      <c r="T60" s="20" t="str">
        <f t="shared" si="349"/>
        <v/>
      </c>
      <c r="U60" s="20" t="str">
        <f t="shared" si="349"/>
        <v/>
      </c>
      <c r="V60" s="20" t="str">
        <f t="shared" si="349"/>
        <v/>
      </c>
      <c r="W60" s="20" t="str">
        <f t="shared" si="349"/>
        <v/>
      </c>
      <c r="X60" s="20" t="str">
        <f t="shared" si="349"/>
        <v/>
      </c>
      <c r="Y60" s="63" t="str">
        <f t="shared" si="349"/>
        <v/>
      </c>
      <c r="Z60" s="20" t="str">
        <f t="shared" si="349"/>
        <v/>
      </c>
      <c r="AA60" s="20" t="str">
        <f t="shared" si="349"/>
        <v/>
      </c>
      <c r="AB60" s="20" t="str">
        <f t="shared" si="349"/>
        <v/>
      </c>
      <c r="AC60" s="20" t="str">
        <f t="shared" si="349"/>
        <v/>
      </c>
      <c r="AD60" s="20" t="str">
        <f t="shared" si="349"/>
        <v/>
      </c>
      <c r="AE60" s="20" t="str">
        <f t="shared" si="349"/>
        <v/>
      </c>
      <c r="AF60" s="63" t="str">
        <f t="shared" si="349"/>
        <v/>
      </c>
      <c r="AG60" s="20" t="str">
        <f t="shared" si="349"/>
        <v/>
      </c>
      <c r="AH60" s="20">
        <f t="shared" si="349"/>
        <v>11</v>
      </c>
      <c r="AI60" s="20" t="str">
        <f t="shared" si="349"/>
        <v/>
      </c>
      <c r="AJ60" s="20">
        <f t="shared" si="349"/>
        <v>7</v>
      </c>
      <c r="AK60" s="20" t="str">
        <f t="shared" si="349"/>
        <v/>
      </c>
      <c r="AL60" s="20" t="str">
        <f t="shared" si="349"/>
        <v/>
      </c>
      <c r="AM60" s="63" t="str">
        <f t="shared" si="349"/>
        <v/>
      </c>
      <c r="AN60" s="20" t="str">
        <f t="shared" si="349"/>
        <v/>
      </c>
      <c r="AO60" s="20">
        <f t="shared" si="349"/>
        <v>9</v>
      </c>
      <c r="AP60" s="20" t="str">
        <f t="shared" si="349"/>
        <v/>
      </c>
      <c r="AQ60" s="20">
        <f t="shared" si="349"/>
        <v>9</v>
      </c>
      <c r="AR60" s="20" t="str">
        <f t="shared" si="349"/>
        <v/>
      </c>
      <c r="AS60" s="20" t="str">
        <f t="shared" si="349"/>
        <v/>
      </c>
      <c r="AT60" s="63" t="str">
        <f t="shared" si="349"/>
        <v/>
      </c>
      <c r="AU60" s="20" t="str">
        <f t="shared" si="349"/>
        <v/>
      </c>
      <c r="AV60" s="20">
        <f t="shared" si="349"/>
        <v>9</v>
      </c>
      <c r="AW60" s="20">
        <f t="shared" si="349"/>
        <v>6</v>
      </c>
      <c r="AX60" s="20">
        <f t="shared" si="349"/>
        <v>7</v>
      </c>
      <c r="AY60" s="20" t="str">
        <f t="shared" si="349"/>
        <v/>
      </c>
      <c r="AZ60" s="20" t="str">
        <f t="shared" si="349"/>
        <v/>
      </c>
      <c r="BA60" s="63" t="str">
        <f t="shared" si="349"/>
        <v/>
      </c>
      <c r="BB60" s="20" t="str">
        <f t="shared" si="349"/>
        <v/>
      </c>
      <c r="BC60" s="20">
        <f t="shared" si="349"/>
        <v>8</v>
      </c>
      <c r="BD60" s="20" t="str">
        <f t="shared" si="349"/>
        <v/>
      </c>
      <c r="BE60" s="20">
        <f t="shared" si="349"/>
        <v>6</v>
      </c>
      <c r="BF60" s="20" t="str">
        <f t="shared" si="349"/>
        <v/>
      </c>
      <c r="BG60" s="20" t="str">
        <f t="shared" si="349"/>
        <v/>
      </c>
      <c r="BH60" s="63" t="str">
        <f t="shared" si="349"/>
        <v/>
      </c>
      <c r="BI60" s="20" t="str">
        <f t="shared" si="349"/>
        <v/>
      </c>
      <c r="BJ60" s="20">
        <f t="shared" si="349"/>
        <v>7</v>
      </c>
      <c r="BK60" s="20" t="str">
        <f t="shared" si="349"/>
        <v/>
      </c>
      <c r="BL60" s="20">
        <f t="shared" si="349"/>
        <v>10</v>
      </c>
      <c r="BM60" s="20">
        <f t="shared" si="349"/>
        <v>10</v>
      </c>
      <c r="BN60" s="20" t="str">
        <f t="shared" si="349"/>
        <v/>
      </c>
      <c r="BO60" s="21">
        <f t="shared" si="349"/>
        <v>4</v>
      </c>
      <c r="BP60" s="20" t="str">
        <f t="shared" si="349"/>
        <v/>
      </c>
      <c r="BQ60" s="20" t="str">
        <f t="shared" si="349"/>
        <v/>
      </c>
      <c r="BR60" s="20" t="str">
        <f t="shared" si="349"/>
        <v/>
      </c>
      <c r="BS60" s="20" t="str">
        <f t="shared" si="349"/>
        <v/>
      </c>
      <c r="BT60" s="20" t="str">
        <f t="shared" si="349"/>
        <v/>
      </c>
      <c r="BU60" s="20" t="str">
        <f t="shared" si="349"/>
        <v/>
      </c>
      <c r="BV60" s="20"/>
      <c r="BW60" s="63" t="str">
        <f t="shared" si="349"/>
        <v/>
      </c>
      <c r="BX60" s="20" t="str">
        <f t="shared" si="349"/>
        <v/>
      </c>
      <c r="BY60" s="20" t="str">
        <f t="shared" si="349"/>
        <v/>
      </c>
      <c r="BZ60" s="20" t="str">
        <f t="shared" si="349"/>
        <v/>
      </c>
      <c r="CA60" s="20" t="str">
        <f t="shared" si="349"/>
        <v/>
      </c>
      <c r="CB60" s="20" t="str">
        <f t="shared" si="349"/>
        <v/>
      </c>
      <c r="CC60" s="20" t="str">
        <f t="shared" si="349"/>
        <v/>
      </c>
      <c r="CD60" s="20"/>
      <c r="CE60" s="63" t="str">
        <f t="shared" si="349"/>
        <v/>
      </c>
      <c r="CF60" s="20" t="str">
        <f t="shared" ref="CF60:EQ60" si="350">IF(SUM(CF38:CF58) &gt; 0, SUM(CF38:CF58), "")</f>
        <v/>
      </c>
      <c r="CG60" s="20" t="str">
        <f t="shared" si="350"/>
        <v/>
      </c>
      <c r="CH60" s="20" t="str">
        <f t="shared" si="350"/>
        <v/>
      </c>
      <c r="CI60" s="20" t="str">
        <f t="shared" si="350"/>
        <v/>
      </c>
      <c r="CJ60" s="20" t="str">
        <f t="shared" si="350"/>
        <v/>
      </c>
      <c r="CK60" s="20" t="str">
        <f t="shared" si="350"/>
        <v/>
      </c>
      <c r="CL60" s="63" t="str">
        <f t="shared" si="350"/>
        <v/>
      </c>
      <c r="CM60" s="20" t="str">
        <f t="shared" si="350"/>
        <v/>
      </c>
      <c r="CN60" s="20" t="str">
        <f t="shared" si="350"/>
        <v/>
      </c>
      <c r="CO60" s="20" t="str">
        <f t="shared" si="350"/>
        <v/>
      </c>
      <c r="CP60" s="20" t="str">
        <f t="shared" si="350"/>
        <v/>
      </c>
      <c r="CQ60" s="20" t="str">
        <f t="shared" si="350"/>
        <v/>
      </c>
      <c r="CR60" s="20" t="str">
        <f t="shared" si="350"/>
        <v/>
      </c>
      <c r="CS60" s="63" t="str">
        <f t="shared" si="350"/>
        <v/>
      </c>
      <c r="CT60" s="20" t="str">
        <f t="shared" si="350"/>
        <v/>
      </c>
      <c r="CU60" s="20" t="str">
        <f t="shared" si="350"/>
        <v/>
      </c>
      <c r="CV60" s="20" t="str">
        <f t="shared" si="350"/>
        <v/>
      </c>
      <c r="CW60" s="20" t="str">
        <f t="shared" si="350"/>
        <v/>
      </c>
      <c r="CX60" s="20" t="str">
        <f t="shared" si="350"/>
        <v/>
      </c>
      <c r="CY60" s="20" t="str">
        <f t="shared" si="350"/>
        <v/>
      </c>
      <c r="CZ60" s="63" t="str">
        <f t="shared" si="350"/>
        <v/>
      </c>
      <c r="DA60" s="20" t="str">
        <f t="shared" si="350"/>
        <v/>
      </c>
      <c r="DB60" s="20" t="str">
        <f t="shared" si="350"/>
        <v/>
      </c>
      <c r="DC60" s="20" t="str">
        <f t="shared" si="350"/>
        <v/>
      </c>
      <c r="DD60" s="20" t="str">
        <f t="shared" si="350"/>
        <v/>
      </c>
      <c r="DE60" s="20" t="str">
        <f t="shared" si="350"/>
        <v/>
      </c>
      <c r="DF60" s="20" t="str">
        <f t="shared" si="350"/>
        <v/>
      </c>
      <c r="DG60" s="63" t="str">
        <f t="shared" si="350"/>
        <v/>
      </c>
      <c r="DH60" s="20" t="str">
        <f t="shared" si="350"/>
        <v/>
      </c>
      <c r="DI60" s="20" t="str">
        <f t="shared" si="350"/>
        <v/>
      </c>
      <c r="DJ60" s="20" t="str">
        <f t="shared" si="350"/>
        <v/>
      </c>
      <c r="DK60" s="20" t="str">
        <f t="shared" si="350"/>
        <v/>
      </c>
      <c r="DL60" s="20" t="str">
        <f t="shared" si="350"/>
        <v/>
      </c>
      <c r="DM60" s="20" t="str">
        <f t="shared" si="350"/>
        <v/>
      </c>
      <c r="DN60" s="63" t="str">
        <f t="shared" si="350"/>
        <v/>
      </c>
      <c r="DO60" s="20" t="str">
        <f t="shared" si="350"/>
        <v/>
      </c>
      <c r="DP60" s="20" t="str">
        <f t="shared" si="350"/>
        <v/>
      </c>
      <c r="DQ60" s="20" t="str">
        <f t="shared" si="350"/>
        <v/>
      </c>
      <c r="DR60" s="20" t="str">
        <f t="shared" si="350"/>
        <v/>
      </c>
      <c r="DS60" s="20" t="str">
        <f t="shared" si="350"/>
        <v/>
      </c>
      <c r="DT60" s="20" t="str">
        <f t="shared" si="350"/>
        <v/>
      </c>
      <c r="DU60" s="63" t="str">
        <f t="shared" si="350"/>
        <v/>
      </c>
      <c r="DV60" s="20" t="str">
        <f t="shared" si="350"/>
        <v/>
      </c>
      <c r="DW60" s="20" t="str">
        <f t="shared" si="350"/>
        <v/>
      </c>
      <c r="DX60" s="20" t="str">
        <f t="shared" si="350"/>
        <v/>
      </c>
      <c r="DY60" s="20" t="str">
        <f t="shared" si="350"/>
        <v/>
      </c>
      <c r="DZ60" s="20" t="str">
        <f t="shared" si="350"/>
        <v/>
      </c>
      <c r="EA60" s="20" t="str">
        <f t="shared" si="350"/>
        <v/>
      </c>
      <c r="EB60" s="63" t="str">
        <f t="shared" si="350"/>
        <v/>
      </c>
      <c r="EC60" s="20" t="str">
        <f t="shared" si="350"/>
        <v/>
      </c>
      <c r="ED60" s="20" t="str">
        <f t="shared" si="350"/>
        <v/>
      </c>
      <c r="EE60" s="20" t="str">
        <f t="shared" si="350"/>
        <v/>
      </c>
      <c r="EF60" s="20" t="str">
        <f t="shared" si="350"/>
        <v/>
      </c>
      <c r="EG60" s="20" t="str">
        <f t="shared" si="350"/>
        <v/>
      </c>
      <c r="EH60" s="20" t="str">
        <f t="shared" si="350"/>
        <v/>
      </c>
      <c r="EI60" s="63" t="str">
        <f t="shared" si="350"/>
        <v/>
      </c>
      <c r="EJ60" s="20" t="str">
        <f t="shared" si="350"/>
        <v/>
      </c>
      <c r="EK60" s="20" t="str">
        <f t="shared" si="350"/>
        <v/>
      </c>
      <c r="EL60" s="20" t="str">
        <f t="shared" si="350"/>
        <v/>
      </c>
      <c r="EM60" s="20" t="str">
        <f t="shared" si="350"/>
        <v/>
      </c>
      <c r="EN60" s="20" t="str">
        <f t="shared" si="350"/>
        <v/>
      </c>
      <c r="EO60" s="20" t="str">
        <f t="shared" si="350"/>
        <v/>
      </c>
      <c r="EP60" s="63" t="str">
        <f t="shared" si="350"/>
        <v/>
      </c>
      <c r="EQ60" s="20" t="str">
        <f t="shared" si="350"/>
        <v/>
      </c>
      <c r="ER60" s="20" t="str">
        <f t="shared" ref="ER60:HC60" si="351">IF(SUM(ER38:ER58) &gt; 0, SUM(ER38:ER58), "")</f>
        <v/>
      </c>
      <c r="ES60" s="20" t="str">
        <f t="shared" si="351"/>
        <v/>
      </c>
      <c r="ET60" s="20" t="str">
        <f t="shared" si="351"/>
        <v/>
      </c>
      <c r="EU60" s="20" t="str">
        <f t="shared" si="351"/>
        <v/>
      </c>
      <c r="EV60" s="20" t="str">
        <f t="shared" si="351"/>
        <v/>
      </c>
      <c r="EW60" s="63" t="str">
        <f t="shared" si="351"/>
        <v/>
      </c>
      <c r="EX60" s="20" t="str">
        <f t="shared" si="351"/>
        <v/>
      </c>
      <c r="EY60" s="20" t="str">
        <f t="shared" si="351"/>
        <v/>
      </c>
      <c r="EZ60" s="20" t="str">
        <f t="shared" si="351"/>
        <v/>
      </c>
      <c r="FA60" s="20" t="str">
        <f t="shared" si="351"/>
        <v/>
      </c>
      <c r="FB60" s="20" t="str">
        <f t="shared" si="351"/>
        <v/>
      </c>
      <c r="FC60" s="20" t="str">
        <f t="shared" si="351"/>
        <v/>
      </c>
      <c r="FD60" s="63" t="str">
        <f t="shared" si="351"/>
        <v/>
      </c>
      <c r="FE60" s="20" t="str">
        <f t="shared" si="351"/>
        <v/>
      </c>
      <c r="FF60" s="20" t="str">
        <f t="shared" si="351"/>
        <v/>
      </c>
      <c r="FG60" s="20" t="str">
        <f t="shared" si="351"/>
        <v/>
      </c>
      <c r="FH60" s="20" t="str">
        <f t="shared" si="351"/>
        <v/>
      </c>
      <c r="FI60" s="20" t="str">
        <f t="shared" si="351"/>
        <v/>
      </c>
      <c r="FJ60" s="20" t="str">
        <f t="shared" si="351"/>
        <v/>
      </c>
      <c r="FK60" s="63" t="str">
        <f t="shared" si="351"/>
        <v/>
      </c>
      <c r="FL60" s="20" t="str">
        <f t="shared" si="351"/>
        <v/>
      </c>
      <c r="FM60" s="20" t="str">
        <f t="shared" si="351"/>
        <v/>
      </c>
      <c r="FN60" s="20" t="str">
        <f t="shared" si="351"/>
        <v/>
      </c>
      <c r="FO60" s="20" t="str">
        <f t="shared" si="351"/>
        <v/>
      </c>
      <c r="FP60" s="20" t="str">
        <f t="shared" si="351"/>
        <v/>
      </c>
      <c r="FQ60" s="20" t="str">
        <f t="shared" si="351"/>
        <v/>
      </c>
      <c r="FR60" s="63" t="str">
        <f t="shared" si="351"/>
        <v/>
      </c>
      <c r="FS60" s="20" t="str">
        <f t="shared" si="351"/>
        <v/>
      </c>
      <c r="FT60" s="20" t="str">
        <f t="shared" si="351"/>
        <v/>
      </c>
      <c r="FU60" s="20" t="str">
        <f t="shared" si="351"/>
        <v/>
      </c>
      <c r="FV60" s="20" t="str">
        <f t="shared" si="351"/>
        <v/>
      </c>
      <c r="FW60" s="20" t="str">
        <f t="shared" si="351"/>
        <v/>
      </c>
      <c r="FX60" s="20" t="str">
        <f t="shared" si="351"/>
        <v/>
      </c>
      <c r="FY60" s="63" t="str">
        <f t="shared" si="351"/>
        <v/>
      </c>
      <c r="FZ60" s="20" t="str">
        <f t="shared" si="351"/>
        <v/>
      </c>
      <c r="GA60" s="20" t="str">
        <f t="shared" si="351"/>
        <v/>
      </c>
      <c r="GB60" s="20" t="str">
        <f t="shared" si="351"/>
        <v/>
      </c>
      <c r="GC60" s="20" t="str">
        <f t="shared" si="351"/>
        <v/>
      </c>
      <c r="GD60" s="20" t="str">
        <f t="shared" si="351"/>
        <v/>
      </c>
      <c r="GE60" s="20" t="str">
        <f t="shared" si="351"/>
        <v/>
      </c>
      <c r="GF60" s="63" t="str">
        <f t="shared" si="351"/>
        <v/>
      </c>
      <c r="GG60" s="20" t="str">
        <f t="shared" si="351"/>
        <v/>
      </c>
      <c r="GH60" s="20" t="str">
        <f t="shared" si="351"/>
        <v/>
      </c>
      <c r="GI60" s="20" t="str">
        <f t="shared" si="351"/>
        <v/>
      </c>
      <c r="GJ60" s="20" t="str">
        <f t="shared" si="351"/>
        <v/>
      </c>
      <c r="GK60" s="20" t="str">
        <f t="shared" si="351"/>
        <v/>
      </c>
      <c r="GL60" s="20" t="str">
        <f t="shared" si="351"/>
        <v/>
      </c>
      <c r="GM60" s="63" t="str">
        <f t="shared" si="351"/>
        <v/>
      </c>
      <c r="GN60" s="20" t="str">
        <f t="shared" si="351"/>
        <v/>
      </c>
      <c r="GO60" s="20" t="str">
        <f t="shared" si="351"/>
        <v/>
      </c>
      <c r="GP60" s="20" t="str">
        <f t="shared" si="351"/>
        <v/>
      </c>
      <c r="GQ60" s="20" t="str">
        <f t="shared" si="351"/>
        <v/>
      </c>
      <c r="GR60" s="20" t="str">
        <f t="shared" si="351"/>
        <v/>
      </c>
      <c r="GS60" s="20" t="str">
        <f t="shared" si="351"/>
        <v/>
      </c>
      <c r="GT60" s="63" t="str">
        <f t="shared" si="351"/>
        <v/>
      </c>
      <c r="GU60" s="20" t="str">
        <f t="shared" si="351"/>
        <v/>
      </c>
      <c r="GV60" s="20" t="str">
        <f t="shared" si="351"/>
        <v/>
      </c>
      <c r="GW60" s="20" t="str">
        <f t="shared" si="351"/>
        <v/>
      </c>
      <c r="GX60" s="20" t="str">
        <f t="shared" si="351"/>
        <v/>
      </c>
      <c r="GY60" s="20" t="str">
        <f t="shared" si="351"/>
        <v/>
      </c>
      <c r="GZ60" s="20" t="str">
        <f t="shared" si="351"/>
        <v/>
      </c>
      <c r="HA60" s="63" t="str">
        <f t="shared" si="351"/>
        <v/>
      </c>
      <c r="HB60" s="20" t="str">
        <f t="shared" si="351"/>
        <v/>
      </c>
      <c r="HC60" s="20" t="str">
        <f t="shared" si="351"/>
        <v/>
      </c>
      <c r="HD60" s="20" t="str">
        <f t="shared" ref="HD60:JO60" si="352">IF(SUM(HD38:HD58) &gt; 0, SUM(HD38:HD58), "")</f>
        <v/>
      </c>
      <c r="HE60" s="20" t="str">
        <f t="shared" si="352"/>
        <v/>
      </c>
      <c r="HF60" s="20" t="str">
        <f t="shared" si="352"/>
        <v/>
      </c>
      <c r="HG60" s="20" t="str">
        <f t="shared" si="352"/>
        <v/>
      </c>
      <c r="HH60" s="63" t="str">
        <f t="shared" si="352"/>
        <v/>
      </c>
      <c r="HI60" s="20" t="str">
        <f t="shared" si="352"/>
        <v/>
      </c>
      <c r="HJ60" s="20" t="str">
        <f t="shared" si="352"/>
        <v/>
      </c>
      <c r="HK60" s="20" t="str">
        <f t="shared" si="352"/>
        <v/>
      </c>
      <c r="HL60" s="20" t="str">
        <f t="shared" si="352"/>
        <v/>
      </c>
      <c r="HM60" s="20" t="str">
        <f t="shared" si="352"/>
        <v/>
      </c>
      <c r="HN60" s="20" t="str">
        <f t="shared" si="352"/>
        <v/>
      </c>
      <c r="HO60" s="63" t="str">
        <f t="shared" si="352"/>
        <v/>
      </c>
      <c r="HP60" s="20" t="str">
        <f t="shared" si="352"/>
        <v/>
      </c>
      <c r="HQ60" s="20" t="str">
        <f t="shared" si="352"/>
        <v/>
      </c>
      <c r="HR60" s="20" t="str">
        <f t="shared" si="352"/>
        <v/>
      </c>
      <c r="HS60" s="20" t="str">
        <f t="shared" si="352"/>
        <v/>
      </c>
      <c r="HT60" s="20" t="str">
        <f t="shared" si="352"/>
        <v/>
      </c>
      <c r="HU60" s="20" t="str">
        <f t="shared" si="352"/>
        <v/>
      </c>
      <c r="HV60" s="63" t="str">
        <f t="shared" si="352"/>
        <v/>
      </c>
      <c r="HW60" s="20" t="str">
        <f t="shared" si="352"/>
        <v/>
      </c>
      <c r="HX60" s="20" t="str">
        <f t="shared" si="352"/>
        <v/>
      </c>
      <c r="HY60" s="20" t="str">
        <f t="shared" si="352"/>
        <v/>
      </c>
      <c r="HZ60" s="20" t="str">
        <f t="shared" si="352"/>
        <v/>
      </c>
      <c r="IA60" s="20" t="str">
        <f t="shared" si="352"/>
        <v/>
      </c>
      <c r="IB60" s="20" t="str">
        <f t="shared" si="352"/>
        <v/>
      </c>
      <c r="IC60" s="63" t="str">
        <f t="shared" si="352"/>
        <v/>
      </c>
      <c r="ID60" s="20" t="str">
        <f t="shared" si="352"/>
        <v/>
      </c>
      <c r="IE60" s="20" t="str">
        <f t="shared" si="352"/>
        <v/>
      </c>
      <c r="IF60" s="20" t="str">
        <f t="shared" si="352"/>
        <v/>
      </c>
      <c r="IG60" s="20" t="str">
        <f t="shared" si="352"/>
        <v/>
      </c>
      <c r="IH60" s="20" t="str">
        <f t="shared" si="352"/>
        <v/>
      </c>
      <c r="II60" s="20" t="str">
        <f t="shared" si="352"/>
        <v/>
      </c>
      <c r="IJ60" s="63" t="str">
        <f t="shared" si="352"/>
        <v/>
      </c>
      <c r="IK60" s="20" t="str">
        <f t="shared" si="352"/>
        <v/>
      </c>
      <c r="IL60" s="20" t="str">
        <f t="shared" si="352"/>
        <v/>
      </c>
      <c r="IM60" s="20" t="str">
        <f t="shared" si="352"/>
        <v/>
      </c>
      <c r="IN60" s="20" t="str">
        <f t="shared" si="352"/>
        <v/>
      </c>
      <c r="IO60" s="20" t="str">
        <f t="shared" si="352"/>
        <v/>
      </c>
      <c r="IP60" s="20" t="str">
        <f t="shared" si="352"/>
        <v/>
      </c>
      <c r="IQ60" s="63" t="str">
        <f t="shared" si="352"/>
        <v/>
      </c>
      <c r="IR60" s="20" t="str">
        <f t="shared" si="352"/>
        <v/>
      </c>
      <c r="IS60" s="20" t="str">
        <f t="shared" si="352"/>
        <v/>
      </c>
      <c r="IT60" s="20" t="str">
        <f t="shared" si="352"/>
        <v/>
      </c>
      <c r="IU60" s="20" t="str">
        <f t="shared" si="352"/>
        <v/>
      </c>
      <c r="IV60" s="20" t="str">
        <f t="shared" si="352"/>
        <v/>
      </c>
      <c r="IW60" s="20" t="str">
        <f t="shared" si="352"/>
        <v/>
      </c>
      <c r="IX60" s="63" t="str">
        <f t="shared" si="352"/>
        <v/>
      </c>
      <c r="IY60" s="20" t="str">
        <f t="shared" si="352"/>
        <v/>
      </c>
      <c r="IZ60" s="20" t="str">
        <f t="shared" si="352"/>
        <v/>
      </c>
      <c r="JA60" s="20" t="str">
        <f t="shared" si="352"/>
        <v/>
      </c>
      <c r="JB60" s="20" t="str">
        <f t="shared" si="352"/>
        <v/>
      </c>
      <c r="JC60" s="20" t="str">
        <f t="shared" si="352"/>
        <v/>
      </c>
      <c r="JD60" s="20" t="str">
        <f t="shared" si="352"/>
        <v/>
      </c>
      <c r="JE60" s="63" t="str">
        <f t="shared" si="352"/>
        <v/>
      </c>
      <c r="JF60" s="20" t="str">
        <f t="shared" si="352"/>
        <v/>
      </c>
      <c r="JG60" s="20" t="str">
        <f t="shared" si="352"/>
        <v/>
      </c>
      <c r="JH60" s="20" t="str">
        <f t="shared" si="352"/>
        <v/>
      </c>
      <c r="JI60" s="20" t="str">
        <f t="shared" si="352"/>
        <v/>
      </c>
      <c r="JJ60" s="20" t="str">
        <f t="shared" si="352"/>
        <v/>
      </c>
      <c r="JK60" s="20" t="str">
        <f t="shared" si="352"/>
        <v/>
      </c>
      <c r="JL60" s="63" t="str">
        <f t="shared" si="352"/>
        <v/>
      </c>
      <c r="JM60" s="20" t="str">
        <f t="shared" si="352"/>
        <v/>
      </c>
      <c r="JN60" s="20" t="str">
        <f t="shared" si="352"/>
        <v/>
      </c>
      <c r="JO60" s="20" t="str">
        <f t="shared" si="352"/>
        <v/>
      </c>
      <c r="JP60" s="20" t="str">
        <f t="shared" ref="JP60:LW60" si="353">IF(SUM(JP38:JP58) &gt; 0, SUM(JP38:JP58), "")</f>
        <v/>
      </c>
      <c r="JQ60" s="20" t="str">
        <f t="shared" si="353"/>
        <v/>
      </c>
      <c r="JR60" s="20" t="str">
        <f t="shared" si="353"/>
        <v/>
      </c>
      <c r="JS60" s="63" t="str">
        <f t="shared" si="353"/>
        <v/>
      </c>
      <c r="JT60" s="20" t="str">
        <f t="shared" si="353"/>
        <v/>
      </c>
      <c r="JU60" s="20" t="str">
        <f t="shared" si="353"/>
        <v/>
      </c>
      <c r="JV60" s="20" t="str">
        <f t="shared" si="353"/>
        <v/>
      </c>
      <c r="JW60" s="20" t="str">
        <f t="shared" si="353"/>
        <v/>
      </c>
      <c r="JX60" s="20" t="str">
        <f t="shared" si="353"/>
        <v/>
      </c>
      <c r="JY60" s="20" t="str">
        <f t="shared" si="353"/>
        <v/>
      </c>
      <c r="JZ60" s="63" t="str">
        <f t="shared" si="353"/>
        <v/>
      </c>
      <c r="KA60" s="20" t="str">
        <f t="shared" si="353"/>
        <v/>
      </c>
      <c r="KB60" s="20" t="str">
        <f t="shared" si="353"/>
        <v/>
      </c>
      <c r="KC60" s="20" t="str">
        <f t="shared" si="353"/>
        <v/>
      </c>
      <c r="KD60" s="20" t="str">
        <f t="shared" si="353"/>
        <v/>
      </c>
      <c r="KE60" s="20" t="str">
        <f t="shared" si="353"/>
        <v/>
      </c>
      <c r="KF60" s="20" t="str">
        <f t="shared" si="353"/>
        <v/>
      </c>
      <c r="KG60" s="63" t="str">
        <f t="shared" si="353"/>
        <v/>
      </c>
      <c r="KH60" s="20" t="str">
        <f t="shared" si="353"/>
        <v/>
      </c>
      <c r="KI60" s="20" t="str">
        <f t="shared" si="353"/>
        <v/>
      </c>
      <c r="KJ60" s="20" t="str">
        <f t="shared" si="353"/>
        <v/>
      </c>
      <c r="KK60" s="20" t="str">
        <f t="shared" si="353"/>
        <v/>
      </c>
      <c r="KL60" s="20" t="str">
        <f t="shared" si="353"/>
        <v/>
      </c>
      <c r="KM60" s="20" t="str">
        <f t="shared" si="353"/>
        <v/>
      </c>
      <c r="KN60" s="63" t="str">
        <f t="shared" si="353"/>
        <v/>
      </c>
      <c r="KO60" s="20" t="str">
        <f t="shared" si="353"/>
        <v/>
      </c>
      <c r="KP60" s="20" t="str">
        <f t="shared" si="353"/>
        <v/>
      </c>
      <c r="KQ60" s="20" t="str">
        <f t="shared" si="353"/>
        <v/>
      </c>
      <c r="KR60" s="20" t="str">
        <f t="shared" si="353"/>
        <v/>
      </c>
      <c r="KS60" s="20" t="str">
        <f t="shared" si="353"/>
        <v/>
      </c>
      <c r="KT60" s="20" t="str">
        <f t="shared" si="353"/>
        <v/>
      </c>
      <c r="KU60" s="63" t="str">
        <f t="shared" si="353"/>
        <v/>
      </c>
      <c r="KV60" s="20" t="str">
        <f t="shared" si="353"/>
        <v/>
      </c>
      <c r="KW60" s="20" t="str">
        <f t="shared" si="353"/>
        <v/>
      </c>
      <c r="KX60" s="20" t="str">
        <f t="shared" si="353"/>
        <v/>
      </c>
      <c r="KY60" s="20" t="str">
        <f t="shared" si="353"/>
        <v/>
      </c>
      <c r="KZ60" s="20" t="str">
        <f t="shared" si="353"/>
        <v/>
      </c>
      <c r="LA60" s="20" t="str">
        <f t="shared" si="353"/>
        <v/>
      </c>
      <c r="LB60" s="63" t="str">
        <f t="shared" si="353"/>
        <v/>
      </c>
      <c r="LC60" s="20" t="str">
        <f t="shared" si="353"/>
        <v/>
      </c>
      <c r="LD60" s="20" t="str">
        <f t="shared" si="353"/>
        <v/>
      </c>
      <c r="LE60" s="20" t="str">
        <f t="shared" si="353"/>
        <v/>
      </c>
      <c r="LF60" s="20" t="str">
        <f t="shared" si="353"/>
        <v/>
      </c>
      <c r="LG60" s="20" t="str">
        <f t="shared" si="353"/>
        <v/>
      </c>
      <c r="LH60" s="20" t="str">
        <f t="shared" si="353"/>
        <v/>
      </c>
      <c r="LI60" s="63" t="str">
        <f t="shared" si="353"/>
        <v/>
      </c>
      <c r="LJ60" s="20" t="str">
        <f t="shared" si="353"/>
        <v/>
      </c>
      <c r="LK60" s="20" t="str">
        <f t="shared" si="353"/>
        <v/>
      </c>
      <c r="LL60" s="20" t="str">
        <f t="shared" si="353"/>
        <v/>
      </c>
      <c r="LM60" s="20" t="str">
        <f t="shared" si="353"/>
        <v/>
      </c>
      <c r="LN60" s="20" t="str">
        <f t="shared" si="353"/>
        <v/>
      </c>
      <c r="LO60" s="20" t="str">
        <f t="shared" si="353"/>
        <v/>
      </c>
      <c r="LP60" s="63" t="str">
        <f t="shared" si="353"/>
        <v/>
      </c>
      <c r="LQ60" s="20" t="str">
        <f t="shared" si="353"/>
        <v/>
      </c>
      <c r="LR60" s="20" t="str">
        <f t="shared" si="353"/>
        <v/>
      </c>
      <c r="LS60" s="20" t="str">
        <f t="shared" si="353"/>
        <v/>
      </c>
      <c r="LT60" s="20" t="str">
        <f t="shared" si="353"/>
        <v/>
      </c>
      <c r="LU60" s="20" t="str">
        <f t="shared" si="353"/>
        <v/>
      </c>
      <c r="LV60" s="20" t="str">
        <f t="shared" si="353"/>
        <v/>
      </c>
      <c r="LW60" s="63" t="str">
        <f t="shared" si="353"/>
        <v/>
      </c>
    </row>
    <row r="61" spans="1:335" ht="74.25" hidden="1" customHeight="1" x14ac:dyDescent="0.25">
      <c r="A61" s="23"/>
      <c r="B61" s="20"/>
      <c r="C61" s="20"/>
      <c r="D61" s="20"/>
      <c r="E61" s="61"/>
      <c r="F61" s="20"/>
      <c r="G61" s="20"/>
      <c r="H61" s="20"/>
      <c r="I61" s="20"/>
      <c r="J61" s="20"/>
      <c r="K61" s="20"/>
      <c r="L61" s="20"/>
      <c r="M61" s="20"/>
      <c r="N61" s="20"/>
      <c r="O61" s="21"/>
      <c r="P61" s="62"/>
      <c r="Q61" s="108"/>
      <c r="R61" s="50">
        <f t="shared" ref="R61:CC61" si="354">R1</f>
        <v>43975</v>
      </c>
      <c r="S61" s="50">
        <f t="shared" si="354"/>
        <v>43976</v>
      </c>
      <c r="T61" s="50">
        <f t="shared" si="354"/>
        <v>43977</v>
      </c>
      <c r="U61" s="50">
        <f t="shared" si="354"/>
        <v>43978</v>
      </c>
      <c r="V61" s="50">
        <f t="shared" si="354"/>
        <v>43979</v>
      </c>
      <c r="W61" s="50">
        <f t="shared" si="354"/>
        <v>43980</v>
      </c>
      <c r="X61" s="50">
        <f t="shared" si="354"/>
        <v>43981</v>
      </c>
      <c r="Y61" s="50">
        <f t="shared" si="354"/>
        <v>43982</v>
      </c>
      <c r="Z61" s="50">
        <f t="shared" si="354"/>
        <v>43983</v>
      </c>
      <c r="AA61" s="50">
        <f t="shared" si="354"/>
        <v>43984</v>
      </c>
      <c r="AB61" s="50">
        <f t="shared" si="354"/>
        <v>43985</v>
      </c>
      <c r="AC61" s="50">
        <f t="shared" si="354"/>
        <v>43986</v>
      </c>
      <c r="AD61" s="50">
        <f t="shared" si="354"/>
        <v>43987</v>
      </c>
      <c r="AE61" s="50">
        <f t="shared" si="354"/>
        <v>43988</v>
      </c>
      <c r="AF61" s="50">
        <f t="shared" si="354"/>
        <v>43989</v>
      </c>
      <c r="AG61" s="50">
        <f t="shared" si="354"/>
        <v>43990</v>
      </c>
      <c r="AH61" s="50">
        <f t="shared" si="354"/>
        <v>43991</v>
      </c>
      <c r="AI61" s="50">
        <f t="shared" si="354"/>
        <v>43992</v>
      </c>
      <c r="AJ61" s="50">
        <f t="shared" si="354"/>
        <v>43993</v>
      </c>
      <c r="AK61" s="50">
        <f t="shared" si="354"/>
        <v>43994</v>
      </c>
      <c r="AL61" s="50">
        <f t="shared" si="354"/>
        <v>43995</v>
      </c>
      <c r="AM61" s="50">
        <f t="shared" si="354"/>
        <v>43996</v>
      </c>
      <c r="AN61" s="50">
        <f t="shared" si="354"/>
        <v>43997</v>
      </c>
      <c r="AO61" s="50">
        <f t="shared" si="354"/>
        <v>43998</v>
      </c>
      <c r="AP61" s="50">
        <f t="shared" si="354"/>
        <v>43999</v>
      </c>
      <c r="AQ61" s="50">
        <f t="shared" si="354"/>
        <v>44000</v>
      </c>
      <c r="AR61" s="50">
        <f t="shared" si="354"/>
        <v>44001</v>
      </c>
      <c r="AS61" s="50">
        <f t="shared" si="354"/>
        <v>44002</v>
      </c>
      <c r="AT61" s="50">
        <f t="shared" si="354"/>
        <v>44003</v>
      </c>
      <c r="AU61" s="50">
        <f t="shared" si="354"/>
        <v>44004</v>
      </c>
      <c r="AV61" s="50">
        <f t="shared" si="354"/>
        <v>44005</v>
      </c>
      <c r="AW61" s="50">
        <f t="shared" si="354"/>
        <v>44006</v>
      </c>
      <c r="AX61" s="50">
        <f t="shared" si="354"/>
        <v>44007</v>
      </c>
      <c r="AY61" s="50">
        <f t="shared" si="354"/>
        <v>44008</v>
      </c>
      <c r="AZ61" s="50">
        <f t="shared" si="354"/>
        <v>44009</v>
      </c>
      <c r="BA61" s="50">
        <f t="shared" si="354"/>
        <v>44010</v>
      </c>
      <c r="BB61" s="50">
        <f t="shared" si="354"/>
        <v>44011</v>
      </c>
      <c r="BC61" s="50">
        <f t="shared" si="354"/>
        <v>44012</v>
      </c>
      <c r="BD61" s="50">
        <f t="shared" si="354"/>
        <v>44013</v>
      </c>
      <c r="BE61" s="50">
        <f t="shared" si="354"/>
        <v>44014</v>
      </c>
      <c r="BF61" s="50">
        <f t="shared" si="354"/>
        <v>44015</v>
      </c>
      <c r="BG61" s="50">
        <f t="shared" si="354"/>
        <v>44016</v>
      </c>
      <c r="BH61" s="50">
        <f t="shared" si="354"/>
        <v>44017</v>
      </c>
      <c r="BI61" s="50">
        <f t="shared" si="354"/>
        <v>44018</v>
      </c>
      <c r="BJ61" s="50">
        <f t="shared" si="354"/>
        <v>44019</v>
      </c>
      <c r="BK61" s="50">
        <f t="shared" si="354"/>
        <v>44020</v>
      </c>
      <c r="BL61" s="50">
        <f t="shared" si="354"/>
        <v>44021</v>
      </c>
      <c r="BM61" s="50">
        <f t="shared" si="354"/>
        <v>44022</v>
      </c>
      <c r="BN61" s="50">
        <f t="shared" si="354"/>
        <v>44023</v>
      </c>
      <c r="BO61" s="50">
        <f t="shared" si="354"/>
        <v>44024</v>
      </c>
      <c r="BP61" s="50">
        <f t="shared" si="354"/>
        <v>44025</v>
      </c>
      <c r="BQ61" s="50">
        <f t="shared" si="354"/>
        <v>44026</v>
      </c>
      <c r="BR61" s="50">
        <f t="shared" si="354"/>
        <v>44027</v>
      </c>
      <c r="BS61" s="50">
        <f t="shared" si="354"/>
        <v>44028</v>
      </c>
      <c r="BT61" s="50">
        <f t="shared" si="354"/>
        <v>44029</v>
      </c>
      <c r="BU61" s="50">
        <f t="shared" si="354"/>
        <v>44030</v>
      </c>
      <c r="BV61" s="50">
        <f t="shared" si="354"/>
        <v>44031</v>
      </c>
      <c r="BW61" s="50"/>
      <c r="BX61" s="50">
        <f t="shared" si="354"/>
        <v>44032</v>
      </c>
      <c r="BY61" s="50">
        <f t="shared" si="354"/>
        <v>44033</v>
      </c>
      <c r="BZ61" s="50">
        <f t="shared" si="354"/>
        <v>44034</v>
      </c>
      <c r="CA61" s="50">
        <f t="shared" si="354"/>
        <v>44035</v>
      </c>
      <c r="CB61" s="50">
        <f t="shared" si="354"/>
        <v>44036</v>
      </c>
      <c r="CC61" s="50">
        <f t="shared" si="354"/>
        <v>44037</v>
      </c>
      <c r="CD61" s="50">
        <f t="shared" ref="CD61" si="355">CD1</f>
        <v>44038</v>
      </c>
      <c r="CE61" s="50"/>
      <c r="CF61" s="50">
        <f t="shared" ref="CF61:EQ61" si="356">CF1</f>
        <v>44039</v>
      </c>
      <c r="CG61" s="50">
        <f t="shared" si="356"/>
        <v>44040</v>
      </c>
      <c r="CH61" s="50">
        <f t="shared" si="356"/>
        <v>44041</v>
      </c>
      <c r="CI61" s="50">
        <f t="shared" si="356"/>
        <v>44042</v>
      </c>
      <c r="CJ61" s="50">
        <f t="shared" si="356"/>
        <v>44043</v>
      </c>
      <c r="CK61" s="50">
        <f t="shared" si="356"/>
        <v>44044</v>
      </c>
      <c r="CL61" s="50">
        <f t="shared" si="356"/>
        <v>44045</v>
      </c>
      <c r="CM61" s="50">
        <f t="shared" si="356"/>
        <v>44046</v>
      </c>
      <c r="CN61" s="50">
        <f t="shared" si="356"/>
        <v>44047</v>
      </c>
      <c r="CO61" s="50">
        <f t="shared" si="356"/>
        <v>44048</v>
      </c>
      <c r="CP61" s="50">
        <f t="shared" si="356"/>
        <v>44049</v>
      </c>
      <c r="CQ61" s="50">
        <f t="shared" si="356"/>
        <v>44050</v>
      </c>
      <c r="CR61" s="50">
        <f t="shared" si="356"/>
        <v>44051</v>
      </c>
      <c r="CS61" s="50">
        <f t="shared" si="356"/>
        <v>44052</v>
      </c>
      <c r="CT61" s="50">
        <f t="shared" si="356"/>
        <v>44053</v>
      </c>
      <c r="CU61" s="50">
        <f t="shared" si="356"/>
        <v>44054</v>
      </c>
      <c r="CV61" s="50">
        <f t="shared" si="356"/>
        <v>44055</v>
      </c>
      <c r="CW61" s="50">
        <f t="shared" si="356"/>
        <v>44056</v>
      </c>
      <c r="CX61" s="50">
        <f t="shared" si="356"/>
        <v>44057</v>
      </c>
      <c r="CY61" s="50">
        <f t="shared" si="356"/>
        <v>44058</v>
      </c>
      <c r="CZ61" s="50">
        <f t="shared" si="356"/>
        <v>44059</v>
      </c>
      <c r="DA61" s="50">
        <f t="shared" si="356"/>
        <v>44060</v>
      </c>
      <c r="DB61" s="50">
        <f t="shared" si="356"/>
        <v>44061</v>
      </c>
      <c r="DC61" s="50">
        <f t="shared" si="356"/>
        <v>44062</v>
      </c>
      <c r="DD61" s="50">
        <f t="shared" si="356"/>
        <v>44063</v>
      </c>
      <c r="DE61" s="50">
        <f t="shared" si="356"/>
        <v>44064</v>
      </c>
      <c r="DF61" s="50">
        <f t="shared" si="356"/>
        <v>44065</v>
      </c>
      <c r="DG61" s="50">
        <f t="shared" si="356"/>
        <v>44066</v>
      </c>
      <c r="DH61" s="50">
        <f t="shared" si="356"/>
        <v>44067</v>
      </c>
      <c r="DI61" s="50">
        <f t="shared" si="356"/>
        <v>44068</v>
      </c>
      <c r="DJ61" s="50">
        <f t="shared" si="356"/>
        <v>44069</v>
      </c>
      <c r="DK61" s="50">
        <f t="shared" si="356"/>
        <v>44070</v>
      </c>
      <c r="DL61" s="50">
        <f t="shared" si="356"/>
        <v>44071</v>
      </c>
      <c r="DM61" s="50">
        <f t="shared" si="356"/>
        <v>44072</v>
      </c>
      <c r="DN61" s="50">
        <f t="shared" si="356"/>
        <v>44073</v>
      </c>
      <c r="DO61" s="50">
        <f t="shared" si="356"/>
        <v>44074</v>
      </c>
      <c r="DP61" s="50">
        <f t="shared" si="356"/>
        <v>44075</v>
      </c>
      <c r="DQ61" s="50">
        <f t="shared" si="356"/>
        <v>44076</v>
      </c>
      <c r="DR61" s="50">
        <f t="shared" si="356"/>
        <v>44077</v>
      </c>
      <c r="DS61" s="50">
        <f t="shared" si="356"/>
        <v>44078</v>
      </c>
      <c r="DT61" s="50">
        <f t="shared" si="356"/>
        <v>44079</v>
      </c>
      <c r="DU61" s="50">
        <f t="shared" si="356"/>
        <v>44080</v>
      </c>
      <c r="DV61" s="50">
        <f t="shared" si="356"/>
        <v>44081</v>
      </c>
      <c r="DW61" s="50">
        <f t="shared" si="356"/>
        <v>44082</v>
      </c>
      <c r="DX61" s="50">
        <f t="shared" si="356"/>
        <v>44083</v>
      </c>
      <c r="DY61" s="50">
        <f t="shared" si="356"/>
        <v>44084</v>
      </c>
      <c r="DZ61" s="50">
        <f t="shared" si="356"/>
        <v>44085</v>
      </c>
      <c r="EA61" s="50">
        <f t="shared" si="356"/>
        <v>44086</v>
      </c>
      <c r="EB61" s="50">
        <f t="shared" si="356"/>
        <v>44087</v>
      </c>
      <c r="EC61" s="50">
        <f t="shared" si="356"/>
        <v>44088</v>
      </c>
      <c r="ED61" s="50">
        <f t="shared" si="356"/>
        <v>44089</v>
      </c>
      <c r="EE61" s="50">
        <f t="shared" si="356"/>
        <v>44090</v>
      </c>
      <c r="EF61" s="50">
        <f t="shared" si="356"/>
        <v>44091</v>
      </c>
      <c r="EG61" s="50">
        <f t="shared" si="356"/>
        <v>44092</v>
      </c>
      <c r="EH61" s="50">
        <f t="shared" si="356"/>
        <v>44093</v>
      </c>
      <c r="EI61" s="50">
        <f t="shared" si="356"/>
        <v>44094</v>
      </c>
      <c r="EJ61" s="50">
        <f t="shared" si="356"/>
        <v>44095</v>
      </c>
      <c r="EK61" s="50">
        <f t="shared" si="356"/>
        <v>44096</v>
      </c>
      <c r="EL61" s="50">
        <f t="shared" si="356"/>
        <v>44097</v>
      </c>
      <c r="EM61" s="50">
        <f t="shared" si="356"/>
        <v>44098</v>
      </c>
      <c r="EN61" s="50">
        <f t="shared" si="356"/>
        <v>44099</v>
      </c>
      <c r="EO61" s="50">
        <f t="shared" si="356"/>
        <v>44100</v>
      </c>
      <c r="EP61" s="50">
        <f t="shared" si="356"/>
        <v>44101</v>
      </c>
      <c r="EQ61" s="50">
        <f t="shared" si="356"/>
        <v>44102</v>
      </c>
      <c r="ER61" s="50">
        <f t="shared" ref="ER61:HC61" si="357">ER1</f>
        <v>44103</v>
      </c>
      <c r="ES61" s="50">
        <f t="shared" si="357"/>
        <v>44104</v>
      </c>
      <c r="ET61" s="50">
        <f t="shared" si="357"/>
        <v>44105</v>
      </c>
      <c r="EU61" s="50">
        <f t="shared" si="357"/>
        <v>44106</v>
      </c>
      <c r="EV61" s="50">
        <f t="shared" si="357"/>
        <v>44107</v>
      </c>
      <c r="EW61" s="50">
        <f t="shared" si="357"/>
        <v>44108</v>
      </c>
      <c r="EX61" s="50">
        <f t="shared" si="357"/>
        <v>44109</v>
      </c>
      <c r="EY61" s="50">
        <f t="shared" si="357"/>
        <v>44110</v>
      </c>
      <c r="EZ61" s="50">
        <f t="shared" si="357"/>
        <v>44111</v>
      </c>
      <c r="FA61" s="50">
        <f t="shared" si="357"/>
        <v>44112</v>
      </c>
      <c r="FB61" s="50">
        <f t="shared" si="357"/>
        <v>44113</v>
      </c>
      <c r="FC61" s="50">
        <f t="shared" si="357"/>
        <v>44114</v>
      </c>
      <c r="FD61" s="50">
        <f t="shared" si="357"/>
        <v>44115</v>
      </c>
      <c r="FE61" s="50">
        <f t="shared" si="357"/>
        <v>44116</v>
      </c>
      <c r="FF61" s="50">
        <f t="shared" si="357"/>
        <v>44117</v>
      </c>
      <c r="FG61" s="50">
        <f t="shared" si="357"/>
        <v>44118</v>
      </c>
      <c r="FH61" s="50">
        <f t="shared" si="357"/>
        <v>44119</v>
      </c>
      <c r="FI61" s="50">
        <f t="shared" si="357"/>
        <v>44120</v>
      </c>
      <c r="FJ61" s="50">
        <f t="shared" si="357"/>
        <v>44121</v>
      </c>
      <c r="FK61" s="50">
        <f t="shared" si="357"/>
        <v>44122</v>
      </c>
      <c r="FL61" s="50">
        <f t="shared" si="357"/>
        <v>44123</v>
      </c>
      <c r="FM61" s="50">
        <f t="shared" si="357"/>
        <v>44124</v>
      </c>
      <c r="FN61" s="50">
        <f t="shared" si="357"/>
        <v>44125</v>
      </c>
      <c r="FO61" s="50">
        <f t="shared" si="357"/>
        <v>44126</v>
      </c>
      <c r="FP61" s="50">
        <f t="shared" si="357"/>
        <v>44127</v>
      </c>
      <c r="FQ61" s="50">
        <f t="shared" si="357"/>
        <v>44128</v>
      </c>
      <c r="FR61" s="50">
        <f t="shared" si="357"/>
        <v>44129</v>
      </c>
      <c r="FS61" s="50">
        <f t="shared" si="357"/>
        <v>44130</v>
      </c>
      <c r="FT61" s="50">
        <f t="shared" si="357"/>
        <v>44131</v>
      </c>
      <c r="FU61" s="50">
        <f t="shared" si="357"/>
        <v>44132</v>
      </c>
      <c r="FV61" s="50">
        <f t="shared" si="357"/>
        <v>44133</v>
      </c>
      <c r="FW61" s="50">
        <f t="shared" si="357"/>
        <v>44134</v>
      </c>
      <c r="FX61" s="50">
        <f t="shared" si="357"/>
        <v>44135</v>
      </c>
      <c r="FY61" s="50">
        <f t="shared" si="357"/>
        <v>44136</v>
      </c>
      <c r="FZ61" s="50">
        <f t="shared" si="357"/>
        <v>44137</v>
      </c>
      <c r="GA61" s="50">
        <f t="shared" si="357"/>
        <v>44138</v>
      </c>
      <c r="GB61" s="50">
        <f t="shared" si="357"/>
        <v>44139</v>
      </c>
      <c r="GC61" s="50">
        <f t="shared" si="357"/>
        <v>44140</v>
      </c>
      <c r="GD61" s="50">
        <f t="shared" si="357"/>
        <v>44141</v>
      </c>
      <c r="GE61" s="50">
        <f t="shared" si="357"/>
        <v>44142</v>
      </c>
      <c r="GF61" s="50">
        <f t="shared" si="357"/>
        <v>44143</v>
      </c>
      <c r="GG61" s="50">
        <f t="shared" si="357"/>
        <v>44144</v>
      </c>
      <c r="GH61" s="50">
        <f t="shared" si="357"/>
        <v>44145</v>
      </c>
      <c r="GI61" s="50">
        <f t="shared" si="357"/>
        <v>44146</v>
      </c>
      <c r="GJ61" s="50">
        <f t="shared" si="357"/>
        <v>44147</v>
      </c>
      <c r="GK61" s="50">
        <f t="shared" si="357"/>
        <v>44148</v>
      </c>
      <c r="GL61" s="50">
        <f t="shared" si="357"/>
        <v>44149</v>
      </c>
      <c r="GM61" s="50">
        <f t="shared" si="357"/>
        <v>44150</v>
      </c>
      <c r="GN61" s="50">
        <f t="shared" si="357"/>
        <v>44151</v>
      </c>
      <c r="GO61" s="50">
        <f t="shared" si="357"/>
        <v>44152</v>
      </c>
      <c r="GP61" s="50">
        <f t="shared" si="357"/>
        <v>44153</v>
      </c>
      <c r="GQ61" s="50">
        <f t="shared" si="357"/>
        <v>44154</v>
      </c>
      <c r="GR61" s="50">
        <f t="shared" si="357"/>
        <v>44155</v>
      </c>
      <c r="GS61" s="50">
        <f t="shared" si="357"/>
        <v>44156</v>
      </c>
      <c r="GT61" s="50">
        <f t="shared" si="357"/>
        <v>44157</v>
      </c>
      <c r="GU61" s="50">
        <f t="shared" si="357"/>
        <v>44158</v>
      </c>
      <c r="GV61" s="50">
        <f t="shared" si="357"/>
        <v>44159</v>
      </c>
      <c r="GW61" s="50">
        <f t="shared" si="357"/>
        <v>44160</v>
      </c>
      <c r="GX61" s="50">
        <f t="shared" si="357"/>
        <v>44161</v>
      </c>
      <c r="GY61" s="50">
        <f t="shared" si="357"/>
        <v>44162</v>
      </c>
      <c r="GZ61" s="50">
        <f t="shared" si="357"/>
        <v>44163</v>
      </c>
      <c r="HA61" s="50">
        <f t="shared" si="357"/>
        <v>44164</v>
      </c>
      <c r="HB61" s="50">
        <f t="shared" si="357"/>
        <v>44165</v>
      </c>
      <c r="HC61" s="50">
        <f t="shared" si="357"/>
        <v>44166</v>
      </c>
      <c r="HD61" s="50">
        <f t="shared" ref="HD61:JO61" si="358">HD1</f>
        <v>44167</v>
      </c>
      <c r="HE61" s="50">
        <f t="shared" si="358"/>
        <v>44168</v>
      </c>
      <c r="HF61" s="50">
        <f t="shared" si="358"/>
        <v>44169</v>
      </c>
      <c r="HG61" s="50">
        <f t="shared" si="358"/>
        <v>44170</v>
      </c>
      <c r="HH61" s="50">
        <f t="shared" si="358"/>
        <v>44171</v>
      </c>
      <c r="HI61" s="50">
        <f t="shared" si="358"/>
        <v>44172</v>
      </c>
      <c r="HJ61" s="50">
        <f t="shared" si="358"/>
        <v>44173</v>
      </c>
      <c r="HK61" s="50">
        <f t="shared" si="358"/>
        <v>44174</v>
      </c>
      <c r="HL61" s="50">
        <f t="shared" si="358"/>
        <v>44175</v>
      </c>
      <c r="HM61" s="50">
        <f t="shared" si="358"/>
        <v>44176</v>
      </c>
      <c r="HN61" s="50">
        <f t="shared" si="358"/>
        <v>44177</v>
      </c>
      <c r="HO61" s="50">
        <f t="shared" si="358"/>
        <v>44178</v>
      </c>
      <c r="HP61" s="50">
        <f t="shared" si="358"/>
        <v>44179</v>
      </c>
      <c r="HQ61" s="50">
        <f t="shared" si="358"/>
        <v>44180</v>
      </c>
      <c r="HR61" s="50">
        <f t="shared" si="358"/>
        <v>44181</v>
      </c>
      <c r="HS61" s="50">
        <f t="shared" si="358"/>
        <v>44182</v>
      </c>
      <c r="HT61" s="50">
        <f t="shared" si="358"/>
        <v>44183</v>
      </c>
      <c r="HU61" s="50">
        <f t="shared" si="358"/>
        <v>44184</v>
      </c>
      <c r="HV61" s="50">
        <f t="shared" si="358"/>
        <v>44185</v>
      </c>
      <c r="HW61" s="50">
        <f t="shared" si="358"/>
        <v>44186</v>
      </c>
      <c r="HX61" s="50">
        <f t="shared" si="358"/>
        <v>44187</v>
      </c>
      <c r="HY61" s="50">
        <f t="shared" si="358"/>
        <v>44188</v>
      </c>
      <c r="HZ61" s="50">
        <f t="shared" si="358"/>
        <v>44189</v>
      </c>
      <c r="IA61" s="50">
        <f t="shared" si="358"/>
        <v>44190</v>
      </c>
      <c r="IB61" s="50">
        <f t="shared" si="358"/>
        <v>44191</v>
      </c>
      <c r="IC61" s="50">
        <f t="shared" si="358"/>
        <v>44192</v>
      </c>
      <c r="ID61" s="50">
        <f t="shared" si="358"/>
        <v>44193</v>
      </c>
      <c r="IE61" s="50">
        <f t="shared" si="358"/>
        <v>44194</v>
      </c>
      <c r="IF61" s="50">
        <f t="shared" si="358"/>
        <v>44195</v>
      </c>
      <c r="IG61" s="50">
        <f t="shared" si="358"/>
        <v>44196</v>
      </c>
      <c r="IH61" s="50">
        <f t="shared" si="358"/>
        <v>44197</v>
      </c>
      <c r="II61" s="50">
        <f t="shared" si="358"/>
        <v>44198</v>
      </c>
      <c r="IJ61" s="50">
        <f t="shared" si="358"/>
        <v>44199</v>
      </c>
      <c r="IK61" s="50">
        <f t="shared" si="358"/>
        <v>44200</v>
      </c>
      <c r="IL61" s="50">
        <f t="shared" si="358"/>
        <v>44201</v>
      </c>
      <c r="IM61" s="50">
        <f t="shared" si="358"/>
        <v>44202</v>
      </c>
      <c r="IN61" s="50">
        <f t="shared" si="358"/>
        <v>44203</v>
      </c>
      <c r="IO61" s="50">
        <f t="shared" si="358"/>
        <v>44204</v>
      </c>
      <c r="IP61" s="50">
        <f t="shared" si="358"/>
        <v>44205</v>
      </c>
      <c r="IQ61" s="50">
        <f t="shared" si="358"/>
        <v>44206</v>
      </c>
      <c r="IR61" s="50">
        <f t="shared" si="358"/>
        <v>44207</v>
      </c>
      <c r="IS61" s="50">
        <f t="shared" si="358"/>
        <v>44208</v>
      </c>
      <c r="IT61" s="50">
        <f t="shared" si="358"/>
        <v>44209</v>
      </c>
      <c r="IU61" s="50">
        <f t="shared" si="358"/>
        <v>44210</v>
      </c>
      <c r="IV61" s="50">
        <f t="shared" si="358"/>
        <v>44211</v>
      </c>
      <c r="IW61" s="50">
        <f t="shared" si="358"/>
        <v>44212</v>
      </c>
      <c r="IX61" s="50">
        <f t="shared" si="358"/>
        <v>44213</v>
      </c>
      <c r="IY61" s="50">
        <f t="shared" si="358"/>
        <v>44214</v>
      </c>
      <c r="IZ61" s="50">
        <f t="shared" si="358"/>
        <v>44215</v>
      </c>
      <c r="JA61" s="50">
        <f t="shared" si="358"/>
        <v>44216</v>
      </c>
      <c r="JB61" s="50">
        <f t="shared" si="358"/>
        <v>44217</v>
      </c>
      <c r="JC61" s="50">
        <f t="shared" si="358"/>
        <v>44218</v>
      </c>
      <c r="JD61" s="50">
        <f t="shared" si="358"/>
        <v>44219</v>
      </c>
      <c r="JE61" s="50">
        <f t="shared" si="358"/>
        <v>44220</v>
      </c>
      <c r="JF61" s="50">
        <f t="shared" si="358"/>
        <v>44221</v>
      </c>
      <c r="JG61" s="50">
        <f t="shared" si="358"/>
        <v>44222</v>
      </c>
      <c r="JH61" s="50">
        <f t="shared" si="358"/>
        <v>44223</v>
      </c>
      <c r="JI61" s="50">
        <f t="shared" si="358"/>
        <v>44224</v>
      </c>
      <c r="JJ61" s="50">
        <f t="shared" si="358"/>
        <v>44225</v>
      </c>
      <c r="JK61" s="50">
        <f t="shared" si="358"/>
        <v>44226</v>
      </c>
      <c r="JL61" s="50">
        <f t="shared" si="358"/>
        <v>44227</v>
      </c>
      <c r="JM61" s="50">
        <f t="shared" si="358"/>
        <v>44228</v>
      </c>
      <c r="JN61" s="50">
        <f t="shared" si="358"/>
        <v>44229</v>
      </c>
      <c r="JO61" s="50">
        <f t="shared" si="358"/>
        <v>44230</v>
      </c>
      <c r="JP61" s="50">
        <f t="shared" ref="JP61:LW61" si="359">JP1</f>
        <v>44231</v>
      </c>
      <c r="JQ61" s="50">
        <f t="shared" si="359"/>
        <v>44232</v>
      </c>
      <c r="JR61" s="50">
        <f t="shared" si="359"/>
        <v>44233</v>
      </c>
      <c r="JS61" s="50">
        <f t="shared" si="359"/>
        <v>44234</v>
      </c>
      <c r="JT61" s="50">
        <f t="shared" si="359"/>
        <v>44235</v>
      </c>
      <c r="JU61" s="50">
        <f t="shared" si="359"/>
        <v>44236</v>
      </c>
      <c r="JV61" s="50">
        <f t="shared" si="359"/>
        <v>44237</v>
      </c>
      <c r="JW61" s="50">
        <f t="shared" si="359"/>
        <v>44238</v>
      </c>
      <c r="JX61" s="50">
        <f t="shared" si="359"/>
        <v>44239</v>
      </c>
      <c r="JY61" s="50">
        <f t="shared" si="359"/>
        <v>44240</v>
      </c>
      <c r="JZ61" s="50">
        <f t="shared" si="359"/>
        <v>44241</v>
      </c>
      <c r="KA61" s="50">
        <f t="shared" si="359"/>
        <v>44242</v>
      </c>
      <c r="KB61" s="50">
        <f t="shared" si="359"/>
        <v>44243</v>
      </c>
      <c r="KC61" s="50">
        <f t="shared" si="359"/>
        <v>44244</v>
      </c>
      <c r="KD61" s="50">
        <f t="shared" si="359"/>
        <v>44245</v>
      </c>
      <c r="KE61" s="50">
        <f t="shared" si="359"/>
        <v>44246</v>
      </c>
      <c r="KF61" s="50">
        <f t="shared" si="359"/>
        <v>44247</v>
      </c>
      <c r="KG61" s="50">
        <f t="shared" si="359"/>
        <v>44248</v>
      </c>
      <c r="KH61" s="50">
        <f t="shared" si="359"/>
        <v>44249</v>
      </c>
      <c r="KI61" s="50">
        <f t="shared" si="359"/>
        <v>44250</v>
      </c>
      <c r="KJ61" s="50">
        <f t="shared" si="359"/>
        <v>44251</v>
      </c>
      <c r="KK61" s="50">
        <f t="shared" si="359"/>
        <v>44252</v>
      </c>
      <c r="KL61" s="50">
        <f t="shared" si="359"/>
        <v>44253</v>
      </c>
      <c r="KM61" s="50">
        <f t="shared" si="359"/>
        <v>44254</v>
      </c>
      <c r="KN61" s="50">
        <f t="shared" si="359"/>
        <v>44255</v>
      </c>
      <c r="KO61" s="50">
        <f t="shared" si="359"/>
        <v>44256</v>
      </c>
      <c r="KP61" s="50">
        <f t="shared" si="359"/>
        <v>44257</v>
      </c>
      <c r="KQ61" s="50">
        <f t="shared" si="359"/>
        <v>44258</v>
      </c>
      <c r="KR61" s="50">
        <f t="shared" si="359"/>
        <v>44259</v>
      </c>
      <c r="KS61" s="50">
        <f t="shared" si="359"/>
        <v>44260</v>
      </c>
      <c r="KT61" s="50">
        <f t="shared" si="359"/>
        <v>44261</v>
      </c>
      <c r="KU61" s="50">
        <f t="shared" si="359"/>
        <v>44262</v>
      </c>
      <c r="KV61" s="50">
        <f t="shared" si="359"/>
        <v>44263</v>
      </c>
      <c r="KW61" s="50">
        <f t="shared" si="359"/>
        <v>44264</v>
      </c>
      <c r="KX61" s="50">
        <f t="shared" si="359"/>
        <v>44265</v>
      </c>
      <c r="KY61" s="50">
        <f t="shared" si="359"/>
        <v>44266</v>
      </c>
      <c r="KZ61" s="50">
        <f t="shared" si="359"/>
        <v>44267</v>
      </c>
      <c r="LA61" s="50">
        <f t="shared" si="359"/>
        <v>44268</v>
      </c>
      <c r="LB61" s="50">
        <f t="shared" si="359"/>
        <v>44269</v>
      </c>
      <c r="LC61" s="50">
        <f t="shared" si="359"/>
        <v>44270</v>
      </c>
      <c r="LD61" s="50">
        <f t="shared" si="359"/>
        <v>44271</v>
      </c>
      <c r="LE61" s="50">
        <f t="shared" si="359"/>
        <v>44272</v>
      </c>
      <c r="LF61" s="50">
        <f t="shared" si="359"/>
        <v>44273</v>
      </c>
      <c r="LG61" s="50">
        <f t="shared" si="359"/>
        <v>44274</v>
      </c>
      <c r="LH61" s="50">
        <f t="shared" si="359"/>
        <v>44275</v>
      </c>
      <c r="LI61" s="50">
        <f t="shared" si="359"/>
        <v>44276</v>
      </c>
      <c r="LJ61" s="50">
        <f t="shared" si="359"/>
        <v>44277</v>
      </c>
      <c r="LK61" s="50">
        <f t="shared" si="359"/>
        <v>44278</v>
      </c>
      <c r="LL61" s="50">
        <f t="shared" si="359"/>
        <v>44279</v>
      </c>
      <c r="LM61" s="50">
        <f t="shared" si="359"/>
        <v>44280</v>
      </c>
      <c r="LN61" s="50">
        <f t="shared" si="359"/>
        <v>44281</v>
      </c>
      <c r="LO61" s="50">
        <f t="shared" si="359"/>
        <v>44282</v>
      </c>
      <c r="LP61" s="50">
        <f t="shared" si="359"/>
        <v>44283</v>
      </c>
      <c r="LQ61" s="50">
        <f t="shared" si="359"/>
        <v>44284</v>
      </c>
      <c r="LR61" s="50">
        <f t="shared" si="359"/>
        <v>44285</v>
      </c>
      <c r="LS61" s="50">
        <f t="shared" si="359"/>
        <v>44286</v>
      </c>
      <c r="LT61" s="50">
        <f t="shared" si="359"/>
        <v>44287</v>
      </c>
      <c r="LU61" s="50">
        <f t="shared" si="359"/>
        <v>44288</v>
      </c>
      <c r="LV61" s="50">
        <f t="shared" si="359"/>
        <v>44289</v>
      </c>
      <c r="LW61" s="50">
        <f t="shared" si="359"/>
        <v>44290</v>
      </c>
    </row>
    <row r="62" spans="1:335" ht="15" customHeight="1" x14ac:dyDescent="0.25">
      <c r="A62" s="84" t="s">
        <v>146</v>
      </c>
      <c r="B62" s="84"/>
      <c r="C62" s="84"/>
      <c r="D62" s="84"/>
      <c r="E62" s="85"/>
      <c r="F62" s="30"/>
      <c r="G62" s="30"/>
      <c r="H62" s="30"/>
      <c r="I62" s="30"/>
      <c r="J62" s="30"/>
      <c r="K62" s="30"/>
      <c r="L62" s="30"/>
      <c r="M62" s="30"/>
      <c r="N62" s="30"/>
      <c r="O62" s="29"/>
      <c r="P62" s="88" t="s">
        <v>50</v>
      </c>
      <c r="Q62" s="107" t="s">
        <v>49</v>
      </c>
      <c r="R62" s="58">
        <f t="shared" ref="R62:CC62" si="360">R35</f>
        <v>43975</v>
      </c>
      <c r="S62" s="59">
        <f t="shared" si="360"/>
        <v>43976</v>
      </c>
      <c r="T62" s="59">
        <f t="shared" si="360"/>
        <v>43977</v>
      </c>
      <c r="U62" s="59">
        <f t="shared" si="360"/>
        <v>43978</v>
      </c>
      <c r="V62" s="59">
        <f t="shared" si="360"/>
        <v>43979</v>
      </c>
      <c r="W62" s="59">
        <f t="shared" si="360"/>
        <v>43980</v>
      </c>
      <c r="X62" s="59">
        <f t="shared" si="360"/>
        <v>43981</v>
      </c>
      <c r="Y62" s="58">
        <f t="shared" si="360"/>
        <v>43982</v>
      </c>
      <c r="Z62" s="59">
        <f t="shared" si="360"/>
        <v>43983</v>
      </c>
      <c r="AA62" s="59">
        <f t="shared" si="360"/>
        <v>43984</v>
      </c>
      <c r="AB62" s="59">
        <f t="shared" si="360"/>
        <v>43985</v>
      </c>
      <c r="AC62" s="59">
        <f t="shared" si="360"/>
        <v>43986</v>
      </c>
      <c r="AD62" s="59">
        <f t="shared" si="360"/>
        <v>43987</v>
      </c>
      <c r="AE62" s="59">
        <f t="shared" si="360"/>
        <v>43988</v>
      </c>
      <c r="AF62" s="58">
        <f t="shared" si="360"/>
        <v>43989</v>
      </c>
      <c r="AG62" s="59">
        <f t="shared" si="360"/>
        <v>43990</v>
      </c>
      <c r="AH62" s="59">
        <f t="shared" si="360"/>
        <v>43991</v>
      </c>
      <c r="AI62" s="59">
        <f t="shared" si="360"/>
        <v>43992</v>
      </c>
      <c r="AJ62" s="59">
        <f t="shared" si="360"/>
        <v>43993</v>
      </c>
      <c r="AK62" s="59">
        <f t="shared" si="360"/>
        <v>43994</v>
      </c>
      <c r="AL62" s="59">
        <f t="shared" si="360"/>
        <v>43995</v>
      </c>
      <c r="AM62" s="58">
        <f t="shared" si="360"/>
        <v>43996</v>
      </c>
      <c r="AN62" s="59">
        <f t="shared" si="360"/>
        <v>43997</v>
      </c>
      <c r="AO62" s="59">
        <f t="shared" si="360"/>
        <v>43998</v>
      </c>
      <c r="AP62" s="59">
        <f t="shared" si="360"/>
        <v>43999</v>
      </c>
      <c r="AQ62" s="59">
        <f t="shared" si="360"/>
        <v>44000</v>
      </c>
      <c r="AR62" s="59">
        <f t="shared" si="360"/>
        <v>44001</v>
      </c>
      <c r="AS62" s="59">
        <f t="shared" si="360"/>
        <v>44002</v>
      </c>
      <c r="AT62" s="58">
        <f t="shared" si="360"/>
        <v>44003</v>
      </c>
      <c r="AU62" s="59">
        <f t="shared" si="360"/>
        <v>44004</v>
      </c>
      <c r="AV62" s="59">
        <f t="shared" si="360"/>
        <v>44005</v>
      </c>
      <c r="AW62" s="59">
        <f t="shared" si="360"/>
        <v>44006</v>
      </c>
      <c r="AX62" s="59">
        <f t="shared" si="360"/>
        <v>44007</v>
      </c>
      <c r="AY62" s="59">
        <f t="shared" si="360"/>
        <v>44008</v>
      </c>
      <c r="AZ62" s="59">
        <f t="shared" si="360"/>
        <v>44009</v>
      </c>
      <c r="BA62" s="58">
        <f t="shared" si="360"/>
        <v>44010</v>
      </c>
      <c r="BB62" s="59">
        <f t="shared" si="360"/>
        <v>44011</v>
      </c>
      <c r="BC62" s="59">
        <f t="shared" si="360"/>
        <v>44012</v>
      </c>
      <c r="BD62" s="59">
        <f t="shared" si="360"/>
        <v>44013</v>
      </c>
      <c r="BE62" s="59">
        <f t="shared" si="360"/>
        <v>44014</v>
      </c>
      <c r="BF62" s="59">
        <f t="shared" si="360"/>
        <v>44015</v>
      </c>
      <c r="BG62" s="59">
        <f t="shared" si="360"/>
        <v>44016</v>
      </c>
      <c r="BH62" s="58">
        <f t="shared" si="360"/>
        <v>44017</v>
      </c>
      <c r="BI62" s="59">
        <f t="shared" si="360"/>
        <v>44018</v>
      </c>
      <c r="BJ62" s="59">
        <f t="shared" si="360"/>
        <v>44019</v>
      </c>
      <c r="BK62" s="59">
        <f t="shared" si="360"/>
        <v>44020</v>
      </c>
      <c r="BL62" s="59">
        <f t="shared" si="360"/>
        <v>44021</v>
      </c>
      <c r="BM62" s="59">
        <f t="shared" si="360"/>
        <v>44022</v>
      </c>
      <c r="BN62" s="59">
        <f t="shared" si="360"/>
        <v>44023</v>
      </c>
      <c r="BO62" s="58">
        <v>12</v>
      </c>
      <c r="BP62" s="59">
        <f t="shared" si="360"/>
        <v>44025</v>
      </c>
      <c r="BQ62" s="59">
        <f t="shared" si="360"/>
        <v>44026</v>
      </c>
      <c r="BR62" s="59">
        <f t="shared" si="360"/>
        <v>44027</v>
      </c>
      <c r="BS62" s="59">
        <f t="shared" si="360"/>
        <v>44028</v>
      </c>
      <c r="BT62" s="59">
        <f t="shared" si="360"/>
        <v>44029</v>
      </c>
      <c r="BU62" s="59">
        <f t="shared" si="360"/>
        <v>44030</v>
      </c>
      <c r="BV62" s="59">
        <v>19</v>
      </c>
      <c r="BW62" s="58"/>
      <c r="BX62" s="59">
        <f t="shared" si="360"/>
        <v>44032</v>
      </c>
      <c r="BY62" s="59">
        <f t="shared" si="360"/>
        <v>44033</v>
      </c>
      <c r="BZ62" s="59">
        <f t="shared" si="360"/>
        <v>44034</v>
      </c>
      <c r="CA62" s="59">
        <f t="shared" si="360"/>
        <v>44035</v>
      </c>
      <c r="CB62" s="59">
        <f t="shared" si="360"/>
        <v>44036</v>
      </c>
      <c r="CC62" s="59">
        <f t="shared" si="360"/>
        <v>44037</v>
      </c>
      <c r="CD62" s="59">
        <v>26</v>
      </c>
      <c r="CE62" s="58"/>
      <c r="CF62" s="59">
        <f t="shared" ref="CF62:EQ62" si="361">CF35</f>
        <v>44039</v>
      </c>
      <c r="CG62" s="59">
        <f t="shared" si="361"/>
        <v>44040</v>
      </c>
      <c r="CH62" s="59">
        <f t="shared" si="361"/>
        <v>44041</v>
      </c>
      <c r="CI62" s="59">
        <f t="shared" si="361"/>
        <v>44042</v>
      </c>
      <c r="CJ62" s="59">
        <f t="shared" si="361"/>
        <v>44043</v>
      </c>
      <c r="CK62" s="59">
        <f t="shared" si="361"/>
        <v>44044</v>
      </c>
      <c r="CL62" s="58">
        <f t="shared" si="361"/>
        <v>44045</v>
      </c>
      <c r="CM62" s="59">
        <f t="shared" si="361"/>
        <v>44046</v>
      </c>
      <c r="CN62" s="59">
        <f t="shared" si="361"/>
        <v>44047</v>
      </c>
      <c r="CO62" s="59">
        <f t="shared" si="361"/>
        <v>44048</v>
      </c>
      <c r="CP62" s="59">
        <f t="shared" si="361"/>
        <v>44049</v>
      </c>
      <c r="CQ62" s="59">
        <f t="shared" si="361"/>
        <v>44050</v>
      </c>
      <c r="CR62" s="59">
        <f t="shared" si="361"/>
        <v>44051</v>
      </c>
      <c r="CS62" s="58">
        <f t="shared" si="361"/>
        <v>44052</v>
      </c>
      <c r="CT62" s="59">
        <f t="shared" si="361"/>
        <v>44053</v>
      </c>
      <c r="CU62" s="59">
        <f t="shared" si="361"/>
        <v>44054</v>
      </c>
      <c r="CV62" s="59">
        <f t="shared" si="361"/>
        <v>44055</v>
      </c>
      <c r="CW62" s="59">
        <f t="shared" si="361"/>
        <v>44056</v>
      </c>
      <c r="CX62" s="59">
        <f t="shared" si="361"/>
        <v>44057</v>
      </c>
      <c r="CY62" s="59">
        <f t="shared" si="361"/>
        <v>44058</v>
      </c>
      <c r="CZ62" s="58">
        <f t="shared" si="361"/>
        <v>44059</v>
      </c>
      <c r="DA62" s="59">
        <f t="shared" si="361"/>
        <v>44060</v>
      </c>
      <c r="DB62" s="59">
        <f t="shared" si="361"/>
        <v>44061</v>
      </c>
      <c r="DC62" s="59">
        <f t="shared" si="361"/>
        <v>44062</v>
      </c>
      <c r="DD62" s="59">
        <f t="shared" si="361"/>
        <v>44063</v>
      </c>
      <c r="DE62" s="59">
        <f t="shared" si="361"/>
        <v>44064</v>
      </c>
      <c r="DF62" s="59">
        <f t="shared" si="361"/>
        <v>44065</v>
      </c>
      <c r="DG62" s="58">
        <f t="shared" si="361"/>
        <v>44066</v>
      </c>
      <c r="DH62" s="59">
        <f t="shared" si="361"/>
        <v>44067</v>
      </c>
      <c r="DI62" s="59">
        <f t="shared" si="361"/>
        <v>44068</v>
      </c>
      <c r="DJ62" s="59">
        <f t="shared" si="361"/>
        <v>44069</v>
      </c>
      <c r="DK62" s="59">
        <f t="shared" si="361"/>
        <v>44070</v>
      </c>
      <c r="DL62" s="59">
        <f t="shared" si="361"/>
        <v>44071</v>
      </c>
      <c r="DM62" s="59">
        <f t="shared" si="361"/>
        <v>44072</v>
      </c>
      <c r="DN62" s="58">
        <f t="shared" si="361"/>
        <v>44073</v>
      </c>
      <c r="DO62" s="59">
        <f t="shared" si="361"/>
        <v>44074</v>
      </c>
      <c r="DP62" s="59">
        <f t="shared" si="361"/>
        <v>44075</v>
      </c>
      <c r="DQ62" s="59">
        <f t="shared" si="361"/>
        <v>44076</v>
      </c>
      <c r="DR62" s="59">
        <f t="shared" si="361"/>
        <v>44077</v>
      </c>
      <c r="DS62" s="59">
        <f t="shared" si="361"/>
        <v>44078</v>
      </c>
      <c r="DT62" s="59">
        <f t="shared" si="361"/>
        <v>44079</v>
      </c>
      <c r="DU62" s="58">
        <f t="shared" si="361"/>
        <v>44080</v>
      </c>
      <c r="DV62" s="59">
        <f t="shared" si="361"/>
        <v>44081</v>
      </c>
      <c r="DW62" s="59">
        <f t="shared" si="361"/>
        <v>44082</v>
      </c>
      <c r="DX62" s="59">
        <f t="shared" si="361"/>
        <v>44083</v>
      </c>
      <c r="DY62" s="59">
        <f t="shared" si="361"/>
        <v>44084</v>
      </c>
      <c r="DZ62" s="59">
        <f t="shared" si="361"/>
        <v>44085</v>
      </c>
      <c r="EA62" s="59">
        <f t="shared" si="361"/>
        <v>44086</v>
      </c>
      <c r="EB62" s="58">
        <f t="shared" si="361"/>
        <v>44087</v>
      </c>
      <c r="EC62" s="59">
        <f t="shared" si="361"/>
        <v>44088</v>
      </c>
      <c r="ED62" s="59">
        <f t="shared" si="361"/>
        <v>44089</v>
      </c>
      <c r="EE62" s="59">
        <f t="shared" si="361"/>
        <v>44090</v>
      </c>
      <c r="EF62" s="59">
        <f t="shared" si="361"/>
        <v>44091</v>
      </c>
      <c r="EG62" s="59">
        <f t="shared" si="361"/>
        <v>44092</v>
      </c>
      <c r="EH62" s="59">
        <f t="shared" si="361"/>
        <v>44093</v>
      </c>
      <c r="EI62" s="58">
        <f t="shared" si="361"/>
        <v>44094</v>
      </c>
      <c r="EJ62" s="59">
        <f t="shared" si="361"/>
        <v>44095</v>
      </c>
      <c r="EK62" s="59">
        <f t="shared" si="361"/>
        <v>44096</v>
      </c>
      <c r="EL62" s="59">
        <f t="shared" si="361"/>
        <v>44097</v>
      </c>
      <c r="EM62" s="59">
        <f t="shared" si="361"/>
        <v>44098</v>
      </c>
      <c r="EN62" s="59">
        <f t="shared" si="361"/>
        <v>44099</v>
      </c>
      <c r="EO62" s="59">
        <f t="shared" si="361"/>
        <v>44100</v>
      </c>
      <c r="EP62" s="58">
        <f t="shared" si="361"/>
        <v>44101</v>
      </c>
      <c r="EQ62" s="59">
        <f t="shared" si="361"/>
        <v>44102</v>
      </c>
      <c r="ER62" s="59">
        <f t="shared" ref="ER62:HC62" si="362">ER35</f>
        <v>44103</v>
      </c>
      <c r="ES62" s="59">
        <f t="shared" si="362"/>
        <v>44104</v>
      </c>
      <c r="ET62" s="59">
        <f t="shared" si="362"/>
        <v>44105</v>
      </c>
      <c r="EU62" s="59">
        <f t="shared" si="362"/>
        <v>44106</v>
      </c>
      <c r="EV62" s="59">
        <f t="shared" si="362"/>
        <v>44107</v>
      </c>
      <c r="EW62" s="58">
        <f t="shared" si="362"/>
        <v>44108</v>
      </c>
      <c r="EX62" s="59">
        <f t="shared" si="362"/>
        <v>44109</v>
      </c>
      <c r="EY62" s="59">
        <f t="shared" si="362"/>
        <v>44110</v>
      </c>
      <c r="EZ62" s="59">
        <f t="shared" si="362"/>
        <v>44111</v>
      </c>
      <c r="FA62" s="59">
        <f t="shared" si="362"/>
        <v>44112</v>
      </c>
      <c r="FB62" s="59">
        <f t="shared" si="362"/>
        <v>44113</v>
      </c>
      <c r="FC62" s="59">
        <f t="shared" si="362"/>
        <v>44114</v>
      </c>
      <c r="FD62" s="58">
        <f t="shared" si="362"/>
        <v>44115</v>
      </c>
      <c r="FE62" s="59">
        <f t="shared" si="362"/>
        <v>44116</v>
      </c>
      <c r="FF62" s="59">
        <f t="shared" si="362"/>
        <v>44117</v>
      </c>
      <c r="FG62" s="59">
        <f t="shared" si="362"/>
        <v>44118</v>
      </c>
      <c r="FH62" s="59">
        <f t="shared" si="362"/>
        <v>44119</v>
      </c>
      <c r="FI62" s="59">
        <f t="shared" si="362"/>
        <v>44120</v>
      </c>
      <c r="FJ62" s="59">
        <f t="shared" si="362"/>
        <v>44121</v>
      </c>
      <c r="FK62" s="58">
        <f t="shared" si="362"/>
        <v>44122</v>
      </c>
      <c r="FL62" s="59">
        <f t="shared" si="362"/>
        <v>44123</v>
      </c>
      <c r="FM62" s="59">
        <f t="shared" si="362"/>
        <v>44124</v>
      </c>
      <c r="FN62" s="59">
        <f t="shared" si="362"/>
        <v>44125</v>
      </c>
      <c r="FO62" s="59">
        <f t="shared" si="362"/>
        <v>44126</v>
      </c>
      <c r="FP62" s="59">
        <f t="shared" si="362"/>
        <v>44127</v>
      </c>
      <c r="FQ62" s="59">
        <f t="shared" si="362"/>
        <v>44128</v>
      </c>
      <c r="FR62" s="58">
        <f t="shared" si="362"/>
        <v>44129</v>
      </c>
      <c r="FS62" s="59">
        <f t="shared" si="362"/>
        <v>44130</v>
      </c>
      <c r="FT62" s="59">
        <f t="shared" si="362"/>
        <v>44131</v>
      </c>
      <c r="FU62" s="59">
        <f t="shared" si="362"/>
        <v>44132</v>
      </c>
      <c r="FV62" s="59">
        <f t="shared" si="362"/>
        <v>44133</v>
      </c>
      <c r="FW62" s="59">
        <f t="shared" si="362"/>
        <v>44134</v>
      </c>
      <c r="FX62" s="59">
        <f t="shared" si="362"/>
        <v>44135</v>
      </c>
      <c r="FY62" s="58">
        <f t="shared" si="362"/>
        <v>44136</v>
      </c>
      <c r="FZ62" s="59">
        <f t="shared" si="362"/>
        <v>44137</v>
      </c>
      <c r="GA62" s="59">
        <f t="shared" si="362"/>
        <v>44138</v>
      </c>
      <c r="GB62" s="59">
        <f t="shared" si="362"/>
        <v>44139</v>
      </c>
      <c r="GC62" s="59">
        <f t="shared" si="362"/>
        <v>44140</v>
      </c>
      <c r="GD62" s="59">
        <f t="shared" si="362"/>
        <v>44141</v>
      </c>
      <c r="GE62" s="59">
        <f t="shared" si="362"/>
        <v>44142</v>
      </c>
      <c r="GF62" s="58">
        <f t="shared" si="362"/>
        <v>44143</v>
      </c>
      <c r="GG62" s="59">
        <f t="shared" si="362"/>
        <v>44144</v>
      </c>
      <c r="GH62" s="59">
        <f t="shared" si="362"/>
        <v>44145</v>
      </c>
      <c r="GI62" s="59">
        <f t="shared" si="362"/>
        <v>44146</v>
      </c>
      <c r="GJ62" s="59">
        <f t="shared" si="362"/>
        <v>44147</v>
      </c>
      <c r="GK62" s="59">
        <f t="shared" si="362"/>
        <v>44148</v>
      </c>
      <c r="GL62" s="59">
        <f t="shared" si="362"/>
        <v>44149</v>
      </c>
      <c r="GM62" s="58">
        <f t="shared" si="362"/>
        <v>44150</v>
      </c>
      <c r="GN62" s="59">
        <f t="shared" si="362"/>
        <v>44151</v>
      </c>
      <c r="GO62" s="59">
        <f t="shared" si="362"/>
        <v>44152</v>
      </c>
      <c r="GP62" s="59">
        <f t="shared" si="362"/>
        <v>44153</v>
      </c>
      <c r="GQ62" s="59">
        <f t="shared" si="362"/>
        <v>44154</v>
      </c>
      <c r="GR62" s="59">
        <f t="shared" si="362"/>
        <v>44155</v>
      </c>
      <c r="GS62" s="59">
        <f t="shared" si="362"/>
        <v>44156</v>
      </c>
      <c r="GT62" s="58">
        <f t="shared" si="362"/>
        <v>44157</v>
      </c>
      <c r="GU62" s="59">
        <f t="shared" si="362"/>
        <v>44158</v>
      </c>
      <c r="GV62" s="59">
        <f t="shared" si="362"/>
        <v>44159</v>
      </c>
      <c r="GW62" s="59">
        <f t="shared" si="362"/>
        <v>44160</v>
      </c>
      <c r="GX62" s="59">
        <f t="shared" si="362"/>
        <v>44161</v>
      </c>
      <c r="GY62" s="59">
        <f t="shared" si="362"/>
        <v>44162</v>
      </c>
      <c r="GZ62" s="59">
        <f t="shared" si="362"/>
        <v>44163</v>
      </c>
      <c r="HA62" s="58">
        <f t="shared" si="362"/>
        <v>44164</v>
      </c>
      <c r="HB62" s="59">
        <f t="shared" si="362"/>
        <v>44165</v>
      </c>
      <c r="HC62" s="59">
        <f t="shared" si="362"/>
        <v>44166</v>
      </c>
      <c r="HD62" s="59">
        <f t="shared" ref="HD62:JO62" si="363">HD35</f>
        <v>44167</v>
      </c>
      <c r="HE62" s="59">
        <f t="shared" si="363"/>
        <v>44168</v>
      </c>
      <c r="HF62" s="59">
        <f t="shared" si="363"/>
        <v>44169</v>
      </c>
      <c r="HG62" s="59">
        <f t="shared" si="363"/>
        <v>44170</v>
      </c>
      <c r="HH62" s="58">
        <f t="shared" si="363"/>
        <v>44171</v>
      </c>
      <c r="HI62" s="59">
        <f t="shared" si="363"/>
        <v>44172</v>
      </c>
      <c r="HJ62" s="59">
        <f t="shared" si="363"/>
        <v>44173</v>
      </c>
      <c r="HK62" s="59">
        <f t="shared" si="363"/>
        <v>44174</v>
      </c>
      <c r="HL62" s="59">
        <f t="shared" si="363"/>
        <v>44175</v>
      </c>
      <c r="HM62" s="59">
        <f t="shared" si="363"/>
        <v>44176</v>
      </c>
      <c r="HN62" s="59">
        <f t="shared" si="363"/>
        <v>44177</v>
      </c>
      <c r="HO62" s="58">
        <f t="shared" si="363"/>
        <v>44178</v>
      </c>
      <c r="HP62" s="59">
        <f t="shared" si="363"/>
        <v>44179</v>
      </c>
      <c r="HQ62" s="59">
        <f t="shared" si="363"/>
        <v>44180</v>
      </c>
      <c r="HR62" s="59">
        <f t="shared" si="363"/>
        <v>44181</v>
      </c>
      <c r="HS62" s="59">
        <f t="shared" si="363"/>
        <v>44182</v>
      </c>
      <c r="HT62" s="59">
        <f t="shared" si="363"/>
        <v>44183</v>
      </c>
      <c r="HU62" s="59">
        <f t="shared" si="363"/>
        <v>44184</v>
      </c>
      <c r="HV62" s="58">
        <f t="shared" si="363"/>
        <v>44185</v>
      </c>
      <c r="HW62" s="59">
        <f t="shared" si="363"/>
        <v>44186</v>
      </c>
      <c r="HX62" s="59">
        <f t="shared" si="363"/>
        <v>44187</v>
      </c>
      <c r="HY62" s="59">
        <f t="shared" si="363"/>
        <v>44188</v>
      </c>
      <c r="HZ62" s="59">
        <f t="shared" si="363"/>
        <v>44189</v>
      </c>
      <c r="IA62" s="59">
        <f t="shared" si="363"/>
        <v>44190</v>
      </c>
      <c r="IB62" s="59">
        <f t="shared" si="363"/>
        <v>44191</v>
      </c>
      <c r="IC62" s="58">
        <f t="shared" si="363"/>
        <v>44192</v>
      </c>
      <c r="ID62" s="59">
        <f t="shared" si="363"/>
        <v>44193</v>
      </c>
      <c r="IE62" s="59">
        <f t="shared" si="363"/>
        <v>44194</v>
      </c>
      <c r="IF62" s="59">
        <f t="shared" si="363"/>
        <v>44195</v>
      </c>
      <c r="IG62" s="59">
        <f t="shared" si="363"/>
        <v>44196</v>
      </c>
      <c r="IH62" s="59">
        <f t="shared" si="363"/>
        <v>44197</v>
      </c>
      <c r="II62" s="59">
        <f t="shared" si="363"/>
        <v>44198</v>
      </c>
      <c r="IJ62" s="58">
        <f t="shared" si="363"/>
        <v>44199</v>
      </c>
      <c r="IK62" s="59">
        <f t="shared" si="363"/>
        <v>44200</v>
      </c>
      <c r="IL62" s="59">
        <f t="shared" si="363"/>
        <v>44201</v>
      </c>
      <c r="IM62" s="59">
        <f t="shared" si="363"/>
        <v>44202</v>
      </c>
      <c r="IN62" s="59">
        <f t="shared" si="363"/>
        <v>44203</v>
      </c>
      <c r="IO62" s="59">
        <f t="shared" si="363"/>
        <v>44204</v>
      </c>
      <c r="IP62" s="59">
        <f t="shared" si="363"/>
        <v>44205</v>
      </c>
      <c r="IQ62" s="58">
        <f t="shared" si="363"/>
        <v>44206</v>
      </c>
      <c r="IR62" s="59">
        <f t="shared" si="363"/>
        <v>44207</v>
      </c>
      <c r="IS62" s="59">
        <f t="shared" si="363"/>
        <v>44208</v>
      </c>
      <c r="IT62" s="59">
        <f t="shared" si="363"/>
        <v>44209</v>
      </c>
      <c r="IU62" s="59">
        <f t="shared" si="363"/>
        <v>44210</v>
      </c>
      <c r="IV62" s="59">
        <f t="shared" si="363"/>
        <v>44211</v>
      </c>
      <c r="IW62" s="59">
        <f t="shared" si="363"/>
        <v>44212</v>
      </c>
      <c r="IX62" s="58">
        <f t="shared" si="363"/>
        <v>44213</v>
      </c>
      <c r="IY62" s="59">
        <f t="shared" si="363"/>
        <v>44214</v>
      </c>
      <c r="IZ62" s="59">
        <f t="shared" si="363"/>
        <v>44215</v>
      </c>
      <c r="JA62" s="59">
        <f t="shared" si="363"/>
        <v>44216</v>
      </c>
      <c r="JB62" s="59">
        <f t="shared" si="363"/>
        <v>44217</v>
      </c>
      <c r="JC62" s="59">
        <f t="shared" si="363"/>
        <v>44218</v>
      </c>
      <c r="JD62" s="59">
        <f t="shared" si="363"/>
        <v>44219</v>
      </c>
      <c r="JE62" s="58">
        <f t="shared" si="363"/>
        <v>44220</v>
      </c>
      <c r="JF62" s="59">
        <f t="shared" si="363"/>
        <v>44221</v>
      </c>
      <c r="JG62" s="59">
        <f t="shared" si="363"/>
        <v>44222</v>
      </c>
      <c r="JH62" s="59">
        <f t="shared" si="363"/>
        <v>44223</v>
      </c>
      <c r="JI62" s="59">
        <f t="shared" si="363"/>
        <v>44224</v>
      </c>
      <c r="JJ62" s="59">
        <f t="shared" si="363"/>
        <v>44225</v>
      </c>
      <c r="JK62" s="59">
        <f t="shared" si="363"/>
        <v>44226</v>
      </c>
      <c r="JL62" s="58">
        <f t="shared" si="363"/>
        <v>44227</v>
      </c>
      <c r="JM62" s="59">
        <f t="shared" si="363"/>
        <v>44228</v>
      </c>
      <c r="JN62" s="59">
        <f t="shared" si="363"/>
        <v>44229</v>
      </c>
      <c r="JO62" s="59">
        <f t="shared" si="363"/>
        <v>44230</v>
      </c>
      <c r="JP62" s="59">
        <f t="shared" ref="JP62:LW62" si="364">JP35</f>
        <v>44231</v>
      </c>
      <c r="JQ62" s="59">
        <f t="shared" si="364"/>
        <v>44232</v>
      </c>
      <c r="JR62" s="59">
        <f t="shared" si="364"/>
        <v>44233</v>
      </c>
      <c r="JS62" s="58">
        <f t="shared" si="364"/>
        <v>44234</v>
      </c>
      <c r="JT62" s="59">
        <f t="shared" si="364"/>
        <v>44235</v>
      </c>
      <c r="JU62" s="59">
        <f t="shared" si="364"/>
        <v>44236</v>
      </c>
      <c r="JV62" s="59">
        <f t="shared" si="364"/>
        <v>44237</v>
      </c>
      <c r="JW62" s="59">
        <f t="shared" si="364"/>
        <v>44238</v>
      </c>
      <c r="JX62" s="59">
        <f t="shared" si="364"/>
        <v>44239</v>
      </c>
      <c r="JY62" s="59">
        <f t="shared" si="364"/>
        <v>44240</v>
      </c>
      <c r="JZ62" s="58">
        <f t="shared" si="364"/>
        <v>44241</v>
      </c>
      <c r="KA62" s="59">
        <f t="shared" si="364"/>
        <v>44242</v>
      </c>
      <c r="KB62" s="59">
        <f t="shared" si="364"/>
        <v>44243</v>
      </c>
      <c r="KC62" s="59">
        <f t="shared" si="364"/>
        <v>44244</v>
      </c>
      <c r="KD62" s="59">
        <f t="shared" si="364"/>
        <v>44245</v>
      </c>
      <c r="KE62" s="59">
        <f t="shared" si="364"/>
        <v>44246</v>
      </c>
      <c r="KF62" s="59">
        <f t="shared" si="364"/>
        <v>44247</v>
      </c>
      <c r="KG62" s="58">
        <f t="shared" si="364"/>
        <v>44248</v>
      </c>
      <c r="KH62" s="59">
        <f t="shared" si="364"/>
        <v>44249</v>
      </c>
      <c r="KI62" s="59">
        <f t="shared" si="364"/>
        <v>44250</v>
      </c>
      <c r="KJ62" s="59">
        <f t="shared" si="364"/>
        <v>44251</v>
      </c>
      <c r="KK62" s="59">
        <f t="shared" si="364"/>
        <v>44252</v>
      </c>
      <c r="KL62" s="59">
        <f t="shared" si="364"/>
        <v>44253</v>
      </c>
      <c r="KM62" s="59">
        <f t="shared" si="364"/>
        <v>44254</v>
      </c>
      <c r="KN62" s="58">
        <f t="shared" si="364"/>
        <v>44255</v>
      </c>
      <c r="KO62" s="59">
        <f t="shared" si="364"/>
        <v>44256</v>
      </c>
      <c r="KP62" s="59">
        <f t="shared" si="364"/>
        <v>44257</v>
      </c>
      <c r="KQ62" s="59">
        <f t="shared" si="364"/>
        <v>44258</v>
      </c>
      <c r="KR62" s="59">
        <f t="shared" si="364"/>
        <v>44259</v>
      </c>
      <c r="KS62" s="59">
        <f t="shared" si="364"/>
        <v>44260</v>
      </c>
      <c r="KT62" s="59">
        <f t="shared" si="364"/>
        <v>44261</v>
      </c>
      <c r="KU62" s="58">
        <f t="shared" si="364"/>
        <v>44262</v>
      </c>
      <c r="KV62" s="59">
        <f t="shared" si="364"/>
        <v>44263</v>
      </c>
      <c r="KW62" s="59">
        <f t="shared" si="364"/>
        <v>44264</v>
      </c>
      <c r="KX62" s="59">
        <f t="shared" si="364"/>
        <v>44265</v>
      </c>
      <c r="KY62" s="59">
        <f t="shared" si="364"/>
        <v>44266</v>
      </c>
      <c r="KZ62" s="59">
        <f t="shared" si="364"/>
        <v>44267</v>
      </c>
      <c r="LA62" s="59">
        <f t="shared" si="364"/>
        <v>44268</v>
      </c>
      <c r="LB62" s="58">
        <f t="shared" si="364"/>
        <v>44269</v>
      </c>
      <c r="LC62" s="59">
        <f t="shared" si="364"/>
        <v>44270</v>
      </c>
      <c r="LD62" s="59">
        <f t="shared" si="364"/>
        <v>44271</v>
      </c>
      <c r="LE62" s="59">
        <f t="shared" si="364"/>
        <v>44272</v>
      </c>
      <c r="LF62" s="59">
        <f t="shared" si="364"/>
        <v>44273</v>
      </c>
      <c r="LG62" s="59">
        <f t="shared" si="364"/>
        <v>44274</v>
      </c>
      <c r="LH62" s="59">
        <f t="shared" si="364"/>
        <v>44275</v>
      </c>
      <c r="LI62" s="58">
        <f t="shared" si="364"/>
        <v>44276</v>
      </c>
      <c r="LJ62" s="59">
        <f t="shared" si="364"/>
        <v>44277</v>
      </c>
      <c r="LK62" s="59">
        <f t="shared" si="364"/>
        <v>44278</v>
      </c>
      <c r="LL62" s="59">
        <f t="shared" si="364"/>
        <v>44279</v>
      </c>
      <c r="LM62" s="59">
        <f t="shared" si="364"/>
        <v>44280</v>
      </c>
      <c r="LN62" s="59">
        <f t="shared" si="364"/>
        <v>44281</v>
      </c>
      <c r="LO62" s="59">
        <f t="shared" si="364"/>
        <v>44282</v>
      </c>
      <c r="LP62" s="58">
        <f t="shared" si="364"/>
        <v>44283</v>
      </c>
      <c r="LQ62" s="59">
        <f t="shared" si="364"/>
        <v>44284</v>
      </c>
      <c r="LR62" s="59">
        <f t="shared" si="364"/>
        <v>44285</v>
      </c>
      <c r="LS62" s="59">
        <f t="shared" si="364"/>
        <v>44286</v>
      </c>
      <c r="LT62" s="59">
        <f t="shared" si="364"/>
        <v>44287</v>
      </c>
      <c r="LU62" s="59">
        <f t="shared" si="364"/>
        <v>44288</v>
      </c>
      <c r="LV62" s="59">
        <f t="shared" si="364"/>
        <v>44289</v>
      </c>
      <c r="LW62" s="58">
        <f t="shared" si="364"/>
        <v>44290</v>
      </c>
    </row>
    <row r="63" spans="1:335" ht="15" customHeight="1" x14ac:dyDescent="0.25">
      <c r="A63" s="86"/>
      <c r="B63" s="86"/>
      <c r="C63" s="86"/>
      <c r="D63" s="86"/>
      <c r="E63" s="87"/>
      <c r="F63" s="28"/>
      <c r="G63" s="28"/>
      <c r="H63" s="28"/>
      <c r="I63" s="28"/>
      <c r="J63" s="28"/>
      <c r="K63" s="28"/>
      <c r="L63" s="28"/>
      <c r="M63" s="28"/>
      <c r="N63" s="28"/>
      <c r="O63" s="27"/>
      <c r="P63" s="89"/>
      <c r="Q63" s="105"/>
      <c r="R63" s="24"/>
      <c r="S63" s="25"/>
      <c r="T63" s="25"/>
      <c r="U63" s="25"/>
      <c r="V63" s="25"/>
      <c r="W63" s="25"/>
      <c r="X63" s="25"/>
      <c r="Y63" s="24"/>
      <c r="Z63" s="25"/>
      <c r="AA63" s="25"/>
      <c r="AB63" s="25"/>
      <c r="AC63" s="25"/>
      <c r="AD63" s="25"/>
      <c r="AE63" s="25"/>
      <c r="AF63" s="24"/>
      <c r="AG63" s="25"/>
      <c r="AH63" s="25" t="s">
        <v>38</v>
      </c>
      <c r="AI63" s="25"/>
      <c r="AJ63" s="25" t="s">
        <v>38</v>
      </c>
      <c r="AK63" s="25"/>
      <c r="AL63" s="25"/>
      <c r="AM63" s="24"/>
      <c r="AN63" s="25"/>
      <c r="AO63" s="25" t="s">
        <v>38</v>
      </c>
      <c r="AP63" s="25"/>
      <c r="AQ63" s="25" t="s">
        <v>38</v>
      </c>
      <c r="AR63" s="25"/>
      <c r="AS63" s="25"/>
      <c r="AT63" s="24"/>
      <c r="AU63" s="25"/>
      <c r="AV63" s="25" t="s">
        <v>38</v>
      </c>
      <c r="AW63" s="25" t="s">
        <v>266</v>
      </c>
      <c r="AX63" s="25" t="s">
        <v>38</v>
      </c>
      <c r="AY63" s="25"/>
      <c r="AZ63" s="25"/>
      <c r="BA63" s="24"/>
      <c r="BB63" s="25"/>
      <c r="BC63" s="25" t="s">
        <v>38</v>
      </c>
      <c r="BD63" s="25"/>
      <c r="BE63" s="25" t="s">
        <v>38</v>
      </c>
      <c r="BF63" s="25"/>
      <c r="BG63" s="25"/>
      <c r="BH63" s="24"/>
      <c r="BI63" s="25"/>
      <c r="BJ63" s="25" t="s">
        <v>38</v>
      </c>
      <c r="BK63" s="25"/>
      <c r="BL63" s="25" t="s">
        <v>38</v>
      </c>
      <c r="BM63" s="25"/>
      <c r="BN63" s="25"/>
      <c r="BO63" s="24" t="s">
        <v>150</v>
      </c>
      <c r="BP63" s="25"/>
      <c r="BQ63" s="25"/>
      <c r="BR63" s="25"/>
      <c r="BS63" s="25"/>
      <c r="BT63" s="25"/>
      <c r="BU63" s="25"/>
      <c r="BV63" s="25" t="s">
        <v>150</v>
      </c>
      <c r="BW63" s="24"/>
      <c r="BX63" s="25"/>
      <c r="BY63" s="25"/>
      <c r="BZ63" s="25"/>
      <c r="CA63" s="25"/>
      <c r="CB63" s="25"/>
      <c r="CC63" s="25"/>
      <c r="CD63" s="25"/>
      <c r="CE63" s="24"/>
      <c r="CF63" s="25"/>
      <c r="CG63" s="25" t="s">
        <v>38</v>
      </c>
      <c r="CH63" s="25"/>
      <c r="CI63" s="25" t="s">
        <v>38</v>
      </c>
      <c r="CJ63" s="25"/>
      <c r="CK63" s="25"/>
      <c r="CL63" s="24"/>
      <c r="CM63" s="25"/>
      <c r="CN63" s="25" t="s">
        <v>38</v>
      </c>
      <c r="CO63" s="25"/>
      <c r="CP63" s="25" t="s">
        <v>38</v>
      </c>
      <c r="CQ63" s="25"/>
      <c r="CR63" s="25"/>
      <c r="CS63" s="24"/>
      <c r="CT63" s="25"/>
      <c r="CU63" s="25" t="s">
        <v>38</v>
      </c>
      <c r="CV63" s="25"/>
      <c r="CW63" s="25" t="s">
        <v>38</v>
      </c>
      <c r="CX63" s="25"/>
      <c r="CY63" s="25"/>
      <c r="CZ63" s="24"/>
      <c r="DA63" s="25"/>
      <c r="DB63" s="25" t="s">
        <v>38</v>
      </c>
      <c r="DC63" s="25"/>
      <c r="DD63" s="25" t="s">
        <v>38</v>
      </c>
      <c r="DE63" s="25"/>
      <c r="DF63" s="25"/>
      <c r="DG63" s="24"/>
      <c r="DH63" s="25"/>
      <c r="DI63" s="25" t="s">
        <v>38</v>
      </c>
      <c r="DJ63" s="25"/>
      <c r="DK63" s="25" t="s">
        <v>38</v>
      </c>
      <c r="DL63" s="25"/>
      <c r="DM63" s="25"/>
      <c r="DN63" s="24"/>
      <c r="DO63" s="25"/>
      <c r="DP63" s="25" t="s">
        <v>38</v>
      </c>
      <c r="DQ63" s="25"/>
      <c r="DR63" s="25" t="s">
        <v>38</v>
      </c>
      <c r="DS63" s="25"/>
      <c r="DT63" s="25"/>
      <c r="DU63" s="24"/>
      <c r="DV63" s="25"/>
      <c r="DW63" s="25" t="s">
        <v>38</v>
      </c>
      <c r="DX63" s="25"/>
      <c r="DY63" s="25" t="s">
        <v>38</v>
      </c>
      <c r="DZ63" s="25"/>
      <c r="EA63" s="25"/>
      <c r="EB63" s="24"/>
      <c r="EC63" s="25"/>
      <c r="ED63" s="25" t="s">
        <v>38</v>
      </c>
      <c r="EE63" s="25"/>
      <c r="EF63" s="25" t="s">
        <v>38</v>
      </c>
      <c r="EG63" s="25"/>
      <c r="EH63" s="25"/>
      <c r="EI63" s="24"/>
      <c r="EJ63" s="25"/>
      <c r="EK63" s="25" t="s">
        <v>38</v>
      </c>
      <c r="EL63" s="25"/>
      <c r="EM63" s="25" t="s">
        <v>38</v>
      </c>
      <c r="EN63" s="25"/>
      <c r="EO63" s="25"/>
      <c r="EP63" s="24"/>
      <c r="EQ63" s="25"/>
      <c r="ER63" s="25"/>
      <c r="ES63" s="25"/>
      <c r="ET63" s="25"/>
      <c r="EU63" s="25" t="s">
        <v>38</v>
      </c>
      <c r="EV63" s="25"/>
      <c r="EW63" s="24"/>
      <c r="EX63" s="25"/>
      <c r="EY63" s="25" t="s">
        <v>38</v>
      </c>
      <c r="EZ63" s="25"/>
      <c r="FA63" s="25" t="s">
        <v>38</v>
      </c>
      <c r="FB63" s="25"/>
      <c r="FC63" s="25"/>
      <c r="FD63" s="24"/>
      <c r="FE63" s="25"/>
      <c r="FF63" s="25" t="s">
        <v>38</v>
      </c>
      <c r="FG63" s="25"/>
      <c r="FH63" s="25" t="s">
        <v>38</v>
      </c>
      <c r="FI63" s="25"/>
      <c r="FJ63" s="25"/>
      <c r="FK63" s="24"/>
      <c r="FL63" s="25"/>
      <c r="FM63" s="25" t="s">
        <v>38</v>
      </c>
      <c r="FN63" s="25"/>
      <c r="FO63" s="25" t="s">
        <v>38</v>
      </c>
      <c r="FP63" s="25"/>
      <c r="FQ63" s="25"/>
      <c r="FR63" s="24"/>
      <c r="FS63" s="25"/>
      <c r="FT63" s="25" t="s">
        <v>38</v>
      </c>
      <c r="FU63" s="25"/>
      <c r="FV63" s="25" t="s">
        <v>38</v>
      </c>
      <c r="FW63" s="25"/>
      <c r="FX63" s="25"/>
      <c r="FY63" s="24"/>
      <c r="FZ63" s="25"/>
      <c r="GA63" s="25" t="s">
        <v>38</v>
      </c>
      <c r="GB63" s="25"/>
      <c r="GC63" s="25" t="s">
        <v>38</v>
      </c>
      <c r="GD63" s="25"/>
      <c r="GE63" s="25"/>
      <c r="GF63" s="24"/>
      <c r="GG63" s="25"/>
      <c r="GH63" s="25" t="s">
        <v>38</v>
      </c>
      <c r="GI63" s="25"/>
      <c r="GJ63" s="25" t="s">
        <v>38</v>
      </c>
      <c r="GK63" s="25"/>
      <c r="GL63" s="25"/>
      <c r="GM63" s="24"/>
      <c r="GN63" s="25"/>
      <c r="GO63" s="25" t="s">
        <v>38</v>
      </c>
      <c r="GP63" s="25"/>
      <c r="GQ63" s="25" t="s">
        <v>38</v>
      </c>
      <c r="GR63" s="25"/>
      <c r="GS63" s="25"/>
      <c r="GT63" s="24"/>
      <c r="GU63" s="25"/>
      <c r="GV63" s="25" t="s">
        <v>38</v>
      </c>
      <c r="GW63" s="25"/>
      <c r="GX63" s="25" t="s">
        <v>38</v>
      </c>
      <c r="GY63" s="25"/>
      <c r="GZ63" s="25"/>
      <c r="HA63" s="24"/>
      <c r="HB63" s="25"/>
      <c r="HC63" s="25" t="s">
        <v>38</v>
      </c>
      <c r="HD63" s="25"/>
      <c r="HE63" s="25" t="s">
        <v>38</v>
      </c>
      <c r="HF63" s="25"/>
      <c r="HG63" s="25"/>
      <c r="HH63" s="24"/>
      <c r="HI63" s="25"/>
      <c r="HJ63" s="25" t="s">
        <v>38</v>
      </c>
      <c r="HK63" s="25"/>
      <c r="HL63" s="25" t="s">
        <v>38</v>
      </c>
      <c r="HM63" s="25"/>
      <c r="HN63" s="25"/>
      <c r="HO63" s="24"/>
      <c r="HP63" s="25"/>
      <c r="HQ63" s="25" t="s">
        <v>38</v>
      </c>
      <c r="HR63" s="25"/>
      <c r="HS63" s="25" t="s">
        <v>38</v>
      </c>
      <c r="HT63" s="25"/>
      <c r="HU63" s="25"/>
      <c r="HV63" s="24"/>
      <c r="HW63" s="25"/>
      <c r="HX63" s="25" t="s">
        <v>38</v>
      </c>
      <c r="HY63" s="25"/>
      <c r="HZ63" s="25" t="s">
        <v>38</v>
      </c>
      <c r="IA63" s="25"/>
      <c r="IB63" s="25"/>
      <c r="IC63" s="24"/>
      <c r="ID63" s="25"/>
      <c r="IE63" s="25" t="s">
        <v>38</v>
      </c>
      <c r="IF63" s="25"/>
      <c r="IG63" s="25" t="s">
        <v>38</v>
      </c>
      <c r="IH63" s="25"/>
      <c r="II63" s="25"/>
      <c r="IJ63" s="24"/>
      <c r="IK63" s="25"/>
      <c r="IL63" s="25" t="s">
        <v>38</v>
      </c>
      <c r="IM63" s="25"/>
      <c r="IN63" s="25" t="s">
        <v>38</v>
      </c>
      <c r="IO63" s="25"/>
      <c r="IP63" s="25"/>
      <c r="IQ63" s="24"/>
      <c r="IR63" s="25"/>
      <c r="IS63" s="25" t="s">
        <v>38</v>
      </c>
      <c r="IT63" s="25"/>
      <c r="IU63" s="25" t="s">
        <v>38</v>
      </c>
      <c r="IV63" s="25"/>
      <c r="IW63" s="25"/>
      <c r="IX63" s="24"/>
      <c r="IY63" s="25"/>
      <c r="IZ63" s="25" t="s">
        <v>38</v>
      </c>
      <c r="JA63" s="25"/>
      <c r="JB63" s="25" t="s">
        <v>38</v>
      </c>
      <c r="JC63" s="25"/>
      <c r="JD63" s="25"/>
      <c r="JE63" s="24"/>
      <c r="JF63" s="25"/>
      <c r="JG63" s="25" t="s">
        <v>38</v>
      </c>
      <c r="JH63" s="25"/>
      <c r="JI63" s="25" t="s">
        <v>38</v>
      </c>
      <c r="JJ63" s="25"/>
      <c r="JK63" s="25"/>
      <c r="JL63" s="24"/>
      <c r="JM63" s="25"/>
      <c r="JN63" s="25" t="s">
        <v>38</v>
      </c>
      <c r="JO63" s="25"/>
      <c r="JP63" s="25" t="s">
        <v>38</v>
      </c>
      <c r="JQ63" s="25"/>
      <c r="JR63" s="25"/>
      <c r="JS63" s="24"/>
      <c r="JT63" s="25"/>
      <c r="JU63" s="25" t="s">
        <v>38</v>
      </c>
      <c r="JV63" s="25"/>
      <c r="JW63" s="25" t="s">
        <v>38</v>
      </c>
      <c r="JX63" s="25"/>
      <c r="JY63" s="25"/>
      <c r="JZ63" s="24"/>
      <c r="KA63" s="25"/>
      <c r="KB63" s="25" t="s">
        <v>38</v>
      </c>
      <c r="KC63" s="25"/>
      <c r="KD63" s="25" t="s">
        <v>38</v>
      </c>
      <c r="KE63" s="25"/>
      <c r="KF63" s="25"/>
      <c r="KG63" s="24"/>
      <c r="KH63" s="25"/>
      <c r="KI63" s="25" t="s">
        <v>38</v>
      </c>
      <c r="KJ63" s="25"/>
      <c r="KK63" s="25" t="s">
        <v>38</v>
      </c>
      <c r="KL63" s="25"/>
      <c r="KM63" s="25"/>
      <c r="KN63" s="24"/>
      <c r="KO63" s="25"/>
      <c r="KP63" s="25" t="s">
        <v>38</v>
      </c>
      <c r="KQ63" s="25"/>
      <c r="KR63" s="25" t="s">
        <v>38</v>
      </c>
      <c r="KS63" s="25"/>
      <c r="KT63" s="25"/>
      <c r="KU63" s="26"/>
      <c r="KV63" s="25"/>
      <c r="KW63" s="25" t="s">
        <v>38</v>
      </c>
      <c r="KX63" s="25"/>
      <c r="KY63" s="25" t="s">
        <v>38</v>
      </c>
      <c r="KZ63" s="25"/>
      <c r="LA63" s="25"/>
      <c r="LB63" s="24"/>
      <c r="LC63" s="25"/>
      <c r="LD63" s="25"/>
      <c r="LE63" s="25"/>
      <c r="LF63" s="25"/>
      <c r="LG63" s="25"/>
      <c r="LH63" s="25"/>
      <c r="LI63" s="24"/>
      <c r="LJ63" s="25"/>
      <c r="LK63" s="25"/>
      <c r="LL63" s="25"/>
      <c r="LM63" s="25"/>
      <c r="LN63" s="25"/>
      <c r="LO63" s="25"/>
      <c r="LP63" s="24"/>
      <c r="LQ63" s="25"/>
      <c r="LR63" s="25"/>
      <c r="LS63" s="25"/>
      <c r="LT63" s="25"/>
      <c r="LU63" s="25"/>
      <c r="LV63" s="25"/>
      <c r="LW63" s="24"/>
    </row>
    <row r="64" spans="1:335" x14ac:dyDescent="0.25">
      <c r="A64" s="23" t="s">
        <v>16</v>
      </c>
      <c r="B64" s="20"/>
      <c r="C64" s="20"/>
      <c r="D64" s="20"/>
      <c r="E64" s="20"/>
      <c r="F64" s="22" t="str">
        <f t="shared" ref="F64:F69" si="365">IF($E64 &gt;= F$38, 1, "")</f>
        <v/>
      </c>
      <c r="G64" s="20"/>
      <c r="H64" s="20"/>
      <c r="I64" s="20" t="str">
        <f t="shared" ref="I64:L65" si="366">IF($E64 &gt;= I$38, 1, "")</f>
        <v/>
      </c>
      <c r="J64" s="20" t="str">
        <f t="shared" si="366"/>
        <v/>
      </c>
      <c r="K64" s="20" t="str">
        <f t="shared" si="366"/>
        <v/>
      </c>
      <c r="L64" s="20" t="str">
        <f t="shared" si="366"/>
        <v/>
      </c>
      <c r="M64" s="20"/>
      <c r="N64" s="20"/>
      <c r="O64" s="21"/>
      <c r="P64" s="20" t="str">
        <f t="shared" ref="P64:P69" si="367">IF(SUM(R64:LW64) &gt; 0, SUM(R64:LW64), "")</f>
        <v/>
      </c>
      <c r="Q64" s="102" t="str">
        <f>IF(SUM(R64:XFD64) &gt; 0, SUM(R64:XFD64) / $P$82 * 100, "")</f>
        <v/>
      </c>
      <c r="R64" s="21"/>
      <c r="S64" s="20"/>
      <c r="T64" s="20"/>
      <c r="U64" s="20"/>
      <c r="V64" s="20"/>
      <c r="W64" s="20"/>
      <c r="X64" s="20"/>
      <c r="Y64" s="21"/>
      <c r="Z64" s="20"/>
      <c r="AA64" s="20"/>
      <c r="AB64" s="20"/>
      <c r="AC64" s="20"/>
      <c r="AD64" s="20"/>
      <c r="AE64" s="20"/>
      <c r="AF64" s="21"/>
      <c r="AG64" s="20"/>
      <c r="AH64" s="20"/>
      <c r="AI64" s="20"/>
      <c r="AJ64" s="20"/>
      <c r="AK64" s="20"/>
      <c r="AL64" s="20"/>
      <c r="AM64" s="21"/>
      <c r="AN64" s="20"/>
      <c r="AO64" s="20"/>
      <c r="AP64" s="20"/>
      <c r="AQ64" s="20"/>
      <c r="AR64" s="20"/>
      <c r="AS64" s="20"/>
      <c r="AT64" s="21"/>
      <c r="AU64" s="20"/>
      <c r="AV64" s="20"/>
      <c r="AW64" s="20"/>
      <c r="AX64" s="20"/>
      <c r="AY64" s="20"/>
      <c r="AZ64" s="20"/>
      <c r="BA64" s="21"/>
      <c r="BB64" s="20"/>
      <c r="BC64" s="20"/>
      <c r="BD64" s="20"/>
      <c r="BE64" s="20"/>
      <c r="BF64" s="20"/>
      <c r="BG64" s="20"/>
      <c r="BH64" s="21"/>
      <c r="BI64" s="20"/>
      <c r="BJ64" s="20"/>
      <c r="BK64" s="20"/>
      <c r="BL64" s="20"/>
      <c r="BM64" s="20"/>
      <c r="BN64" s="20"/>
      <c r="BO64" s="21"/>
      <c r="BP64" s="20"/>
      <c r="BQ64" s="20"/>
      <c r="BR64" s="20"/>
      <c r="BS64" s="20"/>
      <c r="BT64" s="20"/>
      <c r="BU64" s="20"/>
      <c r="BV64" s="20"/>
      <c r="BW64" s="21"/>
      <c r="BX64" s="20"/>
      <c r="BY64" s="20"/>
      <c r="BZ64" s="20"/>
      <c r="CA64" s="20"/>
      <c r="CB64" s="20"/>
      <c r="CC64" s="20"/>
      <c r="CD64" s="20"/>
      <c r="CE64" s="21"/>
      <c r="CF64" s="20"/>
      <c r="CG64" s="20"/>
      <c r="CH64" s="20"/>
      <c r="CI64" s="20"/>
      <c r="CJ64" s="20"/>
      <c r="CK64" s="20"/>
      <c r="CL64" s="21"/>
      <c r="CM64" s="20"/>
      <c r="CN64" s="20"/>
      <c r="CO64" s="20"/>
      <c r="CP64" s="20"/>
      <c r="CQ64" s="20"/>
      <c r="CR64" s="20"/>
      <c r="CS64" s="21"/>
      <c r="CT64" s="20"/>
      <c r="CU64" s="20"/>
      <c r="CV64" s="20"/>
      <c r="CW64" s="20"/>
      <c r="CX64" s="20"/>
      <c r="CY64" s="20"/>
      <c r="CZ64" s="21"/>
      <c r="DA64" s="20"/>
      <c r="DB64" s="20"/>
      <c r="DC64" s="20"/>
      <c r="DD64" s="20"/>
      <c r="DE64" s="20"/>
      <c r="DF64" s="20"/>
      <c r="DG64" s="21"/>
      <c r="DH64" s="20"/>
      <c r="DI64" s="20"/>
      <c r="DJ64" s="20"/>
      <c r="DK64" s="20"/>
      <c r="DL64" s="20"/>
      <c r="DM64" s="20"/>
      <c r="DN64" s="21"/>
      <c r="DO64" s="20"/>
      <c r="DP64" s="20"/>
      <c r="DQ64" s="20"/>
      <c r="DR64" s="20"/>
      <c r="DS64" s="20"/>
      <c r="DT64" s="20"/>
      <c r="DU64" s="21"/>
      <c r="DV64" s="20"/>
      <c r="DW64" s="20"/>
      <c r="DX64" s="20"/>
      <c r="DY64" s="20"/>
      <c r="DZ64" s="20"/>
      <c r="EA64" s="20"/>
      <c r="EB64" s="21"/>
      <c r="EC64" s="20"/>
      <c r="ED64" s="20"/>
      <c r="EE64" s="20"/>
      <c r="EF64" s="20"/>
      <c r="EG64" s="20"/>
      <c r="EH64" s="20"/>
      <c r="EI64" s="21"/>
      <c r="EJ64" s="20"/>
      <c r="EK64" s="20"/>
      <c r="EL64" s="20"/>
      <c r="EM64" s="20"/>
      <c r="EN64" s="20"/>
      <c r="EO64" s="20"/>
      <c r="EP64" s="21"/>
      <c r="EQ64" s="20"/>
      <c r="ER64" s="20"/>
      <c r="ES64" s="20"/>
      <c r="ET64" s="20"/>
      <c r="EU64" s="20"/>
      <c r="EV64" s="20"/>
      <c r="EW64" s="21"/>
      <c r="EX64" s="20"/>
      <c r="EY64" s="20"/>
      <c r="EZ64" s="20"/>
      <c r="FA64" s="20"/>
      <c r="FB64" s="20"/>
      <c r="FC64" s="20"/>
      <c r="FD64" s="21"/>
      <c r="FE64" s="20"/>
      <c r="FF64" s="20"/>
      <c r="FG64" s="20"/>
      <c r="FH64" s="20"/>
      <c r="FI64" s="20"/>
      <c r="FJ64" s="20"/>
      <c r="FK64" s="21"/>
      <c r="FL64" s="20"/>
      <c r="FM64" s="20"/>
      <c r="FN64" s="20"/>
      <c r="FO64" s="20"/>
      <c r="FP64" s="20"/>
      <c r="FQ64" s="20"/>
      <c r="FR64" s="21"/>
      <c r="FS64" s="20"/>
      <c r="FT64" s="20"/>
      <c r="FU64" s="20"/>
      <c r="FV64" s="20"/>
      <c r="FW64" s="20"/>
      <c r="FX64" s="20"/>
      <c r="FY64" s="21"/>
      <c r="FZ64" s="20"/>
      <c r="GA64" s="20"/>
      <c r="GB64" s="20"/>
      <c r="GC64" s="20"/>
      <c r="GD64" s="20"/>
      <c r="GE64" s="20"/>
      <c r="GF64" s="21"/>
      <c r="GG64" s="20"/>
      <c r="GH64" s="20"/>
      <c r="GI64" s="20"/>
      <c r="GJ64" s="20"/>
      <c r="GK64" s="20"/>
      <c r="GL64" s="20"/>
      <c r="GM64" s="21"/>
      <c r="GN64" s="20"/>
      <c r="GO64" s="20"/>
      <c r="GP64" s="20"/>
      <c r="GQ64" s="20"/>
      <c r="GR64" s="20"/>
      <c r="GS64" s="20"/>
      <c r="GT64" s="21"/>
      <c r="GU64" s="20"/>
      <c r="GV64" s="20"/>
      <c r="GW64" s="20"/>
      <c r="GX64" s="20"/>
      <c r="GY64" s="20"/>
      <c r="GZ64" s="20"/>
      <c r="HA64" s="21"/>
      <c r="HB64" s="20"/>
      <c r="HC64" s="20"/>
      <c r="HD64" s="20"/>
      <c r="HE64" s="20"/>
      <c r="HF64" s="20"/>
      <c r="HG64" s="20"/>
      <c r="HH64" s="21"/>
      <c r="HI64" s="20"/>
      <c r="HJ64" s="20"/>
      <c r="HK64" s="20"/>
      <c r="HL64" s="20"/>
      <c r="HM64" s="20"/>
      <c r="HN64" s="20"/>
      <c r="HO64" s="21"/>
      <c r="HP64" s="20"/>
      <c r="HQ64" s="20"/>
      <c r="HR64" s="20"/>
      <c r="HS64" s="20"/>
      <c r="HT64" s="20"/>
      <c r="HU64" s="20"/>
      <c r="HV64" s="21"/>
      <c r="HW64" s="20"/>
      <c r="HX64" s="20"/>
      <c r="HY64" s="20"/>
      <c r="HZ64" s="20"/>
      <c r="IA64" s="20"/>
      <c r="IB64" s="20"/>
      <c r="IC64" s="21"/>
      <c r="ID64" s="20"/>
      <c r="IE64" s="20"/>
      <c r="IF64" s="20"/>
      <c r="IG64" s="20"/>
      <c r="IH64" s="20"/>
      <c r="II64" s="20"/>
      <c r="IJ64" s="21"/>
      <c r="IK64" s="20"/>
      <c r="IL64" s="20"/>
      <c r="IM64" s="20"/>
      <c r="IN64" s="20"/>
      <c r="IO64" s="20"/>
      <c r="IP64" s="20"/>
      <c r="IQ64" s="21"/>
      <c r="IR64" s="20"/>
      <c r="IS64" s="20"/>
      <c r="IT64" s="20"/>
      <c r="IU64" s="20"/>
      <c r="IV64" s="20"/>
      <c r="IW64" s="20"/>
      <c r="IX64" s="21"/>
      <c r="IY64" s="20"/>
      <c r="IZ64" s="20"/>
      <c r="JA64" s="20"/>
      <c r="JB64" s="20"/>
      <c r="JC64" s="20"/>
      <c r="JD64" s="20"/>
      <c r="JE64" s="21"/>
      <c r="JF64" s="20"/>
      <c r="JG64" s="20"/>
      <c r="JH64" s="20"/>
      <c r="JI64" s="20"/>
      <c r="JJ64" s="20"/>
      <c r="JK64" s="20"/>
      <c r="JL64" s="21"/>
      <c r="JM64" s="20"/>
      <c r="JN64" s="20"/>
      <c r="JO64" s="20"/>
      <c r="JP64" s="20"/>
      <c r="JQ64" s="20"/>
      <c r="JR64" s="20"/>
      <c r="JS64" s="21"/>
      <c r="JT64" s="20"/>
      <c r="JU64" s="20"/>
      <c r="JV64" s="20"/>
      <c r="JW64" s="20"/>
      <c r="JX64" s="20"/>
      <c r="JY64" s="20"/>
      <c r="JZ64" s="21"/>
      <c r="KA64" s="20"/>
      <c r="KB64" s="20"/>
      <c r="KC64" s="20"/>
      <c r="KD64" s="20"/>
      <c r="KE64" s="20"/>
      <c r="KF64" s="20"/>
      <c r="KG64" s="21"/>
      <c r="KH64" s="20"/>
      <c r="KI64" s="20"/>
      <c r="KJ64" s="20"/>
      <c r="KK64" s="20"/>
      <c r="KL64" s="20"/>
      <c r="KM64" s="20"/>
      <c r="KN64" s="21"/>
      <c r="KO64" s="20"/>
      <c r="KP64" s="20"/>
      <c r="KQ64" s="20"/>
      <c r="KR64" s="20"/>
      <c r="KS64" s="20"/>
      <c r="KT64" s="20"/>
      <c r="KU64" s="21"/>
      <c r="KV64" s="20"/>
      <c r="KW64" s="20"/>
      <c r="KX64" s="20"/>
      <c r="KY64" s="20"/>
      <c r="KZ64" s="20"/>
      <c r="LA64" s="20"/>
      <c r="LB64" s="21"/>
      <c r="LC64" s="20"/>
      <c r="LD64" s="20"/>
      <c r="LE64" s="20"/>
      <c r="LF64" s="20"/>
      <c r="LG64" s="20"/>
      <c r="LH64" s="20"/>
      <c r="LI64" s="21"/>
      <c r="LJ64" s="20"/>
      <c r="LK64" s="20"/>
      <c r="LL64" s="20"/>
      <c r="LM64" s="20"/>
      <c r="LN64" s="20"/>
      <c r="LO64" s="20"/>
      <c r="LP64" s="21"/>
      <c r="LQ64" s="20"/>
      <c r="LR64" s="20"/>
      <c r="LS64" s="20"/>
      <c r="LT64" s="20"/>
      <c r="LU64" s="20"/>
      <c r="LV64" s="20"/>
      <c r="LW64" s="21"/>
    </row>
    <row r="65" spans="1:335" ht="7.5" customHeight="1" x14ac:dyDescent="0.25">
      <c r="A65" s="8"/>
      <c r="B65" s="8"/>
      <c r="C65" s="8"/>
      <c r="D65" s="8"/>
      <c r="E65" s="8"/>
      <c r="F65" s="10" t="str">
        <f t="shared" si="365"/>
        <v/>
      </c>
      <c r="G65" s="19"/>
      <c r="H65" s="19"/>
      <c r="I65" s="19" t="str">
        <f t="shared" si="366"/>
        <v/>
      </c>
      <c r="J65" s="19" t="str">
        <f t="shared" si="366"/>
        <v/>
      </c>
      <c r="K65" s="19" t="str">
        <f t="shared" si="366"/>
        <v/>
      </c>
      <c r="L65" s="19" t="str">
        <f t="shared" si="366"/>
        <v/>
      </c>
      <c r="M65" s="8"/>
      <c r="N65" s="8"/>
      <c r="O65" s="9"/>
      <c r="P65" s="8" t="str">
        <f t="shared" si="367"/>
        <v/>
      </c>
      <c r="Q65" s="106" t="str">
        <f t="shared" ref="Q65:Q70" si="368">IF(SUM(R65:XFD65) &gt; 0, SUM(R65:XFD65) / $P$71 * 100, "")</f>
        <v/>
      </c>
      <c r="R65" s="7"/>
      <c r="Y65" s="7"/>
      <c r="AF65" s="7"/>
      <c r="AM65" s="7"/>
      <c r="AT65" s="7"/>
      <c r="BA65" s="7"/>
      <c r="BH65" s="7"/>
      <c r="BO65" s="7"/>
      <c r="BW65" s="7"/>
      <c r="CE65" s="7"/>
      <c r="CL65" s="7"/>
      <c r="CS65" s="7"/>
      <c r="CZ65" s="7"/>
      <c r="DG65" s="7"/>
      <c r="DN65" s="7"/>
      <c r="DU65" s="7"/>
      <c r="EB65" s="7"/>
      <c r="EI65" s="7"/>
      <c r="EP65" s="7"/>
      <c r="EW65" s="7"/>
      <c r="FD65" s="7"/>
      <c r="FK65" s="7"/>
      <c r="FR65" s="7"/>
      <c r="FY65" s="7"/>
      <c r="GF65" s="7"/>
      <c r="GM65" s="7"/>
      <c r="GT65" s="7"/>
      <c r="HA65" s="7"/>
      <c r="HH65" s="7"/>
      <c r="HO65" s="7"/>
      <c r="HV65" s="7"/>
      <c r="IC65" s="7"/>
      <c r="IJ65" s="7"/>
      <c r="IQ65" s="7"/>
      <c r="IX65" s="7"/>
      <c r="JE65" s="7"/>
      <c r="JL65" s="7"/>
      <c r="JS65" s="7"/>
      <c r="JZ65" s="7"/>
      <c r="KG65" s="7"/>
      <c r="KN65" s="7"/>
      <c r="KU65" s="7"/>
      <c r="LB65" s="7"/>
      <c r="LI65" s="7"/>
      <c r="LP65" s="7"/>
      <c r="LW65" s="7"/>
    </row>
    <row r="66" spans="1:335" x14ac:dyDescent="0.25">
      <c r="A66" s="8" t="s">
        <v>37</v>
      </c>
      <c r="B66" s="8"/>
      <c r="C66" s="8" t="s">
        <v>36</v>
      </c>
      <c r="D66" s="8" t="s">
        <v>35</v>
      </c>
      <c r="E66" s="18">
        <v>39448</v>
      </c>
      <c r="F66" s="10">
        <f t="shared" si="365"/>
        <v>1</v>
      </c>
      <c r="G66" s="19">
        <f t="shared" ref="G66:H69" si="369">IF($E66 &gt;= G$38, 1, "")</f>
        <v>1</v>
      </c>
      <c r="H66" s="19">
        <f t="shared" si="369"/>
        <v>1</v>
      </c>
      <c r="I66" s="8">
        <f t="shared" ref="I66:L69" si="370">IF($E66 &gt;= I$38, 1, "")</f>
        <v>1</v>
      </c>
      <c r="J66" s="8">
        <f t="shared" si="370"/>
        <v>1</v>
      </c>
      <c r="K66" s="8" t="str">
        <f t="shared" si="370"/>
        <v/>
      </c>
      <c r="L66" s="8" t="str">
        <f t="shared" si="370"/>
        <v/>
      </c>
      <c r="M66" s="8"/>
      <c r="N66" s="8"/>
      <c r="O66" s="9"/>
      <c r="P66" s="8">
        <f t="shared" si="367"/>
        <v>8</v>
      </c>
      <c r="Q66" s="106">
        <f t="shared" si="368"/>
        <v>61.53846153846154</v>
      </c>
      <c r="R66" s="7"/>
      <c r="Y66" s="7"/>
      <c r="AF66" s="7"/>
      <c r="AJ66">
        <v>1</v>
      </c>
      <c r="AM66" s="7"/>
      <c r="AO66">
        <v>1</v>
      </c>
      <c r="AT66" s="7"/>
      <c r="AV66">
        <v>1</v>
      </c>
      <c r="BA66" s="7"/>
      <c r="BC66">
        <v>1</v>
      </c>
      <c r="BH66" s="7"/>
      <c r="BJ66">
        <v>1</v>
      </c>
      <c r="BL66">
        <v>1</v>
      </c>
      <c r="BM66">
        <v>1</v>
      </c>
      <c r="BO66" s="7"/>
      <c r="BV66">
        <v>1</v>
      </c>
      <c r="BW66" s="7"/>
      <c r="CE66" s="7"/>
      <c r="CL66" s="7"/>
      <c r="CS66" s="7"/>
      <c r="CZ66" s="7"/>
      <c r="DG66" s="7"/>
      <c r="DN66" s="7"/>
      <c r="DU66" s="7"/>
      <c r="EB66" s="7"/>
      <c r="EI66" s="7"/>
      <c r="EP66" s="7"/>
      <c r="EW66" s="7"/>
      <c r="FD66" s="7"/>
      <c r="FK66" s="7"/>
      <c r="FR66" s="7"/>
      <c r="FY66" s="7"/>
      <c r="GF66" s="7"/>
      <c r="GM66" s="7"/>
      <c r="GT66" s="7"/>
      <c r="HA66" s="7"/>
      <c r="HH66" s="7"/>
      <c r="HO66" s="7"/>
      <c r="HV66" s="7"/>
      <c r="IC66" s="7"/>
      <c r="IJ66" s="7"/>
      <c r="IQ66" s="7"/>
      <c r="IX66" s="7"/>
      <c r="JE66" s="7"/>
      <c r="JL66" s="7"/>
      <c r="JS66" s="7"/>
      <c r="JZ66" s="7"/>
      <c r="KG66" s="7"/>
      <c r="KN66" s="7"/>
      <c r="KU66" s="7"/>
      <c r="LB66" s="7"/>
      <c r="LI66" s="7"/>
      <c r="LP66" s="7"/>
      <c r="LW66" s="7"/>
    </row>
    <row r="67" spans="1:335" x14ac:dyDescent="0.25">
      <c r="A67" s="8" t="s">
        <v>34</v>
      </c>
      <c r="B67" s="8"/>
      <c r="C67" s="8" t="s">
        <v>33</v>
      </c>
      <c r="D67" s="8" t="s">
        <v>32</v>
      </c>
      <c r="E67" s="18">
        <v>39649</v>
      </c>
      <c r="F67" s="10">
        <f t="shared" si="365"/>
        <v>1</v>
      </c>
      <c r="G67" s="19">
        <f t="shared" si="369"/>
        <v>1</v>
      </c>
      <c r="H67" s="19">
        <f t="shared" si="369"/>
        <v>1</v>
      </c>
      <c r="I67" s="8">
        <f t="shared" si="370"/>
        <v>1</v>
      </c>
      <c r="J67" s="8">
        <f t="shared" si="370"/>
        <v>1</v>
      </c>
      <c r="K67" s="8" t="str">
        <f t="shared" si="370"/>
        <v/>
      </c>
      <c r="L67" s="8" t="str">
        <f t="shared" si="370"/>
        <v/>
      </c>
      <c r="M67" s="8"/>
      <c r="N67" s="8"/>
      <c r="O67" s="9"/>
      <c r="P67" s="8" t="str">
        <f t="shared" si="367"/>
        <v/>
      </c>
      <c r="Q67" s="106" t="str">
        <f t="shared" si="368"/>
        <v/>
      </c>
      <c r="R67" s="7"/>
      <c r="Y67" s="7"/>
      <c r="AF67" s="7"/>
      <c r="AM67" s="7"/>
      <c r="AT67" s="7"/>
      <c r="BA67" s="7"/>
      <c r="BH67" s="7"/>
      <c r="BO67" s="7"/>
      <c r="BW67" s="7"/>
      <c r="CE67" s="7"/>
      <c r="CL67" s="7"/>
      <c r="CS67" s="7"/>
      <c r="CZ67" s="7"/>
      <c r="DG67" s="7"/>
      <c r="DN67" s="7"/>
      <c r="DU67" s="7"/>
      <c r="EB67" s="7"/>
      <c r="EI67" s="7"/>
      <c r="EP67" s="7"/>
      <c r="EW67" s="7"/>
      <c r="FD67" s="7"/>
      <c r="FK67" s="7"/>
      <c r="FR67" s="7"/>
      <c r="FY67" s="7"/>
      <c r="GF67" s="7"/>
      <c r="GM67" s="7"/>
      <c r="GT67" s="7"/>
      <c r="HA67" s="7"/>
      <c r="HH67" s="7"/>
      <c r="HO67" s="7"/>
      <c r="HV67" s="7"/>
      <c r="IC67" s="7"/>
      <c r="IJ67" s="7"/>
      <c r="IQ67" s="7"/>
      <c r="IX67" s="7"/>
      <c r="JE67" s="7"/>
      <c r="JL67" s="7"/>
      <c r="JS67" s="7"/>
      <c r="JZ67" s="7"/>
      <c r="KG67" s="7"/>
      <c r="KN67" s="7"/>
      <c r="KU67" s="7"/>
      <c r="LB67" s="7"/>
      <c r="LI67" s="7"/>
      <c r="LP67" s="7"/>
      <c r="LW67" s="7"/>
    </row>
    <row r="68" spans="1:335" x14ac:dyDescent="0.25">
      <c r="A68" s="8" t="s">
        <v>31</v>
      </c>
      <c r="B68" s="8"/>
      <c r="C68" s="8" t="s">
        <v>30</v>
      </c>
      <c r="D68" s="8" t="s">
        <v>29</v>
      </c>
      <c r="E68" s="18">
        <v>39453</v>
      </c>
      <c r="F68" s="10">
        <f t="shared" si="365"/>
        <v>1</v>
      </c>
      <c r="G68" s="19">
        <f t="shared" si="369"/>
        <v>1</v>
      </c>
      <c r="H68" s="19">
        <f t="shared" si="369"/>
        <v>1</v>
      </c>
      <c r="I68" s="8">
        <f t="shared" si="370"/>
        <v>1</v>
      </c>
      <c r="J68" s="8">
        <f t="shared" si="370"/>
        <v>1</v>
      </c>
      <c r="K68" s="8" t="str">
        <f t="shared" si="370"/>
        <v/>
      </c>
      <c r="L68" s="8" t="str">
        <f t="shared" si="370"/>
        <v/>
      </c>
      <c r="M68" s="8"/>
      <c r="N68" s="8"/>
      <c r="O68" s="9"/>
      <c r="P68" s="8">
        <f t="shared" si="367"/>
        <v>9</v>
      </c>
      <c r="Q68" s="106">
        <f t="shared" si="368"/>
        <v>69.230769230769226</v>
      </c>
      <c r="R68" s="7"/>
      <c r="Y68" s="7"/>
      <c r="AF68" s="7"/>
      <c r="AJ68">
        <v>1</v>
      </c>
      <c r="AM68" s="7"/>
      <c r="AQ68">
        <v>1</v>
      </c>
      <c r="AT68" s="7"/>
      <c r="BA68" s="7"/>
      <c r="BC68">
        <v>1</v>
      </c>
      <c r="BE68">
        <v>1</v>
      </c>
      <c r="BH68" s="7"/>
      <c r="BJ68">
        <v>1</v>
      </c>
      <c r="BL68">
        <v>1</v>
      </c>
      <c r="BM68">
        <v>1</v>
      </c>
      <c r="BO68" s="7">
        <v>1</v>
      </c>
      <c r="BV68">
        <v>1</v>
      </c>
      <c r="BW68" s="7"/>
      <c r="CE68" s="7"/>
      <c r="CL68" s="7"/>
      <c r="CS68" s="7"/>
      <c r="CZ68" s="7"/>
      <c r="DG68" s="7"/>
      <c r="DN68" s="7"/>
      <c r="DU68" s="7"/>
      <c r="EB68" s="7"/>
      <c r="EI68" s="7"/>
      <c r="EP68" s="7"/>
      <c r="EW68" s="7"/>
      <c r="FD68" s="7"/>
      <c r="FK68" s="7"/>
      <c r="FR68" s="7"/>
      <c r="FY68" s="7"/>
      <c r="GF68" s="7"/>
      <c r="GM68" s="7"/>
      <c r="GT68" s="7"/>
      <c r="HA68" s="7"/>
      <c r="HH68" s="7"/>
      <c r="HO68" s="7"/>
      <c r="HV68" s="7"/>
      <c r="IC68" s="7"/>
      <c r="IJ68" s="7"/>
      <c r="IQ68" s="7"/>
      <c r="IX68" s="7"/>
      <c r="JE68" s="7"/>
      <c r="JL68" s="7"/>
      <c r="JS68" s="7"/>
      <c r="JZ68" s="7"/>
      <c r="KG68" s="7"/>
      <c r="KN68" s="7"/>
      <c r="KU68" s="7"/>
      <c r="LB68" s="7"/>
      <c r="LI68" s="7"/>
      <c r="LP68" s="7"/>
      <c r="LW68" s="7"/>
    </row>
    <row r="69" spans="1:335" x14ac:dyDescent="0.25">
      <c r="A69" s="8" t="s">
        <v>28</v>
      </c>
      <c r="B69" s="8"/>
      <c r="C69" s="8" t="s">
        <v>27</v>
      </c>
      <c r="D69" s="8" t="s">
        <v>26</v>
      </c>
      <c r="E69" s="18">
        <v>39802</v>
      </c>
      <c r="F69" s="10">
        <f t="shared" si="365"/>
        <v>1</v>
      </c>
      <c r="G69" s="19">
        <f t="shared" si="369"/>
        <v>1</v>
      </c>
      <c r="H69" s="19">
        <f t="shared" si="369"/>
        <v>1</v>
      </c>
      <c r="I69" s="8">
        <f t="shared" si="370"/>
        <v>1</v>
      </c>
      <c r="J69" s="8">
        <f t="shared" si="370"/>
        <v>1</v>
      </c>
      <c r="K69" s="8" t="str">
        <f t="shared" si="370"/>
        <v/>
      </c>
      <c r="L69" s="8" t="str">
        <f t="shared" si="370"/>
        <v/>
      </c>
      <c r="M69" s="8"/>
      <c r="N69" s="8"/>
      <c r="O69" s="9"/>
      <c r="P69" s="8">
        <f t="shared" si="367"/>
        <v>7</v>
      </c>
      <c r="Q69" s="106">
        <f t="shared" si="368"/>
        <v>53.846153846153847</v>
      </c>
      <c r="R69" s="7"/>
      <c r="Y69" s="7"/>
      <c r="AF69" s="7"/>
      <c r="AJ69">
        <v>1</v>
      </c>
      <c r="AM69" s="7"/>
      <c r="AO69">
        <v>1</v>
      </c>
      <c r="AT69" s="7"/>
      <c r="AV69">
        <v>1</v>
      </c>
      <c r="AX69">
        <v>1</v>
      </c>
      <c r="BA69" s="7"/>
      <c r="BC69">
        <v>1</v>
      </c>
      <c r="BE69">
        <v>1</v>
      </c>
      <c r="BH69" s="7"/>
      <c r="BL69">
        <v>1</v>
      </c>
      <c r="BO69" s="7"/>
      <c r="BW69" s="7"/>
      <c r="CE69" s="7"/>
      <c r="CL69" s="7"/>
      <c r="CS69" s="7"/>
      <c r="CZ69" s="7"/>
      <c r="DG69" s="7"/>
      <c r="DN69" s="7"/>
      <c r="DU69" s="7"/>
      <c r="EB69" s="7"/>
      <c r="EI69" s="7"/>
      <c r="EP69" s="7"/>
      <c r="EW69" s="7"/>
      <c r="FD69" s="7"/>
      <c r="FK69" s="7"/>
      <c r="FR69" s="7"/>
      <c r="FY69" s="7"/>
      <c r="GF69" s="7"/>
      <c r="GM69" s="7"/>
      <c r="GT69" s="7"/>
      <c r="HA69" s="7"/>
      <c r="HH69" s="7"/>
      <c r="HO69" s="7"/>
      <c r="HV69" s="7"/>
      <c r="IC69" s="7"/>
      <c r="IJ69" s="7"/>
      <c r="IQ69" s="7"/>
      <c r="IX69" s="7"/>
      <c r="JE69" s="7"/>
      <c r="JL69" s="7"/>
      <c r="JS69" s="7"/>
      <c r="JZ69" s="7"/>
      <c r="KG69" s="7"/>
      <c r="KN69" s="7"/>
      <c r="KU69" s="7"/>
      <c r="LB69" s="7"/>
      <c r="LI69" s="7"/>
      <c r="LP69" s="7"/>
      <c r="LW69" s="7"/>
    </row>
    <row r="70" spans="1:335" ht="7.5" customHeight="1" x14ac:dyDescent="0.25">
      <c r="A70" s="8"/>
      <c r="B70" s="8"/>
      <c r="C70" s="8"/>
      <c r="D70" s="8"/>
      <c r="E70" s="8"/>
      <c r="F70" s="10"/>
      <c r="G70" s="19"/>
      <c r="H70" s="19"/>
      <c r="I70" s="8"/>
      <c r="J70" s="8"/>
      <c r="K70" s="8"/>
      <c r="L70" s="8"/>
      <c r="M70" s="8"/>
      <c r="N70" s="8"/>
      <c r="O70" s="9"/>
      <c r="P70" s="8" t="str">
        <f>IF(SUM(Q70:LW70) &gt; 0, SUM(Q70:LW70), "")</f>
        <v/>
      </c>
      <c r="Q70" s="106" t="str">
        <f t="shared" si="368"/>
        <v/>
      </c>
      <c r="R70" s="7"/>
      <c r="Y70" s="7"/>
      <c r="AF70" s="7"/>
      <c r="AM70" s="7"/>
      <c r="AT70" s="7"/>
      <c r="BA70" s="7"/>
      <c r="BH70" s="7"/>
      <c r="BO70" s="7"/>
      <c r="BW70" s="7"/>
      <c r="CE70" s="7"/>
      <c r="CL70" s="7"/>
      <c r="CS70" s="7"/>
      <c r="CZ70" s="7"/>
      <c r="DG70" s="7"/>
      <c r="DN70" s="7"/>
      <c r="DU70" s="7"/>
      <c r="EB70" s="7"/>
      <c r="EI70" s="7"/>
      <c r="EP70" s="7"/>
      <c r="EW70" s="7"/>
      <c r="FD70" s="7"/>
      <c r="FK70" s="7"/>
      <c r="FR70" s="7"/>
      <c r="FY70" s="7"/>
      <c r="GF70" s="7"/>
      <c r="GM70" s="7"/>
      <c r="GT70" s="7"/>
      <c r="HA70" s="7"/>
      <c r="HH70" s="7"/>
      <c r="HO70" s="7"/>
      <c r="HV70" s="7"/>
      <c r="IC70" s="7"/>
      <c r="IJ70" s="7"/>
      <c r="IQ70" s="7"/>
      <c r="IX70" s="7"/>
      <c r="JE70" s="7"/>
      <c r="JL70" s="7"/>
      <c r="JS70" s="7"/>
      <c r="JZ70" s="7"/>
      <c r="KG70" s="7"/>
      <c r="KN70" s="7"/>
      <c r="KU70" s="7"/>
      <c r="LB70" s="7"/>
      <c r="LI70" s="7"/>
      <c r="LP70" s="7"/>
      <c r="LW70" s="7"/>
    </row>
    <row r="71" spans="1:335" ht="15" customHeight="1" thickBot="1" x14ac:dyDescent="0.3">
      <c r="A71" s="20" t="s">
        <v>18</v>
      </c>
      <c r="B71" s="20"/>
      <c r="C71" s="20"/>
      <c r="D71" s="20"/>
      <c r="E71" s="21"/>
      <c r="F71" s="20"/>
      <c r="G71" s="20"/>
      <c r="H71" s="20"/>
      <c r="I71" s="20"/>
      <c r="J71" s="20"/>
      <c r="K71" s="20"/>
      <c r="L71" s="20"/>
      <c r="M71" s="20"/>
      <c r="N71" s="20"/>
      <c r="O71" s="21"/>
      <c r="P71" s="62">
        <f>SUM(R71:LW71)</f>
        <v>13</v>
      </c>
      <c r="Q71" s="21"/>
      <c r="R71" s="21"/>
      <c r="S71" s="20"/>
      <c r="T71" s="20"/>
      <c r="U71" s="20"/>
      <c r="V71" s="20"/>
      <c r="W71" s="20"/>
      <c r="X71" s="20"/>
      <c r="Y71" s="21"/>
      <c r="Z71" s="20"/>
      <c r="AA71" s="20"/>
      <c r="AB71" s="20"/>
      <c r="AC71" s="20"/>
      <c r="AD71" s="20"/>
      <c r="AE71" s="20"/>
      <c r="AF71" s="21"/>
      <c r="AG71" s="20"/>
      <c r="AH71" s="20">
        <v>1</v>
      </c>
      <c r="AI71" s="20"/>
      <c r="AJ71" s="20">
        <v>1</v>
      </c>
      <c r="AK71" s="20"/>
      <c r="AL71" s="20"/>
      <c r="AM71" s="21"/>
      <c r="AN71" s="20"/>
      <c r="AO71" s="20">
        <v>1</v>
      </c>
      <c r="AP71" s="20"/>
      <c r="AQ71" s="20">
        <v>1</v>
      </c>
      <c r="AR71" s="20"/>
      <c r="AS71" s="20"/>
      <c r="AT71" s="21"/>
      <c r="AU71" s="20"/>
      <c r="AV71" s="20">
        <v>1</v>
      </c>
      <c r="AW71" s="20">
        <v>1</v>
      </c>
      <c r="AX71" s="20">
        <v>1</v>
      </c>
      <c r="AY71" s="20"/>
      <c r="AZ71" s="20"/>
      <c r="BA71" s="21"/>
      <c r="BB71" s="20"/>
      <c r="BC71" s="20">
        <v>1</v>
      </c>
      <c r="BD71" s="20"/>
      <c r="BE71" s="20">
        <v>1</v>
      </c>
      <c r="BF71" s="20"/>
      <c r="BG71" s="20"/>
      <c r="BH71" s="21"/>
      <c r="BI71" s="20"/>
      <c r="BJ71" s="20">
        <v>1</v>
      </c>
      <c r="BK71" s="20"/>
      <c r="BL71" s="20"/>
      <c r="BM71" s="20">
        <v>1</v>
      </c>
      <c r="BN71" s="20"/>
      <c r="BO71" s="21">
        <v>1</v>
      </c>
      <c r="BP71" s="20"/>
      <c r="BQ71" s="20"/>
      <c r="BR71" s="20"/>
      <c r="BS71" s="20"/>
      <c r="BT71" s="20"/>
      <c r="BU71" s="20"/>
      <c r="BV71" s="20">
        <v>1</v>
      </c>
      <c r="BW71" s="21"/>
      <c r="BX71" s="20"/>
      <c r="BY71" s="20"/>
      <c r="BZ71" s="20"/>
      <c r="CA71" s="20"/>
      <c r="CB71" s="20"/>
      <c r="CC71" s="20"/>
      <c r="CD71" s="20"/>
      <c r="CE71" s="21"/>
      <c r="CF71" s="20"/>
      <c r="CG71" s="20"/>
      <c r="CH71" s="20"/>
      <c r="CI71" s="20"/>
      <c r="CJ71" s="20"/>
      <c r="CK71" s="20"/>
      <c r="CL71" s="21"/>
      <c r="CM71" s="20"/>
      <c r="CN71" s="20"/>
      <c r="CO71" s="20"/>
      <c r="CP71" s="20"/>
      <c r="CQ71" s="20"/>
      <c r="CR71" s="20"/>
      <c r="CS71" s="21"/>
      <c r="CT71" s="20"/>
      <c r="CU71" s="20"/>
      <c r="CV71" s="20"/>
      <c r="CW71" s="20"/>
      <c r="CX71" s="20"/>
      <c r="CY71" s="20"/>
      <c r="CZ71" s="21"/>
      <c r="DA71" s="20"/>
      <c r="DB71" s="20"/>
      <c r="DC71" s="20"/>
      <c r="DD71" s="20"/>
      <c r="DE71" s="20"/>
      <c r="DF71" s="20"/>
      <c r="DG71" s="21"/>
      <c r="DH71" s="20"/>
      <c r="DI71" s="20"/>
      <c r="DJ71" s="20"/>
      <c r="DK71" s="20"/>
      <c r="DL71" s="20"/>
      <c r="DM71" s="20"/>
      <c r="DN71" s="21"/>
      <c r="DO71" s="20"/>
      <c r="DP71" s="20"/>
      <c r="DQ71" s="20"/>
      <c r="DR71" s="20"/>
      <c r="DS71" s="20"/>
      <c r="DT71" s="20"/>
      <c r="DU71" s="21"/>
      <c r="DV71" s="20"/>
      <c r="DW71" s="20"/>
      <c r="DX71" s="20"/>
      <c r="DY71" s="20"/>
      <c r="DZ71" s="20"/>
      <c r="EA71" s="20"/>
      <c r="EB71" s="21"/>
      <c r="EC71" s="20"/>
      <c r="ED71" s="20"/>
      <c r="EE71" s="20"/>
      <c r="EF71" s="20"/>
      <c r="EG71" s="20"/>
      <c r="EH71" s="20"/>
      <c r="EI71" s="21"/>
      <c r="EJ71" s="20"/>
      <c r="EK71" s="20"/>
      <c r="EL71" s="20"/>
      <c r="EM71" s="20"/>
      <c r="EN71" s="20"/>
      <c r="EO71" s="20"/>
      <c r="EP71" s="21"/>
      <c r="EQ71" s="20"/>
      <c r="ER71" s="20"/>
      <c r="ES71" s="20"/>
      <c r="ET71" s="20"/>
      <c r="EU71" s="20"/>
      <c r="EV71" s="20"/>
      <c r="EW71" s="21"/>
      <c r="EX71" s="20"/>
      <c r="EY71" s="20"/>
      <c r="EZ71" s="20"/>
      <c r="FA71" s="20"/>
      <c r="FB71" s="20"/>
      <c r="FC71" s="20"/>
      <c r="FD71" s="21"/>
      <c r="FE71" s="20"/>
      <c r="FF71" s="20"/>
      <c r="FG71" s="20"/>
      <c r="FH71" s="20"/>
      <c r="FI71" s="20"/>
      <c r="FJ71" s="20"/>
      <c r="FK71" s="21"/>
      <c r="FL71" s="20"/>
      <c r="FM71" s="20"/>
      <c r="FN71" s="20"/>
      <c r="FO71" s="20"/>
      <c r="FP71" s="20"/>
      <c r="FQ71" s="20"/>
      <c r="FR71" s="21"/>
      <c r="FS71" s="20"/>
      <c r="FT71" s="20"/>
      <c r="FU71" s="20"/>
      <c r="FV71" s="20"/>
      <c r="FW71" s="20"/>
      <c r="FX71" s="20"/>
      <c r="FY71" s="21"/>
      <c r="FZ71" s="20"/>
      <c r="GA71" s="20"/>
      <c r="GB71" s="20"/>
      <c r="GC71" s="20"/>
      <c r="GD71" s="20"/>
      <c r="GE71" s="20"/>
      <c r="GF71" s="21"/>
      <c r="GG71" s="20"/>
      <c r="GH71" s="20"/>
      <c r="GI71" s="20"/>
      <c r="GJ71" s="20"/>
      <c r="GK71" s="20"/>
      <c r="GL71" s="20"/>
      <c r="GM71" s="21"/>
      <c r="GN71" s="20"/>
      <c r="GO71" s="20"/>
      <c r="GP71" s="20"/>
      <c r="GQ71" s="20"/>
      <c r="GR71" s="20"/>
      <c r="GS71" s="20"/>
      <c r="GT71" s="21"/>
      <c r="GU71" s="20"/>
      <c r="GV71" s="20"/>
      <c r="GW71" s="20"/>
      <c r="GX71" s="20"/>
      <c r="GY71" s="20"/>
      <c r="GZ71" s="20"/>
      <c r="HA71" s="21"/>
      <c r="HB71" s="20"/>
      <c r="HC71" s="20"/>
      <c r="HD71" s="20"/>
      <c r="HE71" s="20"/>
      <c r="HF71" s="20"/>
      <c r="HG71" s="20"/>
      <c r="HH71" s="21"/>
      <c r="HI71" s="20"/>
      <c r="HJ71" s="20"/>
      <c r="HK71" s="20"/>
      <c r="HL71" s="20"/>
      <c r="HM71" s="20"/>
      <c r="HN71" s="20"/>
      <c r="HO71" s="21"/>
      <c r="HP71" s="20"/>
      <c r="HQ71" s="20"/>
      <c r="HR71" s="20"/>
      <c r="HS71" s="20"/>
      <c r="HT71" s="20"/>
      <c r="HU71" s="20"/>
      <c r="HV71" s="21"/>
      <c r="HW71" s="20"/>
      <c r="HX71" s="20"/>
      <c r="HY71" s="20"/>
      <c r="HZ71" s="20"/>
      <c r="IA71" s="20"/>
      <c r="IB71" s="20"/>
      <c r="IC71" s="21"/>
      <c r="ID71" s="20"/>
      <c r="IE71" s="20"/>
      <c r="IF71" s="20"/>
      <c r="IG71" s="20"/>
      <c r="IH71" s="20"/>
      <c r="II71" s="20"/>
      <c r="IJ71" s="21"/>
      <c r="IK71" s="20"/>
      <c r="IL71" s="20"/>
      <c r="IM71" s="20"/>
      <c r="IN71" s="20"/>
      <c r="IO71" s="20"/>
      <c r="IP71" s="20"/>
      <c r="IQ71" s="21"/>
      <c r="IR71" s="20"/>
      <c r="IS71" s="20"/>
      <c r="IT71" s="20"/>
      <c r="IU71" s="20"/>
      <c r="IV71" s="20"/>
      <c r="IW71" s="20"/>
      <c r="IX71" s="21"/>
      <c r="IY71" s="20"/>
      <c r="IZ71" s="20"/>
      <c r="JA71" s="20"/>
      <c r="JB71" s="20"/>
      <c r="JC71" s="20"/>
      <c r="JD71" s="20"/>
      <c r="JE71" s="21"/>
      <c r="JF71" s="20"/>
      <c r="JG71" s="20"/>
      <c r="JH71" s="20"/>
      <c r="JI71" s="20"/>
      <c r="JJ71" s="20"/>
      <c r="JK71" s="20"/>
      <c r="JL71" s="21"/>
      <c r="JM71" s="20"/>
      <c r="JN71" s="20"/>
      <c r="JO71" s="20"/>
      <c r="JP71" s="20"/>
      <c r="JQ71" s="20"/>
      <c r="JR71" s="20"/>
      <c r="JS71" s="21"/>
      <c r="JT71" s="20"/>
      <c r="JU71" s="20"/>
      <c r="JV71" s="20"/>
      <c r="JW71" s="20"/>
      <c r="JX71" s="20"/>
      <c r="JY71" s="20"/>
      <c r="JZ71" s="21"/>
      <c r="KA71" s="20"/>
      <c r="KB71" s="20"/>
      <c r="KC71" s="20"/>
      <c r="KD71" s="20"/>
      <c r="KE71" s="20"/>
      <c r="KF71" s="20"/>
      <c r="KG71" s="21"/>
      <c r="KH71" s="20"/>
      <c r="KI71" s="20"/>
      <c r="KJ71" s="20"/>
      <c r="KK71" s="20"/>
      <c r="KL71" s="20"/>
      <c r="KM71" s="20"/>
      <c r="KN71" s="21"/>
      <c r="KO71" s="20"/>
      <c r="KP71" s="20"/>
      <c r="KQ71" s="20"/>
      <c r="KR71" s="20"/>
      <c r="KS71" s="20"/>
      <c r="KT71" s="20"/>
      <c r="KU71" s="21"/>
      <c r="KV71" s="20"/>
      <c r="KW71" s="20"/>
      <c r="KX71" s="20"/>
      <c r="KY71" s="20"/>
      <c r="KZ71" s="20"/>
      <c r="LA71" s="20"/>
      <c r="LB71" s="21"/>
      <c r="LC71" s="20"/>
      <c r="LD71" s="20"/>
      <c r="LE71" s="20"/>
      <c r="LF71" s="20"/>
      <c r="LG71" s="20"/>
      <c r="LH71" s="20"/>
      <c r="LI71" s="21"/>
      <c r="LJ71" s="20"/>
      <c r="LK71" s="20"/>
      <c r="LL71" s="20"/>
      <c r="LM71" s="20"/>
      <c r="LN71" s="20"/>
      <c r="LO71" s="20"/>
      <c r="LP71" s="21"/>
      <c r="LQ71" s="20"/>
      <c r="LR71" s="20"/>
      <c r="LS71" s="20"/>
      <c r="LT71" s="20"/>
      <c r="LU71" s="20"/>
      <c r="LV71" s="20"/>
      <c r="LW71" s="21"/>
    </row>
    <row r="72" spans="1:335" ht="15.75" thickBot="1" x14ac:dyDescent="0.3">
      <c r="A72" s="66" t="s">
        <v>252</v>
      </c>
      <c r="B72" s="64"/>
      <c r="C72" s="64"/>
      <c r="D72" s="64"/>
      <c r="E72" s="65"/>
      <c r="F72" s="64"/>
      <c r="G72" s="64"/>
      <c r="H72" s="64"/>
      <c r="I72" s="64"/>
      <c r="J72" s="64"/>
      <c r="K72" s="64"/>
      <c r="L72" s="64"/>
      <c r="M72" s="64"/>
      <c r="N72" s="64"/>
      <c r="O72" s="65"/>
      <c r="P72" s="109">
        <f>VisibleSum(P65:P70)</f>
        <v>8</v>
      </c>
      <c r="Q72" s="110">
        <f>P72 / P71 * 100</f>
        <v>61.53846153846154</v>
      </c>
      <c r="R72" s="65" t="str">
        <f>IF(SUM(R39:R58, R66:R69) &gt; 0, SUM(R39:R58, R66:R69), "")</f>
        <v/>
      </c>
      <c r="S72" s="64" t="str">
        <f t="shared" ref="S72:T72" si="371">IF(SUM(S65:S70) &gt; 0, SUM(S65:S70), "")</f>
        <v/>
      </c>
      <c r="T72" s="64" t="str">
        <f t="shared" si="371"/>
        <v/>
      </c>
      <c r="U72" s="64" t="str">
        <f t="shared" ref="U72" si="372">IF(SUM(U65:U70) &gt; 0, SUM(U65:U70), "")</f>
        <v/>
      </c>
      <c r="V72" s="64" t="str">
        <f t="shared" ref="V72" si="373">IF(SUM(V65:V70) &gt; 0, SUM(V65:V70), "")</f>
        <v/>
      </c>
      <c r="W72" s="64" t="str">
        <f t="shared" ref="W72" si="374">IF(SUM(W65:W70) &gt; 0, SUM(W65:W70), "")</f>
        <v/>
      </c>
      <c r="X72" s="64" t="str">
        <f t="shared" ref="X72" si="375">IF(SUM(X65:X70) &gt; 0, SUM(X65:X70), "")</f>
        <v/>
      </c>
      <c r="Y72" s="65" t="str">
        <f t="shared" ref="Y72:AA72" si="376">IF(SUM(Y65:Y70) &gt; 0, SUM(Y65:Y70), "")</f>
        <v/>
      </c>
      <c r="Z72" s="64" t="str">
        <f t="shared" si="376"/>
        <v/>
      </c>
      <c r="AA72" s="64" t="str">
        <f t="shared" si="376"/>
        <v/>
      </c>
      <c r="AB72" s="64" t="str">
        <f t="shared" ref="AB72" si="377">IF(SUM(AB65:AB70) &gt; 0, SUM(AB65:AB70), "")</f>
        <v/>
      </c>
      <c r="AC72" s="64" t="str">
        <f t="shared" ref="AC72" si="378">IF(SUM(AC65:AC70) &gt; 0, SUM(AC65:AC70), "")</f>
        <v/>
      </c>
      <c r="AD72" s="64" t="str">
        <f t="shared" ref="AD72" si="379">IF(SUM(AD65:AD70) &gt; 0, SUM(AD65:AD70), "")</f>
        <v/>
      </c>
      <c r="AE72" s="64" t="str">
        <f t="shared" ref="AE72" si="380">IF(SUM(AE65:AE70) &gt; 0, SUM(AE65:AE70), "")</f>
        <v/>
      </c>
      <c r="AF72" s="65" t="str">
        <f t="shared" ref="AF72" si="381">IF(SUM(AF65:AF70) &gt; 0, SUM(AF65:AF70), "")</f>
        <v/>
      </c>
      <c r="AG72" s="64" t="str">
        <f>IF(SUM(AG65:AG70) &gt; 0, SUM(AG65:AG70), "")</f>
        <v/>
      </c>
      <c r="AH72" s="64" t="str">
        <f>IF(SUM(AH65:AH70) &gt; 0, SUM(AH65:AH70), "")</f>
        <v/>
      </c>
      <c r="AI72" s="64" t="str">
        <f t="shared" ref="AI72:AM72" si="382">IF(SUM(AI65:AI70) &gt; 0, SUM(AI65:AI70), "")</f>
        <v/>
      </c>
      <c r="AJ72" s="64">
        <f t="shared" si="382"/>
        <v>3</v>
      </c>
      <c r="AK72" s="64" t="str">
        <f t="shared" si="382"/>
        <v/>
      </c>
      <c r="AL72" s="64" t="str">
        <f t="shared" si="382"/>
        <v/>
      </c>
      <c r="AM72" s="65" t="str">
        <f t="shared" si="382"/>
        <v/>
      </c>
      <c r="AN72" s="64" t="str">
        <f>IF(SUM(AN65:AN70) &gt; 0, SUM(AN65:AN70), "")</f>
        <v/>
      </c>
      <c r="AO72" s="64">
        <f>IF(SUM(AO65:AO70) &gt; 0, SUM(AO65:AO70), "")</f>
        <v>2</v>
      </c>
      <c r="AP72" s="64" t="str">
        <f t="shared" ref="AP72" si="383">IF(SUM(AP65:AP70) &gt; 0, SUM(AP65:AP70), "")</f>
        <v/>
      </c>
      <c r="AQ72" s="64">
        <f t="shared" ref="AQ72" si="384">IF(SUM(AQ65:AQ70) &gt; 0, SUM(AQ65:AQ70), "")</f>
        <v>1</v>
      </c>
      <c r="AR72" s="64" t="str">
        <f t="shared" ref="AR72" si="385">IF(SUM(AR65:AR70) &gt; 0, SUM(AR65:AR70), "")</f>
        <v/>
      </c>
      <c r="AS72" s="64" t="str">
        <f t="shared" ref="AS72" si="386">IF(SUM(AS65:AS70) &gt; 0, SUM(AS65:AS70), "")</f>
        <v/>
      </c>
      <c r="AT72" s="65" t="str">
        <f t="shared" ref="AT72" si="387">IF(SUM(AT65:AT70) &gt; 0, SUM(AT65:AT70), "")</f>
        <v/>
      </c>
      <c r="AU72" s="64" t="str">
        <f>IF(SUM(AU65:AU70) &gt; 0, SUM(AU65:AU70), "")</f>
        <v/>
      </c>
      <c r="AV72" s="64">
        <f>IF(SUM(AV65:AV70) &gt; 0, SUM(AV65:AV70), "")</f>
        <v>2</v>
      </c>
      <c r="AW72" s="64" t="str">
        <f t="shared" ref="AW72" si="388">IF(SUM(AW65:AW70) &gt; 0, SUM(AW65:AW70), "")</f>
        <v/>
      </c>
      <c r="AX72" s="64">
        <f t="shared" ref="AX72" si="389">IF(SUM(AX65:AX70) &gt; 0, SUM(AX65:AX70), "")</f>
        <v>1</v>
      </c>
      <c r="AY72" s="64" t="str">
        <f t="shared" ref="AY72" si="390">IF(SUM(AY65:AY70) &gt; 0, SUM(AY65:AY70), "")</f>
        <v/>
      </c>
      <c r="AZ72" s="64" t="str">
        <f t="shared" ref="AZ72" si="391">IF(SUM(AZ65:AZ70) &gt; 0, SUM(AZ65:AZ70), "")</f>
        <v/>
      </c>
      <c r="BA72" s="65" t="str">
        <f t="shared" ref="BA72" si="392">IF(SUM(BA65:BA70) &gt; 0, SUM(BA65:BA70), "")</f>
        <v/>
      </c>
      <c r="BB72" s="64" t="str">
        <f>IF(SUM(BB65:BB70) &gt; 0, SUM(BB65:BB70), "")</f>
        <v/>
      </c>
      <c r="BC72" s="64">
        <f>IF(SUM(BC65:BC70) &gt; 0, SUM(BC65:BC70), "")</f>
        <v>3</v>
      </c>
      <c r="BD72" s="64" t="str">
        <f t="shared" ref="BD72:DQ72" si="393">IF(SUM(BD65:BD70) &gt; 0, SUM(BD65:BD70), "")</f>
        <v/>
      </c>
      <c r="BE72" s="64">
        <f t="shared" si="393"/>
        <v>2</v>
      </c>
      <c r="BF72" s="64" t="str">
        <f t="shared" si="393"/>
        <v/>
      </c>
      <c r="BG72" s="64" t="str">
        <f t="shared" si="393"/>
        <v/>
      </c>
      <c r="BH72" s="65" t="str">
        <f t="shared" si="393"/>
        <v/>
      </c>
      <c r="BI72" s="64" t="str">
        <f t="shared" si="393"/>
        <v/>
      </c>
      <c r="BJ72" s="64">
        <f t="shared" si="393"/>
        <v>2</v>
      </c>
      <c r="BK72" s="64" t="str">
        <f t="shared" si="393"/>
        <v/>
      </c>
      <c r="BL72" s="64">
        <f t="shared" si="393"/>
        <v>3</v>
      </c>
      <c r="BM72" s="64">
        <f t="shared" si="393"/>
        <v>2</v>
      </c>
      <c r="BN72" s="64" t="str">
        <f t="shared" si="393"/>
        <v/>
      </c>
      <c r="BO72" s="65">
        <f t="shared" si="393"/>
        <v>1</v>
      </c>
      <c r="BP72" s="64" t="str">
        <f t="shared" si="393"/>
        <v/>
      </c>
      <c r="BQ72" s="64" t="str">
        <f t="shared" si="393"/>
        <v/>
      </c>
      <c r="BR72" s="64" t="str">
        <f t="shared" si="393"/>
        <v/>
      </c>
      <c r="BS72" s="64" t="str">
        <f t="shared" si="393"/>
        <v/>
      </c>
      <c r="BT72" s="64" t="str">
        <f t="shared" si="393"/>
        <v/>
      </c>
      <c r="BU72" s="64" t="str">
        <f t="shared" si="393"/>
        <v/>
      </c>
      <c r="BV72" s="64">
        <f t="shared" ref="BV72" si="394">IF(SUM(BV65:BV70) &gt; 0, SUM(BV65:BV70), "")</f>
        <v>2</v>
      </c>
      <c r="BW72" s="65" t="str">
        <f t="shared" si="393"/>
        <v/>
      </c>
      <c r="BX72" s="64" t="str">
        <f t="shared" si="393"/>
        <v/>
      </c>
      <c r="BY72" s="64" t="str">
        <f t="shared" si="393"/>
        <v/>
      </c>
      <c r="BZ72" s="64" t="str">
        <f t="shared" si="393"/>
        <v/>
      </c>
      <c r="CA72" s="64" t="str">
        <f t="shared" si="393"/>
        <v/>
      </c>
      <c r="CB72" s="64" t="str">
        <f t="shared" si="393"/>
        <v/>
      </c>
      <c r="CC72" s="64" t="str">
        <f t="shared" si="393"/>
        <v/>
      </c>
      <c r="CD72" s="64"/>
      <c r="CE72" s="65" t="str">
        <f t="shared" si="393"/>
        <v/>
      </c>
      <c r="CF72" s="64" t="str">
        <f t="shared" si="393"/>
        <v/>
      </c>
      <c r="CG72" s="64" t="str">
        <f t="shared" si="393"/>
        <v/>
      </c>
      <c r="CH72" s="64" t="str">
        <f t="shared" si="393"/>
        <v/>
      </c>
      <c r="CI72" s="64" t="str">
        <f t="shared" si="393"/>
        <v/>
      </c>
      <c r="CJ72" s="64" t="str">
        <f t="shared" si="393"/>
        <v/>
      </c>
      <c r="CK72" s="64" t="str">
        <f t="shared" si="393"/>
        <v/>
      </c>
      <c r="CL72" s="65" t="str">
        <f t="shared" si="393"/>
        <v/>
      </c>
      <c r="CM72" s="64" t="str">
        <f t="shared" si="393"/>
        <v/>
      </c>
      <c r="CN72" s="64" t="str">
        <f t="shared" si="393"/>
        <v/>
      </c>
      <c r="CO72" s="64" t="str">
        <f t="shared" si="393"/>
        <v/>
      </c>
      <c r="CP72" s="64" t="str">
        <f t="shared" si="393"/>
        <v/>
      </c>
      <c r="CQ72" s="64" t="str">
        <f t="shared" si="393"/>
        <v/>
      </c>
      <c r="CR72" s="64" t="str">
        <f t="shared" si="393"/>
        <v/>
      </c>
      <c r="CS72" s="65" t="str">
        <f t="shared" si="393"/>
        <v/>
      </c>
      <c r="CT72" s="64" t="str">
        <f t="shared" si="393"/>
        <v/>
      </c>
      <c r="CU72" s="64" t="str">
        <f t="shared" si="393"/>
        <v/>
      </c>
      <c r="CV72" s="64" t="str">
        <f t="shared" si="393"/>
        <v/>
      </c>
      <c r="CW72" s="64" t="str">
        <f t="shared" si="393"/>
        <v/>
      </c>
      <c r="CX72" s="64" t="str">
        <f t="shared" si="393"/>
        <v/>
      </c>
      <c r="CY72" s="64" t="str">
        <f t="shared" si="393"/>
        <v/>
      </c>
      <c r="CZ72" s="65" t="str">
        <f t="shared" si="393"/>
        <v/>
      </c>
      <c r="DA72" s="64" t="str">
        <f t="shared" si="393"/>
        <v/>
      </c>
      <c r="DB72" s="64" t="str">
        <f t="shared" si="393"/>
        <v/>
      </c>
      <c r="DC72" s="64" t="str">
        <f t="shared" si="393"/>
        <v/>
      </c>
      <c r="DD72" s="64" t="str">
        <f t="shared" si="393"/>
        <v/>
      </c>
      <c r="DE72" s="64" t="str">
        <f t="shared" si="393"/>
        <v/>
      </c>
      <c r="DF72" s="64" t="str">
        <f t="shared" si="393"/>
        <v/>
      </c>
      <c r="DG72" s="65" t="str">
        <f t="shared" si="393"/>
        <v/>
      </c>
      <c r="DH72" s="64" t="str">
        <f t="shared" si="393"/>
        <v/>
      </c>
      <c r="DI72" s="64" t="str">
        <f t="shared" si="393"/>
        <v/>
      </c>
      <c r="DJ72" s="64" t="str">
        <f t="shared" si="393"/>
        <v/>
      </c>
      <c r="DK72" s="64" t="str">
        <f t="shared" si="393"/>
        <v/>
      </c>
      <c r="DL72" s="64" t="str">
        <f t="shared" si="393"/>
        <v/>
      </c>
      <c r="DM72" s="64" t="str">
        <f t="shared" si="393"/>
        <v/>
      </c>
      <c r="DN72" s="65" t="str">
        <f t="shared" si="393"/>
        <v/>
      </c>
      <c r="DO72" s="64" t="str">
        <f t="shared" si="393"/>
        <v/>
      </c>
      <c r="DP72" s="64" t="str">
        <f t="shared" si="393"/>
        <v/>
      </c>
      <c r="DQ72" s="64" t="str">
        <f t="shared" si="393"/>
        <v/>
      </c>
      <c r="DR72" s="64" t="str">
        <f t="shared" ref="DR72:GC72" si="395">IF(SUM(DR65:DR70) &gt; 0, SUM(DR65:DR70), "")</f>
        <v/>
      </c>
      <c r="DS72" s="64" t="str">
        <f t="shared" si="395"/>
        <v/>
      </c>
      <c r="DT72" s="64" t="str">
        <f t="shared" si="395"/>
        <v/>
      </c>
      <c r="DU72" s="65" t="str">
        <f t="shared" si="395"/>
        <v/>
      </c>
      <c r="DV72" s="64" t="str">
        <f t="shared" si="395"/>
        <v/>
      </c>
      <c r="DW72" s="64" t="str">
        <f t="shared" si="395"/>
        <v/>
      </c>
      <c r="DX72" s="64" t="str">
        <f t="shared" si="395"/>
        <v/>
      </c>
      <c r="DY72" s="64" t="str">
        <f t="shared" si="395"/>
        <v/>
      </c>
      <c r="DZ72" s="64" t="str">
        <f t="shared" si="395"/>
        <v/>
      </c>
      <c r="EA72" s="64" t="str">
        <f t="shared" si="395"/>
        <v/>
      </c>
      <c r="EB72" s="65" t="str">
        <f t="shared" si="395"/>
        <v/>
      </c>
      <c r="EC72" s="64" t="str">
        <f t="shared" si="395"/>
        <v/>
      </c>
      <c r="ED72" s="64" t="str">
        <f t="shared" si="395"/>
        <v/>
      </c>
      <c r="EE72" s="64" t="str">
        <f t="shared" si="395"/>
        <v/>
      </c>
      <c r="EF72" s="64" t="str">
        <f t="shared" si="395"/>
        <v/>
      </c>
      <c r="EG72" s="64" t="str">
        <f t="shared" si="395"/>
        <v/>
      </c>
      <c r="EH72" s="64" t="str">
        <f t="shared" si="395"/>
        <v/>
      </c>
      <c r="EI72" s="65" t="str">
        <f t="shared" si="395"/>
        <v/>
      </c>
      <c r="EJ72" s="64" t="str">
        <f t="shared" si="395"/>
        <v/>
      </c>
      <c r="EK72" s="64" t="str">
        <f t="shared" si="395"/>
        <v/>
      </c>
      <c r="EL72" s="64" t="str">
        <f t="shared" si="395"/>
        <v/>
      </c>
      <c r="EM72" s="64" t="str">
        <f t="shared" si="395"/>
        <v/>
      </c>
      <c r="EN72" s="64" t="str">
        <f t="shared" si="395"/>
        <v/>
      </c>
      <c r="EO72" s="64" t="str">
        <f t="shared" si="395"/>
        <v/>
      </c>
      <c r="EP72" s="65" t="str">
        <f t="shared" si="395"/>
        <v/>
      </c>
      <c r="EQ72" s="64" t="str">
        <f t="shared" si="395"/>
        <v/>
      </c>
      <c r="ER72" s="64" t="str">
        <f t="shared" si="395"/>
        <v/>
      </c>
      <c r="ES72" s="64" t="str">
        <f t="shared" si="395"/>
        <v/>
      </c>
      <c r="ET72" s="64" t="str">
        <f t="shared" si="395"/>
        <v/>
      </c>
      <c r="EU72" s="64" t="str">
        <f t="shared" si="395"/>
        <v/>
      </c>
      <c r="EV72" s="64" t="str">
        <f t="shared" si="395"/>
        <v/>
      </c>
      <c r="EW72" s="65" t="str">
        <f t="shared" si="395"/>
        <v/>
      </c>
      <c r="EX72" s="64" t="str">
        <f t="shared" si="395"/>
        <v/>
      </c>
      <c r="EY72" s="64" t="str">
        <f t="shared" si="395"/>
        <v/>
      </c>
      <c r="EZ72" s="64" t="str">
        <f t="shared" si="395"/>
        <v/>
      </c>
      <c r="FA72" s="64" t="str">
        <f t="shared" si="395"/>
        <v/>
      </c>
      <c r="FB72" s="64" t="str">
        <f t="shared" si="395"/>
        <v/>
      </c>
      <c r="FC72" s="64" t="str">
        <f t="shared" si="395"/>
        <v/>
      </c>
      <c r="FD72" s="65" t="str">
        <f t="shared" si="395"/>
        <v/>
      </c>
      <c r="FE72" s="64" t="str">
        <f t="shared" si="395"/>
        <v/>
      </c>
      <c r="FF72" s="64" t="str">
        <f t="shared" si="395"/>
        <v/>
      </c>
      <c r="FG72" s="64" t="str">
        <f t="shared" si="395"/>
        <v/>
      </c>
      <c r="FH72" s="64" t="str">
        <f t="shared" si="395"/>
        <v/>
      </c>
      <c r="FI72" s="64" t="str">
        <f t="shared" si="395"/>
        <v/>
      </c>
      <c r="FJ72" s="64" t="str">
        <f t="shared" si="395"/>
        <v/>
      </c>
      <c r="FK72" s="65" t="str">
        <f t="shared" si="395"/>
        <v/>
      </c>
      <c r="FL72" s="64" t="str">
        <f t="shared" si="395"/>
        <v/>
      </c>
      <c r="FM72" s="64" t="str">
        <f t="shared" si="395"/>
        <v/>
      </c>
      <c r="FN72" s="64" t="str">
        <f t="shared" si="395"/>
        <v/>
      </c>
      <c r="FO72" s="64" t="str">
        <f t="shared" si="395"/>
        <v/>
      </c>
      <c r="FP72" s="64" t="str">
        <f t="shared" si="395"/>
        <v/>
      </c>
      <c r="FQ72" s="64" t="str">
        <f t="shared" si="395"/>
        <v/>
      </c>
      <c r="FR72" s="65" t="str">
        <f t="shared" si="395"/>
        <v/>
      </c>
      <c r="FS72" s="64" t="str">
        <f t="shared" si="395"/>
        <v/>
      </c>
      <c r="FT72" s="64" t="str">
        <f t="shared" si="395"/>
        <v/>
      </c>
      <c r="FU72" s="64" t="str">
        <f t="shared" si="395"/>
        <v/>
      </c>
      <c r="FV72" s="64" t="str">
        <f t="shared" si="395"/>
        <v/>
      </c>
      <c r="FW72" s="64" t="str">
        <f t="shared" si="395"/>
        <v/>
      </c>
      <c r="FX72" s="64" t="str">
        <f t="shared" si="395"/>
        <v/>
      </c>
      <c r="FY72" s="65" t="str">
        <f t="shared" si="395"/>
        <v/>
      </c>
      <c r="FZ72" s="64" t="str">
        <f t="shared" si="395"/>
        <v/>
      </c>
      <c r="GA72" s="64" t="str">
        <f t="shared" si="395"/>
        <v/>
      </c>
      <c r="GB72" s="64" t="str">
        <f t="shared" si="395"/>
        <v/>
      </c>
      <c r="GC72" s="64" t="str">
        <f t="shared" si="395"/>
        <v/>
      </c>
      <c r="GD72" s="64" t="str">
        <f t="shared" ref="GD72:IO72" si="396">IF(SUM(GD65:GD70) &gt; 0, SUM(GD65:GD70), "")</f>
        <v/>
      </c>
      <c r="GE72" s="64" t="str">
        <f t="shared" si="396"/>
        <v/>
      </c>
      <c r="GF72" s="65" t="str">
        <f t="shared" si="396"/>
        <v/>
      </c>
      <c r="GG72" s="64" t="str">
        <f t="shared" si="396"/>
        <v/>
      </c>
      <c r="GH72" s="64" t="str">
        <f t="shared" si="396"/>
        <v/>
      </c>
      <c r="GI72" s="64" t="str">
        <f t="shared" si="396"/>
        <v/>
      </c>
      <c r="GJ72" s="64" t="str">
        <f t="shared" si="396"/>
        <v/>
      </c>
      <c r="GK72" s="64" t="str">
        <f t="shared" si="396"/>
        <v/>
      </c>
      <c r="GL72" s="64" t="str">
        <f t="shared" si="396"/>
        <v/>
      </c>
      <c r="GM72" s="65" t="str">
        <f t="shared" si="396"/>
        <v/>
      </c>
      <c r="GN72" s="64" t="str">
        <f t="shared" si="396"/>
        <v/>
      </c>
      <c r="GO72" s="64" t="str">
        <f t="shared" si="396"/>
        <v/>
      </c>
      <c r="GP72" s="64" t="str">
        <f t="shared" si="396"/>
        <v/>
      </c>
      <c r="GQ72" s="64" t="str">
        <f t="shared" si="396"/>
        <v/>
      </c>
      <c r="GR72" s="64" t="str">
        <f t="shared" si="396"/>
        <v/>
      </c>
      <c r="GS72" s="64" t="str">
        <f t="shared" si="396"/>
        <v/>
      </c>
      <c r="GT72" s="65" t="str">
        <f t="shared" si="396"/>
        <v/>
      </c>
      <c r="GU72" s="64" t="str">
        <f t="shared" si="396"/>
        <v/>
      </c>
      <c r="GV72" s="64" t="str">
        <f t="shared" si="396"/>
        <v/>
      </c>
      <c r="GW72" s="64" t="str">
        <f t="shared" si="396"/>
        <v/>
      </c>
      <c r="GX72" s="64" t="str">
        <f t="shared" si="396"/>
        <v/>
      </c>
      <c r="GY72" s="64" t="str">
        <f t="shared" si="396"/>
        <v/>
      </c>
      <c r="GZ72" s="64" t="str">
        <f t="shared" si="396"/>
        <v/>
      </c>
      <c r="HA72" s="65" t="str">
        <f t="shared" si="396"/>
        <v/>
      </c>
      <c r="HB72" s="64" t="str">
        <f t="shared" si="396"/>
        <v/>
      </c>
      <c r="HC72" s="64" t="str">
        <f t="shared" si="396"/>
        <v/>
      </c>
      <c r="HD72" s="64" t="str">
        <f t="shared" si="396"/>
        <v/>
      </c>
      <c r="HE72" s="64" t="str">
        <f t="shared" si="396"/>
        <v/>
      </c>
      <c r="HF72" s="64" t="str">
        <f t="shared" si="396"/>
        <v/>
      </c>
      <c r="HG72" s="64" t="str">
        <f t="shared" si="396"/>
        <v/>
      </c>
      <c r="HH72" s="65" t="str">
        <f t="shared" si="396"/>
        <v/>
      </c>
      <c r="HI72" s="64" t="str">
        <f t="shared" si="396"/>
        <v/>
      </c>
      <c r="HJ72" s="64" t="str">
        <f t="shared" si="396"/>
        <v/>
      </c>
      <c r="HK72" s="64" t="str">
        <f t="shared" si="396"/>
        <v/>
      </c>
      <c r="HL72" s="64" t="str">
        <f t="shared" si="396"/>
        <v/>
      </c>
      <c r="HM72" s="64" t="str">
        <f t="shared" si="396"/>
        <v/>
      </c>
      <c r="HN72" s="64" t="str">
        <f t="shared" si="396"/>
        <v/>
      </c>
      <c r="HO72" s="65" t="str">
        <f t="shared" si="396"/>
        <v/>
      </c>
      <c r="HP72" s="64" t="str">
        <f t="shared" si="396"/>
        <v/>
      </c>
      <c r="HQ72" s="64" t="str">
        <f t="shared" si="396"/>
        <v/>
      </c>
      <c r="HR72" s="64" t="str">
        <f t="shared" si="396"/>
        <v/>
      </c>
      <c r="HS72" s="64" t="str">
        <f t="shared" si="396"/>
        <v/>
      </c>
      <c r="HT72" s="64" t="str">
        <f t="shared" si="396"/>
        <v/>
      </c>
      <c r="HU72" s="64" t="str">
        <f t="shared" si="396"/>
        <v/>
      </c>
      <c r="HV72" s="65" t="str">
        <f t="shared" si="396"/>
        <v/>
      </c>
      <c r="HW72" s="64" t="str">
        <f t="shared" si="396"/>
        <v/>
      </c>
      <c r="HX72" s="64" t="str">
        <f t="shared" si="396"/>
        <v/>
      </c>
      <c r="HY72" s="64" t="str">
        <f t="shared" si="396"/>
        <v/>
      </c>
      <c r="HZ72" s="64" t="str">
        <f t="shared" si="396"/>
        <v/>
      </c>
      <c r="IA72" s="64" t="str">
        <f t="shared" si="396"/>
        <v/>
      </c>
      <c r="IB72" s="64" t="str">
        <f t="shared" si="396"/>
        <v/>
      </c>
      <c r="IC72" s="65" t="str">
        <f t="shared" si="396"/>
        <v/>
      </c>
      <c r="ID72" s="64" t="str">
        <f t="shared" si="396"/>
        <v/>
      </c>
      <c r="IE72" s="64" t="str">
        <f t="shared" si="396"/>
        <v/>
      </c>
      <c r="IF72" s="64" t="str">
        <f t="shared" si="396"/>
        <v/>
      </c>
      <c r="IG72" s="64" t="str">
        <f t="shared" si="396"/>
        <v/>
      </c>
      <c r="IH72" s="64" t="str">
        <f t="shared" si="396"/>
        <v/>
      </c>
      <c r="II72" s="64" t="str">
        <f t="shared" si="396"/>
        <v/>
      </c>
      <c r="IJ72" s="65" t="str">
        <f t="shared" si="396"/>
        <v/>
      </c>
      <c r="IK72" s="64" t="str">
        <f t="shared" si="396"/>
        <v/>
      </c>
      <c r="IL72" s="64" t="str">
        <f t="shared" si="396"/>
        <v/>
      </c>
      <c r="IM72" s="64" t="str">
        <f t="shared" si="396"/>
        <v/>
      </c>
      <c r="IN72" s="64" t="str">
        <f t="shared" si="396"/>
        <v/>
      </c>
      <c r="IO72" s="64" t="str">
        <f t="shared" si="396"/>
        <v/>
      </c>
      <c r="IP72" s="64" t="str">
        <f t="shared" ref="IP72:LA72" si="397">IF(SUM(IP65:IP70) &gt; 0, SUM(IP65:IP70), "")</f>
        <v/>
      </c>
      <c r="IQ72" s="65" t="str">
        <f t="shared" si="397"/>
        <v/>
      </c>
      <c r="IR72" s="64" t="str">
        <f t="shared" si="397"/>
        <v/>
      </c>
      <c r="IS72" s="64" t="str">
        <f t="shared" si="397"/>
        <v/>
      </c>
      <c r="IT72" s="64" t="str">
        <f t="shared" si="397"/>
        <v/>
      </c>
      <c r="IU72" s="64" t="str">
        <f t="shared" si="397"/>
        <v/>
      </c>
      <c r="IV72" s="64" t="str">
        <f t="shared" si="397"/>
        <v/>
      </c>
      <c r="IW72" s="64" t="str">
        <f t="shared" si="397"/>
        <v/>
      </c>
      <c r="IX72" s="65" t="str">
        <f t="shared" si="397"/>
        <v/>
      </c>
      <c r="IY72" s="64" t="str">
        <f t="shared" si="397"/>
        <v/>
      </c>
      <c r="IZ72" s="64" t="str">
        <f t="shared" si="397"/>
        <v/>
      </c>
      <c r="JA72" s="64" t="str">
        <f t="shared" si="397"/>
        <v/>
      </c>
      <c r="JB72" s="64" t="str">
        <f t="shared" si="397"/>
        <v/>
      </c>
      <c r="JC72" s="64" t="str">
        <f t="shared" si="397"/>
        <v/>
      </c>
      <c r="JD72" s="64" t="str">
        <f t="shared" si="397"/>
        <v/>
      </c>
      <c r="JE72" s="65" t="str">
        <f t="shared" si="397"/>
        <v/>
      </c>
      <c r="JF72" s="64" t="str">
        <f t="shared" si="397"/>
        <v/>
      </c>
      <c r="JG72" s="64" t="str">
        <f t="shared" si="397"/>
        <v/>
      </c>
      <c r="JH72" s="64" t="str">
        <f t="shared" si="397"/>
        <v/>
      </c>
      <c r="JI72" s="64" t="str">
        <f t="shared" si="397"/>
        <v/>
      </c>
      <c r="JJ72" s="64" t="str">
        <f t="shared" si="397"/>
        <v/>
      </c>
      <c r="JK72" s="64" t="str">
        <f t="shared" si="397"/>
        <v/>
      </c>
      <c r="JL72" s="65" t="str">
        <f t="shared" si="397"/>
        <v/>
      </c>
      <c r="JM72" s="64" t="str">
        <f t="shared" si="397"/>
        <v/>
      </c>
      <c r="JN72" s="64" t="str">
        <f t="shared" si="397"/>
        <v/>
      </c>
      <c r="JO72" s="64" t="str">
        <f t="shared" si="397"/>
        <v/>
      </c>
      <c r="JP72" s="64" t="str">
        <f t="shared" si="397"/>
        <v/>
      </c>
      <c r="JQ72" s="64" t="str">
        <f t="shared" si="397"/>
        <v/>
      </c>
      <c r="JR72" s="64" t="str">
        <f t="shared" si="397"/>
        <v/>
      </c>
      <c r="JS72" s="65" t="str">
        <f t="shared" si="397"/>
        <v/>
      </c>
      <c r="JT72" s="64" t="str">
        <f t="shared" si="397"/>
        <v/>
      </c>
      <c r="JU72" s="64" t="str">
        <f t="shared" si="397"/>
        <v/>
      </c>
      <c r="JV72" s="64" t="str">
        <f t="shared" si="397"/>
        <v/>
      </c>
      <c r="JW72" s="64" t="str">
        <f t="shared" si="397"/>
        <v/>
      </c>
      <c r="JX72" s="64" t="str">
        <f t="shared" si="397"/>
        <v/>
      </c>
      <c r="JY72" s="64" t="str">
        <f t="shared" si="397"/>
        <v/>
      </c>
      <c r="JZ72" s="65" t="str">
        <f t="shared" si="397"/>
        <v/>
      </c>
      <c r="KA72" s="64" t="str">
        <f t="shared" si="397"/>
        <v/>
      </c>
      <c r="KB72" s="64" t="str">
        <f t="shared" si="397"/>
        <v/>
      </c>
      <c r="KC72" s="64" t="str">
        <f t="shared" si="397"/>
        <v/>
      </c>
      <c r="KD72" s="64" t="str">
        <f t="shared" si="397"/>
        <v/>
      </c>
      <c r="KE72" s="64" t="str">
        <f t="shared" si="397"/>
        <v/>
      </c>
      <c r="KF72" s="64" t="str">
        <f t="shared" si="397"/>
        <v/>
      </c>
      <c r="KG72" s="65" t="str">
        <f t="shared" si="397"/>
        <v/>
      </c>
      <c r="KH72" s="64" t="str">
        <f t="shared" si="397"/>
        <v/>
      </c>
      <c r="KI72" s="64" t="str">
        <f t="shared" si="397"/>
        <v/>
      </c>
      <c r="KJ72" s="64" t="str">
        <f t="shared" si="397"/>
        <v/>
      </c>
      <c r="KK72" s="64" t="str">
        <f t="shared" si="397"/>
        <v/>
      </c>
      <c r="KL72" s="64" t="str">
        <f t="shared" si="397"/>
        <v/>
      </c>
      <c r="KM72" s="64" t="str">
        <f t="shared" si="397"/>
        <v/>
      </c>
      <c r="KN72" s="65" t="str">
        <f t="shared" si="397"/>
        <v/>
      </c>
      <c r="KO72" s="64" t="str">
        <f t="shared" si="397"/>
        <v/>
      </c>
      <c r="KP72" s="64" t="str">
        <f t="shared" si="397"/>
        <v/>
      </c>
      <c r="KQ72" s="64" t="str">
        <f t="shared" si="397"/>
        <v/>
      </c>
      <c r="KR72" s="64" t="str">
        <f t="shared" si="397"/>
        <v/>
      </c>
      <c r="KS72" s="64" t="str">
        <f t="shared" si="397"/>
        <v/>
      </c>
      <c r="KT72" s="64" t="str">
        <f t="shared" si="397"/>
        <v/>
      </c>
      <c r="KU72" s="65" t="str">
        <f t="shared" si="397"/>
        <v/>
      </c>
      <c r="KV72" s="64" t="str">
        <f t="shared" si="397"/>
        <v/>
      </c>
      <c r="KW72" s="64" t="str">
        <f t="shared" si="397"/>
        <v/>
      </c>
      <c r="KX72" s="64" t="str">
        <f t="shared" si="397"/>
        <v/>
      </c>
      <c r="KY72" s="64" t="str">
        <f t="shared" si="397"/>
        <v/>
      </c>
      <c r="KZ72" s="64" t="str">
        <f t="shared" si="397"/>
        <v/>
      </c>
      <c r="LA72" s="64" t="str">
        <f t="shared" si="397"/>
        <v/>
      </c>
      <c r="LB72" s="65" t="str">
        <f t="shared" ref="LB72:LW72" si="398">IF(SUM(LB65:LB70) &gt; 0, SUM(LB65:LB70), "")</f>
        <v/>
      </c>
      <c r="LC72" s="64" t="str">
        <f t="shared" si="398"/>
        <v/>
      </c>
      <c r="LD72" s="64" t="str">
        <f t="shared" si="398"/>
        <v/>
      </c>
      <c r="LE72" s="64" t="str">
        <f t="shared" si="398"/>
        <v/>
      </c>
      <c r="LF72" s="64" t="str">
        <f t="shared" si="398"/>
        <v/>
      </c>
      <c r="LG72" s="64" t="str">
        <f t="shared" si="398"/>
        <v/>
      </c>
      <c r="LH72" s="64" t="str">
        <f t="shared" si="398"/>
        <v/>
      </c>
      <c r="LI72" s="65" t="str">
        <f t="shared" si="398"/>
        <v/>
      </c>
      <c r="LJ72" s="64" t="str">
        <f t="shared" si="398"/>
        <v/>
      </c>
      <c r="LK72" s="64" t="str">
        <f t="shared" si="398"/>
        <v/>
      </c>
      <c r="LL72" s="64" t="str">
        <f t="shared" si="398"/>
        <v/>
      </c>
      <c r="LM72" s="64" t="str">
        <f t="shared" si="398"/>
        <v/>
      </c>
      <c r="LN72" s="64" t="str">
        <f t="shared" si="398"/>
        <v/>
      </c>
      <c r="LO72" s="64" t="str">
        <f t="shared" si="398"/>
        <v/>
      </c>
      <c r="LP72" s="65" t="str">
        <f t="shared" si="398"/>
        <v/>
      </c>
      <c r="LQ72" s="64" t="str">
        <f t="shared" si="398"/>
        <v/>
      </c>
      <c r="LR72" s="64" t="str">
        <f t="shared" si="398"/>
        <v/>
      </c>
      <c r="LS72" s="64" t="str">
        <f t="shared" si="398"/>
        <v/>
      </c>
      <c r="LT72" s="64" t="str">
        <f t="shared" si="398"/>
        <v/>
      </c>
      <c r="LU72" s="64" t="str">
        <f t="shared" si="398"/>
        <v/>
      </c>
      <c r="LV72" s="64" t="str">
        <f t="shared" si="398"/>
        <v/>
      </c>
      <c r="LW72" s="111" t="str">
        <f t="shared" si="398"/>
        <v/>
      </c>
    </row>
    <row r="73" spans="1:335" ht="15.75" thickBot="1" x14ac:dyDescent="0.3">
      <c r="A73" s="66" t="s">
        <v>253</v>
      </c>
      <c r="B73" s="64"/>
      <c r="C73" s="64"/>
      <c r="D73" s="64"/>
      <c r="E73" s="65"/>
      <c r="F73" s="64"/>
      <c r="G73" s="64"/>
      <c r="H73" s="64"/>
      <c r="I73" s="64"/>
      <c r="J73" s="64"/>
      <c r="K73" s="64"/>
      <c r="L73" s="64"/>
      <c r="M73" s="64"/>
      <c r="N73" s="64"/>
      <c r="O73" s="65"/>
      <c r="P73" s="64"/>
      <c r="Q73" s="65"/>
      <c r="R73" s="64" t="str">
        <f>IF(SUM(R60, R72) &gt; 0, SUM(R60, R72), "")</f>
        <v/>
      </c>
      <c r="S73" s="67" t="str">
        <f t="shared" ref="S73:Y73" si="399">IF(SUM(S60, S72) &gt; 0, SUM(S60, S72), "")</f>
        <v/>
      </c>
      <c r="T73" s="64" t="str">
        <f t="shared" si="399"/>
        <v/>
      </c>
      <c r="U73" s="64" t="str">
        <f t="shared" si="399"/>
        <v/>
      </c>
      <c r="V73" s="64" t="str">
        <f t="shared" si="399"/>
        <v/>
      </c>
      <c r="W73" s="64" t="str">
        <f t="shared" si="399"/>
        <v/>
      </c>
      <c r="X73" s="64" t="str">
        <f t="shared" si="399"/>
        <v/>
      </c>
      <c r="Y73" s="65" t="str">
        <f t="shared" si="399"/>
        <v/>
      </c>
      <c r="Z73" s="67" t="str">
        <f t="shared" ref="Z73" si="400">IF(SUM(Z60, Z72) &gt; 0, SUM(Z60, Z72), "")</f>
        <v/>
      </c>
      <c r="AA73" s="64" t="str">
        <f t="shared" ref="AA73" si="401">IF(SUM(AA60, AA72) &gt; 0, SUM(AA60, AA72), "")</f>
        <v/>
      </c>
      <c r="AB73" s="64" t="str">
        <f t="shared" ref="AB73" si="402">IF(SUM(AB60, AB72) &gt; 0, SUM(AB60, AB72), "")</f>
        <v/>
      </c>
      <c r="AC73" s="64" t="str">
        <f t="shared" ref="AC73" si="403">IF(SUM(AC60, AC72) &gt; 0, SUM(AC60, AC72), "")</f>
        <v/>
      </c>
      <c r="AD73" s="64" t="str">
        <f t="shared" ref="AD73" si="404">IF(SUM(AD60, AD72) &gt; 0, SUM(AD60, AD72), "")</f>
        <v/>
      </c>
      <c r="AE73" s="64" t="str">
        <f t="shared" ref="AE73" si="405">IF(SUM(AE60, AE72) &gt; 0, SUM(AE60, AE72), "")</f>
        <v/>
      </c>
      <c r="AF73" s="65" t="str">
        <f t="shared" ref="AF73" si="406">IF(SUM(AF60, AF72) &gt; 0, SUM(AF60, AF72), "")</f>
        <v/>
      </c>
      <c r="AG73" s="67" t="str">
        <f t="shared" ref="AG73" si="407">IF(SUM(AG60, AG72) &gt; 0, SUM(AG60, AG72), "")</f>
        <v/>
      </c>
      <c r="AH73" s="64">
        <f t="shared" ref="AH73" si="408">IF(SUM(AH60, AH72) &gt; 0, SUM(AH60, AH72), "")</f>
        <v>11</v>
      </c>
      <c r="AI73" s="64" t="str">
        <f t="shared" ref="AI73" si="409">IF(SUM(AI60, AI72) &gt; 0, SUM(AI60, AI72), "")</f>
        <v/>
      </c>
      <c r="AJ73" s="64">
        <f t="shared" ref="AJ73" si="410">IF(SUM(AJ60, AJ72) &gt; 0, SUM(AJ60, AJ72), "")</f>
        <v>10</v>
      </c>
      <c r="AK73" s="64" t="str">
        <f t="shared" ref="AK73" si="411">IF(SUM(AK60, AK72) &gt; 0, SUM(AK60, AK72), "")</f>
        <v/>
      </c>
      <c r="AL73" s="64" t="str">
        <f t="shared" ref="AL73" si="412">IF(SUM(AL60, AL72) &gt; 0, SUM(AL60, AL72), "")</f>
        <v/>
      </c>
      <c r="AM73" s="65" t="str">
        <f t="shared" ref="AM73" si="413">IF(SUM(AM60, AM72) &gt; 0, SUM(AM60, AM72), "")</f>
        <v/>
      </c>
      <c r="AN73" s="67" t="str">
        <f t="shared" ref="AN73" si="414">IF(SUM(AN60, AN72) &gt; 0, SUM(AN60, AN72), "")</f>
        <v/>
      </c>
      <c r="AO73" s="64">
        <f t="shared" ref="AO73" si="415">IF(SUM(AO60, AO72) &gt; 0, SUM(AO60, AO72), "")</f>
        <v>11</v>
      </c>
      <c r="AP73" s="64" t="str">
        <f t="shared" ref="AP73" si="416">IF(SUM(AP60, AP72) &gt; 0, SUM(AP60, AP72), "")</f>
        <v/>
      </c>
      <c r="AQ73" s="64">
        <f t="shared" ref="AQ73" si="417">IF(SUM(AQ60, AQ72) &gt; 0, SUM(AQ60, AQ72), "")</f>
        <v>10</v>
      </c>
      <c r="AR73" s="64" t="str">
        <f t="shared" ref="AR73" si="418">IF(SUM(AR60, AR72) &gt; 0, SUM(AR60, AR72), "")</f>
        <v/>
      </c>
      <c r="AS73" s="64" t="str">
        <f t="shared" ref="AS73" si="419">IF(SUM(AS60, AS72) &gt; 0, SUM(AS60, AS72), "")</f>
        <v/>
      </c>
      <c r="AT73" s="65" t="str">
        <f t="shared" ref="AT73" si="420">IF(SUM(AT60, AT72) &gt; 0, SUM(AT60, AT72), "")</f>
        <v/>
      </c>
      <c r="AU73" s="67" t="str">
        <f t="shared" ref="AU73" si="421">IF(SUM(AU60, AU72) &gt; 0, SUM(AU60, AU72), "")</f>
        <v/>
      </c>
      <c r="AV73" s="64">
        <f t="shared" ref="AV73" si="422">IF(SUM(AV60, AV72) &gt; 0, SUM(AV60, AV72), "")</f>
        <v>11</v>
      </c>
      <c r="AW73" s="64">
        <f t="shared" ref="AW73" si="423">IF(SUM(AW60, AW72) &gt; 0, SUM(AW60, AW72), "")</f>
        <v>6</v>
      </c>
      <c r="AX73" s="64">
        <f t="shared" ref="AX73" si="424">IF(SUM(AX60, AX72) &gt; 0, SUM(AX60, AX72), "")</f>
        <v>8</v>
      </c>
      <c r="AY73" s="64" t="str">
        <f t="shared" ref="AY73" si="425">IF(SUM(AY60, AY72) &gt; 0, SUM(AY60, AY72), "")</f>
        <v/>
      </c>
      <c r="AZ73" s="64" t="str">
        <f t="shared" ref="AZ73" si="426">IF(SUM(AZ60, AZ72) &gt; 0, SUM(AZ60, AZ72), "")</f>
        <v/>
      </c>
      <c r="BA73" s="65" t="str">
        <f t="shared" ref="BA73" si="427">IF(SUM(BA60, BA72) &gt; 0, SUM(BA60, BA72), "")</f>
        <v/>
      </c>
      <c r="BB73" s="67" t="str">
        <f t="shared" ref="BB73" si="428">IF(SUM(BB60, BB72) &gt; 0, SUM(BB60, BB72), "")</f>
        <v/>
      </c>
      <c r="BC73" s="64">
        <f t="shared" ref="BC73" si="429">IF(SUM(BC60, BC72) &gt; 0, SUM(BC60, BC72), "")</f>
        <v>11</v>
      </c>
      <c r="BD73" s="64" t="str">
        <f t="shared" ref="BD73" si="430">IF(SUM(BD60, BD72) &gt; 0, SUM(BD60, BD72), "")</f>
        <v/>
      </c>
      <c r="BE73" s="64">
        <f t="shared" ref="BE73" si="431">IF(SUM(BE60, BE72) &gt; 0, SUM(BE60, BE72), "")</f>
        <v>8</v>
      </c>
      <c r="BF73" s="64" t="str">
        <f t="shared" ref="BF73" si="432">IF(SUM(BF60, BF72) &gt; 0, SUM(BF60, BF72), "")</f>
        <v/>
      </c>
      <c r="BG73" s="64" t="str">
        <f t="shared" ref="BG73" si="433">IF(SUM(BG60, BG72) &gt; 0, SUM(BG60, BG72), "")</f>
        <v/>
      </c>
      <c r="BH73" s="65" t="str">
        <f t="shared" ref="BH73" si="434">IF(SUM(BH60, BH72) &gt; 0, SUM(BH60, BH72), "")</f>
        <v/>
      </c>
      <c r="BI73" s="67" t="str">
        <f t="shared" ref="BI73" si="435">IF(SUM(BI60, BI72) &gt; 0, SUM(BI60, BI72), "")</f>
        <v/>
      </c>
      <c r="BJ73" s="64">
        <f t="shared" ref="BJ73" si="436">IF(SUM(BJ60, BJ72) &gt; 0, SUM(BJ60, BJ72), "")</f>
        <v>9</v>
      </c>
      <c r="BK73" s="64" t="str">
        <f t="shared" ref="BK73" si="437">IF(SUM(BK60, BK72) &gt; 0, SUM(BK60, BK72), "")</f>
        <v/>
      </c>
      <c r="BL73" s="64">
        <f t="shared" ref="BL73" si="438">IF(SUM(BL60, BL72) &gt; 0, SUM(BL60, BL72), "")</f>
        <v>13</v>
      </c>
      <c r="BM73" s="64">
        <f t="shared" ref="BM73" si="439">IF(SUM(BM60, BM72) &gt; 0, SUM(BM60, BM72), "")</f>
        <v>12</v>
      </c>
      <c r="BN73" s="64" t="str">
        <f t="shared" ref="BN73:BO73" si="440">IF(SUM(BN60, BN72) &gt; 0, SUM(BN60, BN72), "")</f>
        <v/>
      </c>
      <c r="BO73" s="65">
        <f t="shared" si="440"/>
        <v>5</v>
      </c>
      <c r="BP73" s="64" t="str">
        <f t="shared" ref="BP73" si="441">IF(SUM(BP60, BP72) &gt; 0, SUM(BP60, BP72), "")</f>
        <v/>
      </c>
      <c r="BQ73" s="64" t="str">
        <f t="shared" ref="BQ73" si="442">IF(SUM(BQ60, BQ72) &gt; 0, SUM(BQ60, BQ72), "")</f>
        <v/>
      </c>
      <c r="BR73" s="64" t="str">
        <f t="shared" ref="BR73" si="443">IF(SUM(BR60, BR72) &gt; 0, SUM(BR60, BR72), "")</f>
        <v/>
      </c>
      <c r="BS73" s="64" t="str">
        <f t="shared" ref="BS73" si="444">IF(SUM(BS60, BS72) &gt; 0, SUM(BS60, BS72), "")</f>
        <v/>
      </c>
      <c r="BT73" s="64" t="str">
        <f t="shared" ref="BT73" si="445">IF(SUM(BT60, BT72) &gt; 0, SUM(BT60, BT72), "")</f>
        <v/>
      </c>
      <c r="BU73" s="64" t="str">
        <f t="shared" ref="BU73:BV73" si="446">IF(SUM(BU60, BU72) &gt; 0, SUM(BU60, BU72), "")</f>
        <v/>
      </c>
      <c r="BV73" s="64">
        <f t="shared" si="446"/>
        <v>2</v>
      </c>
      <c r="BW73" s="65" t="str">
        <f t="shared" ref="BW73" si="447">IF(SUM(BW60, BW72) &gt; 0, SUM(BW60, BW72), "")</f>
        <v/>
      </c>
      <c r="BX73" s="67" t="str">
        <f t="shared" ref="BX73" si="448">IF(SUM(BX60, BX72) &gt; 0, SUM(BX60, BX72), "")</f>
        <v/>
      </c>
      <c r="BY73" s="64" t="str">
        <f t="shared" ref="BY73" si="449">IF(SUM(BY60, BY72) &gt; 0, SUM(BY60, BY72), "")</f>
        <v/>
      </c>
      <c r="BZ73" s="64" t="str">
        <f t="shared" ref="BZ73" si="450">IF(SUM(BZ60, BZ72) &gt; 0, SUM(BZ60, BZ72), "")</f>
        <v/>
      </c>
      <c r="CA73" s="64" t="str">
        <f t="shared" ref="CA73" si="451">IF(SUM(CA60, CA72) &gt; 0, SUM(CA60, CA72), "")</f>
        <v/>
      </c>
      <c r="CB73" s="64" t="str">
        <f t="shared" ref="CB73" si="452">IF(SUM(CB60, CB72) &gt; 0, SUM(CB60, CB72), "")</f>
        <v/>
      </c>
      <c r="CC73" s="64" t="str">
        <f t="shared" ref="CC73" si="453">IF(SUM(CC60, CC72) &gt; 0, SUM(CC60, CC72), "")</f>
        <v/>
      </c>
      <c r="CD73" s="64"/>
      <c r="CE73" s="65" t="str">
        <f t="shared" ref="CE73" si="454">IF(SUM(CE60, CE72) &gt; 0, SUM(CE60, CE72), "")</f>
        <v/>
      </c>
      <c r="CF73" s="67" t="str">
        <f t="shared" ref="CF73" si="455">IF(SUM(CF60, CF72) &gt; 0, SUM(CF60, CF72), "")</f>
        <v/>
      </c>
      <c r="CG73" s="64" t="str">
        <f t="shared" ref="CG73" si="456">IF(SUM(CG60, CG72) &gt; 0, SUM(CG60, CG72), "")</f>
        <v/>
      </c>
      <c r="CH73" s="64" t="str">
        <f t="shared" ref="CH73" si="457">IF(SUM(CH60, CH72) &gt; 0, SUM(CH60, CH72), "")</f>
        <v/>
      </c>
      <c r="CI73" s="64" t="str">
        <f t="shared" ref="CI73" si="458">IF(SUM(CI60, CI72) &gt; 0, SUM(CI60, CI72), "")</f>
        <v/>
      </c>
      <c r="CJ73" s="64" t="str">
        <f t="shared" ref="CJ73" si="459">IF(SUM(CJ60, CJ72) &gt; 0, SUM(CJ60, CJ72), "")</f>
        <v/>
      </c>
      <c r="CK73" s="64" t="str">
        <f t="shared" ref="CK73" si="460">IF(SUM(CK60, CK72) &gt; 0, SUM(CK60, CK72), "")</f>
        <v/>
      </c>
      <c r="CL73" s="65" t="str">
        <f t="shared" ref="CL73" si="461">IF(SUM(CL60, CL72) &gt; 0, SUM(CL60, CL72), "")</f>
        <v/>
      </c>
      <c r="CM73" s="67" t="str">
        <f t="shared" ref="CM73" si="462">IF(SUM(CM60, CM72) &gt; 0, SUM(CM60, CM72), "")</f>
        <v/>
      </c>
      <c r="CN73" s="64" t="str">
        <f t="shared" ref="CN73" si="463">IF(SUM(CN60, CN72) &gt; 0, SUM(CN60, CN72), "")</f>
        <v/>
      </c>
      <c r="CO73" s="64" t="str">
        <f t="shared" ref="CO73" si="464">IF(SUM(CO60, CO72) &gt; 0, SUM(CO60, CO72), "")</f>
        <v/>
      </c>
      <c r="CP73" s="64" t="str">
        <f t="shared" ref="CP73" si="465">IF(SUM(CP60, CP72) &gt; 0, SUM(CP60, CP72), "")</f>
        <v/>
      </c>
      <c r="CQ73" s="64" t="str">
        <f t="shared" ref="CQ73" si="466">IF(SUM(CQ60, CQ72) &gt; 0, SUM(CQ60, CQ72), "")</f>
        <v/>
      </c>
      <c r="CR73" s="64" t="str">
        <f t="shared" ref="CR73" si="467">IF(SUM(CR60, CR72) &gt; 0, SUM(CR60, CR72), "")</f>
        <v/>
      </c>
      <c r="CS73" s="65" t="str">
        <f t="shared" ref="CS73" si="468">IF(SUM(CS60, CS72) &gt; 0, SUM(CS60, CS72), "")</f>
        <v/>
      </c>
      <c r="CT73" s="67" t="str">
        <f t="shared" ref="CT73" si="469">IF(SUM(CT60, CT72) &gt; 0, SUM(CT60, CT72), "")</f>
        <v/>
      </c>
      <c r="CU73" s="64" t="str">
        <f t="shared" ref="CU73" si="470">IF(SUM(CU60, CU72) &gt; 0, SUM(CU60, CU72), "")</f>
        <v/>
      </c>
      <c r="CV73" s="64" t="str">
        <f t="shared" ref="CV73" si="471">IF(SUM(CV60, CV72) &gt; 0, SUM(CV60, CV72), "")</f>
        <v/>
      </c>
      <c r="CW73" s="64" t="str">
        <f t="shared" ref="CW73" si="472">IF(SUM(CW60, CW72) &gt; 0, SUM(CW60, CW72), "")</f>
        <v/>
      </c>
      <c r="CX73" s="64" t="str">
        <f t="shared" ref="CX73" si="473">IF(SUM(CX60, CX72) &gt; 0, SUM(CX60, CX72), "")</f>
        <v/>
      </c>
      <c r="CY73" s="64" t="str">
        <f t="shared" ref="CY73" si="474">IF(SUM(CY60, CY72) &gt; 0, SUM(CY60, CY72), "")</f>
        <v/>
      </c>
      <c r="CZ73" s="65" t="str">
        <f t="shared" ref="CZ73" si="475">IF(SUM(CZ60, CZ72) &gt; 0, SUM(CZ60, CZ72), "")</f>
        <v/>
      </c>
      <c r="DA73" s="67" t="str">
        <f t="shared" ref="DA73" si="476">IF(SUM(DA60, DA72) &gt; 0, SUM(DA60, DA72), "")</f>
        <v/>
      </c>
      <c r="DB73" s="64" t="str">
        <f t="shared" ref="DB73" si="477">IF(SUM(DB60, DB72) &gt; 0, SUM(DB60, DB72), "")</f>
        <v/>
      </c>
      <c r="DC73" s="64" t="str">
        <f t="shared" ref="DC73" si="478">IF(SUM(DC60, DC72) &gt; 0, SUM(DC60, DC72), "")</f>
        <v/>
      </c>
      <c r="DD73" s="64" t="str">
        <f t="shared" ref="DD73" si="479">IF(SUM(DD60, DD72) &gt; 0, SUM(DD60, DD72), "")</f>
        <v/>
      </c>
      <c r="DE73" s="64" t="str">
        <f t="shared" ref="DE73" si="480">IF(SUM(DE60, DE72) &gt; 0, SUM(DE60, DE72), "")</f>
        <v/>
      </c>
      <c r="DF73" s="64" t="str">
        <f t="shared" ref="DF73" si="481">IF(SUM(DF60, DF72) &gt; 0, SUM(DF60, DF72), "")</f>
        <v/>
      </c>
      <c r="DG73" s="65" t="str">
        <f t="shared" ref="DG73" si="482">IF(SUM(DG60, DG72) &gt; 0, SUM(DG60, DG72), "")</f>
        <v/>
      </c>
      <c r="DH73" s="67" t="str">
        <f t="shared" ref="DH73" si="483">IF(SUM(DH60, DH72) &gt; 0, SUM(DH60, DH72), "")</f>
        <v/>
      </c>
      <c r="DI73" s="64" t="str">
        <f t="shared" ref="DI73" si="484">IF(SUM(DI60, DI72) &gt; 0, SUM(DI60, DI72), "")</f>
        <v/>
      </c>
      <c r="DJ73" s="64" t="str">
        <f t="shared" ref="DJ73" si="485">IF(SUM(DJ60, DJ72) &gt; 0, SUM(DJ60, DJ72), "")</f>
        <v/>
      </c>
      <c r="DK73" s="64" t="str">
        <f t="shared" ref="DK73" si="486">IF(SUM(DK60, DK72) &gt; 0, SUM(DK60, DK72), "")</f>
        <v/>
      </c>
      <c r="DL73" s="64" t="str">
        <f t="shared" ref="DL73" si="487">IF(SUM(DL60, DL72) &gt; 0, SUM(DL60, DL72), "")</f>
        <v/>
      </c>
      <c r="DM73" s="64" t="str">
        <f t="shared" ref="DM73" si="488">IF(SUM(DM60, DM72) &gt; 0, SUM(DM60, DM72), "")</f>
        <v/>
      </c>
      <c r="DN73" s="65" t="str">
        <f t="shared" ref="DN73" si="489">IF(SUM(DN60, DN72) &gt; 0, SUM(DN60, DN72), "")</f>
        <v/>
      </c>
      <c r="DO73" s="67" t="str">
        <f t="shared" ref="DO73" si="490">IF(SUM(DO60, DO72) &gt; 0, SUM(DO60, DO72), "")</f>
        <v/>
      </c>
      <c r="DP73" s="64" t="str">
        <f t="shared" ref="DP73" si="491">IF(SUM(DP60, DP72) &gt; 0, SUM(DP60, DP72), "")</f>
        <v/>
      </c>
      <c r="DQ73" s="64" t="str">
        <f t="shared" ref="DQ73" si="492">IF(SUM(DQ60, DQ72) &gt; 0, SUM(DQ60, DQ72), "")</f>
        <v/>
      </c>
      <c r="DR73" s="64" t="str">
        <f t="shared" ref="DR73" si="493">IF(SUM(DR60, DR72) &gt; 0, SUM(DR60, DR72), "")</f>
        <v/>
      </c>
      <c r="DS73" s="64" t="str">
        <f t="shared" ref="DS73" si="494">IF(SUM(DS60, DS72) &gt; 0, SUM(DS60, DS72), "")</f>
        <v/>
      </c>
      <c r="DT73" s="64" t="str">
        <f t="shared" ref="DT73" si="495">IF(SUM(DT60, DT72) &gt; 0, SUM(DT60, DT72), "")</f>
        <v/>
      </c>
      <c r="DU73" s="65" t="str">
        <f t="shared" ref="DU73" si="496">IF(SUM(DU60, DU72) &gt; 0, SUM(DU60, DU72), "")</f>
        <v/>
      </c>
      <c r="DV73" s="67" t="str">
        <f t="shared" ref="DV73" si="497">IF(SUM(DV60, DV72) &gt; 0, SUM(DV60, DV72), "")</f>
        <v/>
      </c>
      <c r="DW73" s="64" t="str">
        <f t="shared" ref="DW73" si="498">IF(SUM(DW60, DW72) &gt; 0, SUM(DW60, DW72), "")</f>
        <v/>
      </c>
      <c r="DX73" s="64" t="str">
        <f t="shared" ref="DX73" si="499">IF(SUM(DX60, DX72) &gt; 0, SUM(DX60, DX72), "")</f>
        <v/>
      </c>
      <c r="DY73" s="64" t="str">
        <f t="shared" ref="DY73" si="500">IF(SUM(DY60, DY72) &gt; 0, SUM(DY60, DY72), "")</f>
        <v/>
      </c>
      <c r="DZ73" s="64" t="str">
        <f t="shared" ref="DZ73" si="501">IF(SUM(DZ60, DZ72) &gt; 0, SUM(DZ60, DZ72), "")</f>
        <v/>
      </c>
      <c r="EA73" s="64" t="str">
        <f t="shared" ref="EA73" si="502">IF(SUM(EA60, EA72) &gt; 0, SUM(EA60, EA72), "")</f>
        <v/>
      </c>
      <c r="EB73" s="65" t="str">
        <f t="shared" ref="EB73" si="503">IF(SUM(EB60, EB72) &gt; 0, SUM(EB60, EB72), "")</f>
        <v/>
      </c>
      <c r="EC73" s="67" t="str">
        <f t="shared" ref="EC73" si="504">IF(SUM(EC60, EC72) &gt; 0, SUM(EC60, EC72), "")</f>
        <v/>
      </c>
      <c r="ED73" s="64" t="str">
        <f t="shared" ref="ED73" si="505">IF(SUM(ED60, ED72) &gt; 0, SUM(ED60, ED72), "")</f>
        <v/>
      </c>
      <c r="EE73" s="64" t="str">
        <f t="shared" ref="EE73" si="506">IF(SUM(EE60, EE72) &gt; 0, SUM(EE60, EE72), "")</f>
        <v/>
      </c>
      <c r="EF73" s="64" t="str">
        <f t="shared" ref="EF73" si="507">IF(SUM(EF60, EF72) &gt; 0, SUM(EF60, EF72), "")</f>
        <v/>
      </c>
      <c r="EG73" s="64" t="str">
        <f t="shared" ref="EG73" si="508">IF(SUM(EG60, EG72) &gt; 0, SUM(EG60, EG72), "")</f>
        <v/>
      </c>
      <c r="EH73" s="64" t="str">
        <f t="shared" ref="EH73" si="509">IF(SUM(EH60, EH72) &gt; 0, SUM(EH60, EH72), "")</f>
        <v/>
      </c>
      <c r="EI73" s="65" t="str">
        <f t="shared" ref="EI73" si="510">IF(SUM(EI60, EI72) &gt; 0, SUM(EI60, EI72), "")</f>
        <v/>
      </c>
      <c r="EJ73" s="67" t="str">
        <f t="shared" ref="EJ73" si="511">IF(SUM(EJ60, EJ72) &gt; 0, SUM(EJ60, EJ72), "")</f>
        <v/>
      </c>
      <c r="EK73" s="64" t="str">
        <f t="shared" ref="EK73" si="512">IF(SUM(EK60, EK72) &gt; 0, SUM(EK60, EK72), "")</f>
        <v/>
      </c>
      <c r="EL73" s="64" t="str">
        <f t="shared" ref="EL73" si="513">IF(SUM(EL60, EL72) &gt; 0, SUM(EL60, EL72), "")</f>
        <v/>
      </c>
      <c r="EM73" s="64" t="str">
        <f t="shared" ref="EM73" si="514">IF(SUM(EM60, EM72) &gt; 0, SUM(EM60, EM72), "")</f>
        <v/>
      </c>
      <c r="EN73" s="64" t="str">
        <f t="shared" ref="EN73" si="515">IF(SUM(EN60, EN72) &gt; 0, SUM(EN60, EN72), "")</f>
        <v/>
      </c>
      <c r="EO73" s="64" t="str">
        <f t="shared" ref="EO73" si="516">IF(SUM(EO60, EO72) &gt; 0, SUM(EO60, EO72), "")</f>
        <v/>
      </c>
      <c r="EP73" s="65" t="str">
        <f t="shared" ref="EP73" si="517">IF(SUM(EP60, EP72) &gt; 0, SUM(EP60, EP72), "")</f>
        <v/>
      </c>
      <c r="EQ73" s="67" t="str">
        <f t="shared" ref="EQ73" si="518">IF(SUM(EQ60, EQ72) &gt; 0, SUM(EQ60, EQ72), "")</f>
        <v/>
      </c>
      <c r="ER73" s="64" t="str">
        <f t="shared" ref="ER73" si="519">IF(SUM(ER60, ER72) &gt; 0, SUM(ER60, ER72), "")</f>
        <v/>
      </c>
      <c r="ES73" s="64" t="str">
        <f t="shared" ref="ES73" si="520">IF(SUM(ES60, ES72) &gt; 0, SUM(ES60, ES72), "")</f>
        <v/>
      </c>
      <c r="ET73" s="64" t="str">
        <f t="shared" ref="ET73" si="521">IF(SUM(ET60, ET72) &gt; 0, SUM(ET60, ET72), "")</f>
        <v/>
      </c>
      <c r="EU73" s="64" t="str">
        <f t="shared" ref="EU73" si="522">IF(SUM(EU60, EU72) &gt; 0, SUM(EU60, EU72), "")</f>
        <v/>
      </c>
      <c r="EV73" s="64" t="str">
        <f t="shared" ref="EV73" si="523">IF(SUM(EV60, EV72) &gt; 0, SUM(EV60, EV72), "")</f>
        <v/>
      </c>
      <c r="EW73" s="65" t="str">
        <f t="shared" ref="EW73" si="524">IF(SUM(EW60, EW72) &gt; 0, SUM(EW60, EW72), "")</f>
        <v/>
      </c>
      <c r="EX73" s="67" t="str">
        <f t="shared" ref="EX73" si="525">IF(SUM(EX60, EX72) &gt; 0, SUM(EX60, EX72), "")</f>
        <v/>
      </c>
      <c r="EY73" s="64" t="str">
        <f t="shared" ref="EY73" si="526">IF(SUM(EY60, EY72) &gt; 0, SUM(EY60, EY72), "")</f>
        <v/>
      </c>
      <c r="EZ73" s="64" t="str">
        <f t="shared" ref="EZ73" si="527">IF(SUM(EZ60, EZ72) &gt; 0, SUM(EZ60, EZ72), "")</f>
        <v/>
      </c>
      <c r="FA73" s="64" t="str">
        <f t="shared" ref="FA73" si="528">IF(SUM(FA60, FA72) &gt; 0, SUM(FA60, FA72), "")</f>
        <v/>
      </c>
      <c r="FB73" s="64" t="str">
        <f t="shared" ref="FB73" si="529">IF(SUM(FB60, FB72) &gt; 0, SUM(FB60, FB72), "")</f>
        <v/>
      </c>
      <c r="FC73" s="64" t="str">
        <f t="shared" ref="FC73" si="530">IF(SUM(FC60, FC72) &gt; 0, SUM(FC60, FC72), "")</f>
        <v/>
      </c>
      <c r="FD73" s="65" t="str">
        <f t="shared" ref="FD73" si="531">IF(SUM(FD60, FD72) &gt; 0, SUM(FD60, FD72), "")</f>
        <v/>
      </c>
      <c r="FE73" s="67" t="str">
        <f t="shared" ref="FE73" si="532">IF(SUM(FE60, FE72) &gt; 0, SUM(FE60, FE72), "")</f>
        <v/>
      </c>
      <c r="FF73" s="64" t="str">
        <f t="shared" ref="FF73" si="533">IF(SUM(FF60, FF72) &gt; 0, SUM(FF60, FF72), "")</f>
        <v/>
      </c>
      <c r="FG73" s="64" t="str">
        <f t="shared" ref="FG73" si="534">IF(SUM(FG60, FG72) &gt; 0, SUM(FG60, FG72), "")</f>
        <v/>
      </c>
      <c r="FH73" s="64" t="str">
        <f t="shared" ref="FH73" si="535">IF(SUM(FH60, FH72) &gt; 0, SUM(FH60, FH72), "")</f>
        <v/>
      </c>
      <c r="FI73" s="64" t="str">
        <f t="shared" ref="FI73" si="536">IF(SUM(FI60, FI72) &gt; 0, SUM(FI60, FI72), "")</f>
        <v/>
      </c>
      <c r="FJ73" s="64" t="str">
        <f t="shared" ref="FJ73" si="537">IF(SUM(FJ60, FJ72) &gt; 0, SUM(FJ60, FJ72), "")</f>
        <v/>
      </c>
      <c r="FK73" s="65" t="str">
        <f t="shared" ref="FK73" si="538">IF(SUM(FK60, FK72) &gt; 0, SUM(FK60, FK72), "")</f>
        <v/>
      </c>
      <c r="FL73" s="67" t="str">
        <f t="shared" ref="FL73" si="539">IF(SUM(FL60, FL72) &gt; 0, SUM(FL60, FL72), "")</f>
        <v/>
      </c>
      <c r="FM73" s="64" t="str">
        <f t="shared" ref="FM73" si="540">IF(SUM(FM60, FM72) &gt; 0, SUM(FM60, FM72), "")</f>
        <v/>
      </c>
      <c r="FN73" s="64" t="str">
        <f t="shared" ref="FN73" si="541">IF(SUM(FN60, FN72) &gt; 0, SUM(FN60, FN72), "")</f>
        <v/>
      </c>
      <c r="FO73" s="64" t="str">
        <f t="shared" ref="FO73" si="542">IF(SUM(FO60, FO72) &gt; 0, SUM(FO60, FO72), "")</f>
        <v/>
      </c>
      <c r="FP73" s="64" t="str">
        <f t="shared" ref="FP73" si="543">IF(SUM(FP60, FP72) &gt; 0, SUM(FP60, FP72), "")</f>
        <v/>
      </c>
      <c r="FQ73" s="64" t="str">
        <f t="shared" ref="FQ73" si="544">IF(SUM(FQ60, FQ72) &gt; 0, SUM(FQ60, FQ72), "")</f>
        <v/>
      </c>
      <c r="FR73" s="65" t="str">
        <f t="shared" ref="FR73" si="545">IF(SUM(FR60, FR72) &gt; 0, SUM(FR60, FR72), "")</f>
        <v/>
      </c>
      <c r="FS73" s="67" t="str">
        <f t="shared" ref="FS73" si="546">IF(SUM(FS60, FS72) &gt; 0, SUM(FS60, FS72), "")</f>
        <v/>
      </c>
      <c r="FT73" s="64" t="str">
        <f t="shared" ref="FT73" si="547">IF(SUM(FT60, FT72) &gt; 0, SUM(FT60, FT72), "")</f>
        <v/>
      </c>
      <c r="FU73" s="64" t="str">
        <f t="shared" ref="FU73" si="548">IF(SUM(FU60, FU72) &gt; 0, SUM(FU60, FU72), "")</f>
        <v/>
      </c>
      <c r="FV73" s="64" t="str">
        <f t="shared" ref="FV73" si="549">IF(SUM(FV60, FV72) &gt; 0, SUM(FV60, FV72), "")</f>
        <v/>
      </c>
      <c r="FW73" s="64" t="str">
        <f t="shared" ref="FW73" si="550">IF(SUM(FW60, FW72) &gt; 0, SUM(FW60, FW72), "")</f>
        <v/>
      </c>
      <c r="FX73" s="64" t="str">
        <f t="shared" ref="FX73" si="551">IF(SUM(FX60, FX72) &gt; 0, SUM(FX60, FX72), "")</f>
        <v/>
      </c>
      <c r="FY73" s="65" t="str">
        <f t="shared" ref="FY73" si="552">IF(SUM(FY60, FY72) &gt; 0, SUM(FY60, FY72), "")</f>
        <v/>
      </c>
      <c r="FZ73" s="67" t="str">
        <f t="shared" ref="FZ73" si="553">IF(SUM(FZ60, FZ72) &gt; 0, SUM(FZ60, FZ72), "")</f>
        <v/>
      </c>
      <c r="GA73" s="64" t="str">
        <f t="shared" ref="GA73" si="554">IF(SUM(GA60, GA72) &gt; 0, SUM(GA60, GA72), "")</f>
        <v/>
      </c>
      <c r="GB73" s="64" t="str">
        <f t="shared" ref="GB73" si="555">IF(SUM(GB60, GB72) &gt; 0, SUM(GB60, GB72), "")</f>
        <v/>
      </c>
      <c r="GC73" s="64" t="str">
        <f t="shared" ref="GC73" si="556">IF(SUM(GC60, GC72) &gt; 0, SUM(GC60, GC72), "")</f>
        <v/>
      </c>
      <c r="GD73" s="64" t="str">
        <f t="shared" ref="GD73" si="557">IF(SUM(GD60, GD72) &gt; 0, SUM(GD60, GD72), "")</f>
        <v/>
      </c>
      <c r="GE73" s="64" t="str">
        <f t="shared" ref="GE73" si="558">IF(SUM(GE60, GE72) &gt; 0, SUM(GE60, GE72), "")</f>
        <v/>
      </c>
      <c r="GF73" s="65" t="str">
        <f t="shared" ref="GF73" si="559">IF(SUM(GF60, GF72) &gt; 0, SUM(GF60, GF72), "")</f>
        <v/>
      </c>
      <c r="GG73" s="67" t="str">
        <f t="shared" ref="GG73" si="560">IF(SUM(GG60, GG72) &gt; 0, SUM(GG60, GG72), "")</f>
        <v/>
      </c>
      <c r="GH73" s="64" t="str">
        <f t="shared" ref="GH73" si="561">IF(SUM(GH60, GH72) &gt; 0, SUM(GH60, GH72), "")</f>
        <v/>
      </c>
      <c r="GI73" s="64" t="str">
        <f t="shared" ref="GI73" si="562">IF(SUM(GI60, GI72) &gt; 0, SUM(GI60, GI72), "")</f>
        <v/>
      </c>
      <c r="GJ73" s="64" t="str">
        <f t="shared" ref="GJ73" si="563">IF(SUM(GJ60, GJ72) &gt; 0, SUM(GJ60, GJ72), "")</f>
        <v/>
      </c>
      <c r="GK73" s="64" t="str">
        <f t="shared" ref="GK73" si="564">IF(SUM(GK60, GK72) &gt; 0, SUM(GK60, GK72), "")</f>
        <v/>
      </c>
      <c r="GL73" s="64" t="str">
        <f t="shared" ref="GL73" si="565">IF(SUM(GL60, GL72) &gt; 0, SUM(GL60, GL72), "")</f>
        <v/>
      </c>
      <c r="GM73" s="65" t="str">
        <f t="shared" ref="GM73" si="566">IF(SUM(GM60, GM72) &gt; 0, SUM(GM60, GM72), "")</f>
        <v/>
      </c>
      <c r="GN73" s="67" t="str">
        <f t="shared" ref="GN73" si="567">IF(SUM(GN60, GN72) &gt; 0, SUM(GN60, GN72), "")</f>
        <v/>
      </c>
      <c r="GO73" s="64" t="str">
        <f t="shared" ref="GO73" si="568">IF(SUM(GO60, GO72) &gt; 0, SUM(GO60, GO72), "")</f>
        <v/>
      </c>
      <c r="GP73" s="64" t="str">
        <f t="shared" ref="GP73" si="569">IF(SUM(GP60, GP72) &gt; 0, SUM(GP60, GP72), "")</f>
        <v/>
      </c>
      <c r="GQ73" s="64" t="str">
        <f t="shared" ref="GQ73" si="570">IF(SUM(GQ60, GQ72) &gt; 0, SUM(GQ60, GQ72), "")</f>
        <v/>
      </c>
      <c r="GR73" s="64" t="str">
        <f t="shared" ref="GR73" si="571">IF(SUM(GR60, GR72) &gt; 0, SUM(GR60, GR72), "")</f>
        <v/>
      </c>
      <c r="GS73" s="64" t="str">
        <f t="shared" ref="GS73" si="572">IF(SUM(GS60, GS72) &gt; 0, SUM(GS60, GS72), "")</f>
        <v/>
      </c>
      <c r="GT73" s="65" t="str">
        <f t="shared" ref="GT73" si="573">IF(SUM(GT60, GT72) &gt; 0, SUM(GT60, GT72), "")</f>
        <v/>
      </c>
      <c r="GU73" s="67" t="str">
        <f t="shared" ref="GU73" si="574">IF(SUM(GU60, GU72) &gt; 0, SUM(GU60, GU72), "")</f>
        <v/>
      </c>
      <c r="GV73" s="64" t="str">
        <f t="shared" ref="GV73" si="575">IF(SUM(GV60, GV72) &gt; 0, SUM(GV60, GV72), "")</f>
        <v/>
      </c>
      <c r="GW73" s="64" t="str">
        <f t="shared" ref="GW73" si="576">IF(SUM(GW60, GW72) &gt; 0, SUM(GW60, GW72), "")</f>
        <v/>
      </c>
      <c r="GX73" s="64" t="str">
        <f t="shared" ref="GX73" si="577">IF(SUM(GX60, GX72) &gt; 0, SUM(GX60, GX72), "")</f>
        <v/>
      </c>
      <c r="GY73" s="64" t="str">
        <f t="shared" ref="GY73" si="578">IF(SUM(GY60, GY72) &gt; 0, SUM(GY60, GY72), "")</f>
        <v/>
      </c>
      <c r="GZ73" s="64" t="str">
        <f t="shared" ref="GZ73" si="579">IF(SUM(GZ60, GZ72) &gt; 0, SUM(GZ60, GZ72), "")</f>
        <v/>
      </c>
      <c r="HA73" s="65" t="str">
        <f t="shared" ref="HA73" si="580">IF(SUM(HA60, HA72) &gt; 0, SUM(HA60, HA72), "")</f>
        <v/>
      </c>
      <c r="HB73" s="67" t="str">
        <f t="shared" ref="HB73" si="581">IF(SUM(HB60, HB72) &gt; 0, SUM(HB60, HB72), "")</f>
        <v/>
      </c>
      <c r="HC73" s="64" t="str">
        <f t="shared" ref="HC73" si="582">IF(SUM(HC60, HC72) &gt; 0, SUM(HC60, HC72), "")</f>
        <v/>
      </c>
      <c r="HD73" s="64" t="str">
        <f t="shared" ref="HD73" si="583">IF(SUM(HD60, HD72) &gt; 0, SUM(HD60, HD72), "")</f>
        <v/>
      </c>
      <c r="HE73" s="64" t="str">
        <f t="shared" ref="HE73" si="584">IF(SUM(HE60, HE72) &gt; 0, SUM(HE60, HE72), "")</f>
        <v/>
      </c>
      <c r="HF73" s="64" t="str">
        <f t="shared" ref="HF73" si="585">IF(SUM(HF60, HF72) &gt; 0, SUM(HF60, HF72), "")</f>
        <v/>
      </c>
      <c r="HG73" s="64" t="str">
        <f t="shared" ref="HG73" si="586">IF(SUM(HG60, HG72) &gt; 0, SUM(HG60, HG72), "")</f>
        <v/>
      </c>
      <c r="HH73" s="65" t="str">
        <f t="shared" ref="HH73" si="587">IF(SUM(HH60, HH72) &gt; 0, SUM(HH60, HH72), "")</f>
        <v/>
      </c>
      <c r="HI73" s="67" t="str">
        <f t="shared" ref="HI73" si="588">IF(SUM(HI60, HI72) &gt; 0, SUM(HI60, HI72), "")</f>
        <v/>
      </c>
      <c r="HJ73" s="64" t="str">
        <f t="shared" ref="HJ73" si="589">IF(SUM(HJ60, HJ72) &gt; 0, SUM(HJ60, HJ72), "")</f>
        <v/>
      </c>
      <c r="HK73" s="64" t="str">
        <f t="shared" ref="HK73" si="590">IF(SUM(HK60, HK72) &gt; 0, SUM(HK60, HK72), "")</f>
        <v/>
      </c>
      <c r="HL73" s="64" t="str">
        <f t="shared" ref="HL73" si="591">IF(SUM(HL60, HL72) &gt; 0, SUM(HL60, HL72), "")</f>
        <v/>
      </c>
      <c r="HM73" s="64" t="str">
        <f t="shared" ref="HM73" si="592">IF(SUM(HM60, HM72) &gt; 0, SUM(HM60, HM72), "")</f>
        <v/>
      </c>
      <c r="HN73" s="64" t="str">
        <f t="shared" ref="HN73" si="593">IF(SUM(HN60, HN72) &gt; 0, SUM(HN60, HN72), "")</f>
        <v/>
      </c>
      <c r="HO73" s="65" t="str">
        <f t="shared" ref="HO73" si="594">IF(SUM(HO60, HO72) &gt; 0, SUM(HO60, HO72), "")</f>
        <v/>
      </c>
      <c r="HP73" s="67" t="str">
        <f t="shared" ref="HP73" si="595">IF(SUM(HP60, HP72) &gt; 0, SUM(HP60, HP72), "")</f>
        <v/>
      </c>
      <c r="HQ73" s="64" t="str">
        <f t="shared" ref="HQ73" si="596">IF(SUM(HQ60, HQ72) &gt; 0, SUM(HQ60, HQ72), "")</f>
        <v/>
      </c>
      <c r="HR73" s="64" t="str">
        <f t="shared" ref="HR73" si="597">IF(SUM(HR60, HR72) &gt; 0, SUM(HR60, HR72), "")</f>
        <v/>
      </c>
      <c r="HS73" s="64" t="str">
        <f t="shared" ref="HS73" si="598">IF(SUM(HS60, HS72) &gt; 0, SUM(HS60, HS72), "")</f>
        <v/>
      </c>
      <c r="HT73" s="64" t="str">
        <f t="shared" ref="HT73" si="599">IF(SUM(HT60, HT72) &gt; 0, SUM(HT60, HT72), "")</f>
        <v/>
      </c>
      <c r="HU73" s="64" t="str">
        <f t="shared" ref="HU73" si="600">IF(SUM(HU60, HU72) &gt; 0, SUM(HU60, HU72), "")</f>
        <v/>
      </c>
      <c r="HV73" s="65" t="str">
        <f t="shared" ref="HV73" si="601">IF(SUM(HV60, HV72) &gt; 0, SUM(HV60, HV72), "")</f>
        <v/>
      </c>
      <c r="HW73" s="67" t="str">
        <f t="shared" ref="HW73" si="602">IF(SUM(HW60, HW72) &gt; 0, SUM(HW60, HW72), "")</f>
        <v/>
      </c>
      <c r="HX73" s="64" t="str">
        <f t="shared" ref="HX73" si="603">IF(SUM(HX60, HX72) &gt; 0, SUM(HX60, HX72), "")</f>
        <v/>
      </c>
      <c r="HY73" s="64" t="str">
        <f t="shared" ref="HY73" si="604">IF(SUM(HY60, HY72) &gt; 0, SUM(HY60, HY72), "")</f>
        <v/>
      </c>
      <c r="HZ73" s="64" t="str">
        <f t="shared" ref="HZ73" si="605">IF(SUM(HZ60, HZ72) &gt; 0, SUM(HZ60, HZ72), "")</f>
        <v/>
      </c>
      <c r="IA73" s="64" t="str">
        <f t="shared" ref="IA73" si="606">IF(SUM(IA60, IA72) &gt; 0, SUM(IA60, IA72), "")</f>
        <v/>
      </c>
      <c r="IB73" s="64" t="str">
        <f t="shared" ref="IB73" si="607">IF(SUM(IB60, IB72) &gt; 0, SUM(IB60, IB72), "")</f>
        <v/>
      </c>
      <c r="IC73" s="65" t="str">
        <f t="shared" ref="IC73" si="608">IF(SUM(IC60, IC72) &gt; 0, SUM(IC60, IC72), "")</f>
        <v/>
      </c>
      <c r="ID73" s="67" t="str">
        <f t="shared" ref="ID73" si="609">IF(SUM(ID60, ID72) &gt; 0, SUM(ID60, ID72), "")</f>
        <v/>
      </c>
      <c r="IE73" s="64" t="str">
        <f t="shared" ref="IE73" si="610">IF(SUM(IE60, IE72) &gt; 0, SUM(IE60, IE72), "")</f>
        <v/>
      </c>
      <c r="IF73" s="64" t="str">
        <f t="shared" ref="IF73" si="611">IF(SUM(IF60, IF72) &gt; 0, SUM(IF60, IF72), "")</f>
        <v/>
      </c>
      <c r="IG73" s="64" t="str">
        <f t="shared" ref="IG73" si="612">IF(SUM(IG60, IG72) &gt; 0, SUM(IG60, IG72), "")</f>
        <v/>
      </c>
      <c r="IH73" s="64" t="str">
        <f t="shared" ref="IH73" si="613">IF(SUM(IH60, IH72) &gt; 0, SUM(IH60, IH72), "")</f>
        <v/>
      </c>
      <c r="II73" s="64" t="str">
        <f t="shared" ref="II73" si="614">IF(SUM(II60, II72) &gt; 0, SUM(II60, II72), "")</f>
        <v/>
      </c>
      <c r="IJ73" s="65" t="str">
        <f t="shared" ref="IJ73" si="615">IF(SUM(IJ60, IJ72) &gt; 0, SUM(IJ60, IJ72), "")</f>
        <v/>
      </c>
      <c r="IK73" s="67" t="str">
        <f t="shared" ref="IK73" si="616">IF(SUM(IK60, IK72) &gt; 0, SUM(IK60, IK72), "")</f>
        <v/>
      </c>
      <c r="IL73" s="64" t="str">
        <f t="shared" ref="IL73" si="617">IF(SUM(IL60, IL72) &gt; 0, SUM(IL60, IL72), "")</f>
        <v/>
      </c>
      <c r="IM73" s="64" t="str">
        <f t="shared" ref="IM73" si="618">IF(SUM(IM60, IM72) &gt; 0, SUM(IM60, IM72), "")</f>
        <v/>
      </c>
      <c r="IN73" s="64" t="str">
        <f t="shared" ref="IN73" si="619">IF(SUM(IN60, IN72) &gt; 0, SUM(IN60, IN72), "")</f>
        <v/>
      </c>
      <c r="IO73" s="64" t="str">
        <f t="shared" ref="IO73" si="620">IF(SUM(IO60, IO72) &gt; 0, SUM(IO60, IO72), "")</f>
        <v/>
      </c>
      <c r="IP73" s="64" t="str">
        <f t="shared" ref="IP73" si="621">IF(SUM(IP60, IP72) &gt; 0, SUM(IP60, IP72), "")</f>
        <v/>
      </c>
      <c r="IQ73" s="65" t="str">
        <f t="shared" ref="IQ73" si="622">IF(SUM(IQ60, IQ72) &gt; 0, SUM(IQ60, IQ72), "")</f>
        <v/>
      </c>
      <c r="IR73" s="67" t="str">
        <f t="shared" ref="IR73" si="623">IF(SUM(IR60, IR72) &gt; 0, SUM(IR60, IR72), "")</f>
        <v/>
      </c>
      <c r="IS73" s="64" t="str">
        <f t="shared" ref="IS73" si="624">IF(SUM(IS60, IS72) &gt; 0, SUM(IS60, IS72), "")</f>
        <v/>
      </c>
      <c r="IT73" s="64" t="str">
        <f t="shared" ref="IT73" si="625">IF(SUM(IT60, IT72) &gt; 0, SUM(IT60, IT72), "")</f>
        <v/>
      </c>
      <c r="IU73" s="64" t="str">
        <f t="shared" ref="IU73" si="626">IF(SUM(IU60, IU72) &gt; 0, SUM(IU60, IU72), "")</f>
        <v/>
      </c>
      <c r="IV73" s="64" t="str">
        <f t="shared" ref="IV73" si="627">IF(SUM(IV60, IV72) &gt; 0, SUM(IV60, IV72), "")</f>
        <v/>
      </c>
      <c r="IW73" s="64" t="str">
        <f t="shared" ref="IW73" si="628">IF(SUM(IW60, IW72) &gt; 0, SUM(IW60, IW72), "")</f>
        <v/>
      </c>
      <c r="IX73" s="65" t="str">
        <f t="shared" ref="IX73" si="629">IF(SUM(IX60, IX72) &gt; 0, SUM(IX60, IX72), "")</f>
        <v/>
      </c>
      <c r="IY73" s="67" t="str">
        <f t="shared" ref="IY73" si="630">IF(SUM(IY60, IY72) &gt; 0, SUM(IY60, IY72), "")</f>
        <v/>
      </c>
      <c r="IZ73" s="64" t="str">
        <f t="shared" ref="IZ73" si="631">IF(SUM(IZ60, IZ72) &gt; 0, SUM(IZ60, IZ72), "")</f>
        <v/>
      </c>
      <c r="JA73" s="64" t="str">
        <f t="shared" ref="JA73" si="632">IF(SUM(JA60, JA72) &gt; 0, SUM(JA60, JA72), "")</f>
        <v/>
      </c>
      <c r="JB73" s="64" t="str">
        <f t="shared" ref="JB73" si="633">IF(SUM(JB60, JB72) &gt; 0, SUM(JB60, JB72), "")</f>
        <v/>
      </c>
      <c r="JC73" s="64" t="str">
        <f t="shared" ref="JC73" si="634">IF(SUM(JC60, JC72) &gt; 0, SUM(JC60, JC72), "")</f>
        <v/>
      </c>
      <c r="JD73" s="64" t="str">
        <f t="shared" ref="JD73" si="635">IF(SUM(JD60, JD72) &gt; 0, SUM(JD60, JD72), "")</f>
        <v/>
      </c>
      <c r="JE73" s="65" t="str">
        <f t="shared" ref="JE73" si="636">IF(SUM(JE60, JE72) &gt; 0, SUM(JE60, JE72), "")</f>
        <v/>
      </c>
      <c r="JF73" s="67" t="str">
        <f t="shared" ref="JF73" si="637">IF(SUM(JF60, JF72) &gt; 0, SUM(JF60, JF72), "")</f>
        <v/>
      </c>
      <c r="JG73" s="64" t="str">
        <f t="shared" ref="JG73" si="638">IF(SUM(JG60, JG72) &gt; 0, SUM(JG60, JG72), "")</f>
        <v/>
      </c>
      <c r="JH73" s="64" t="str">
        <f t="shared" ref="JH73" si="639">IF(SUM(JH60, JH72) &gt; 0, SUM(JH60, JH72), "")</f>
        <v/>
      </c>
      <c r="JI73" s="64" t="str">
        <f t="shared" ref="JI73" si="640">IF(SUM(JI60, JI72) &gt; 0, SUM(JI60, JI72), "")</f>
        <v/>
      </c>
      <c r="JJ73" s="64" t="str">
        <f t="shared" ref="JJ73" si="641">IF(SUM(JJ60, JJ72) &gt; 0, SUM(JJ60, JJ72), "")</f>
        <v/>
      </c>
      <c r="JK73" s="64" t="str">
        <f t="shared" ref="JK73" si="642">IF(SUM(JK60, JK72) &gt; 0, SUM(JK60, JK72), "")</f>
        <v/>
      </c>
      <c r="JL73" s="65" t="str">
        <f t="shared" ref="JL73" si="643">IF(SUM(JL60, JL72) &gt; 0, SUM(JL60, JL72), "")</f>
        <v/>
      </c>
      <c r="JM73" s="67" t="str">
        <f t="shared" ref="JM73" si="644">IF(SUM(JM60, JM72) &gt; 0, SUM(JM60, JM72), "")</f>
        <v/>
      </c>
      <c r="JN73" s="64" t="str">
        <f t="shared" ref="JN73" si="645">IF(SUM(JN60, JN72) &gt; 0, SUM(JN60, JN72), "")</f>
        <v/>
      </c>
      <c r="JO73" s="64" t="str">
        <f t="shared" ref="JO73" si="646">IF(SUM(JO60, JO72) &gt; 0, SUM(JO60, JO72), "")</f>
        <v/>
      </c>
      <c r="JP73" s="64" t="str">
        <f t="shared" ref="JP73" si="647">IF(SUM(JP60, JP72) &gt; 0, SUM(JP60, JP72), "")</f>
        <v/>
      </c>
      <c r="JQ73" s="64" t="str">
        <f t="shared" ref="JQ73" si="648">IF(SUM(JQ60, JQ72) &gt; 0, SUM(JQ60, JQ72), "")</f>
        <v/>
      </c>
      <c r="JR73" s="64" t="str">
        <f t="shared" ref="JR73" si="649">IF(SUM(JR60, JR72) &gt; 0, SUM(JR60, JR72), "")</f>
        <v/>
      </c>
      <c r="JS73" s="65" t="str">
        <f t="shared" ref="JS73" si="650">IF(SUM(JS60, JS72) &gt; 0, SUM(JS60, JS72), "")</f>
        <v/>
      </c>
      <c r="JT73" s="67" t="str">
        <f t="shared" ref="JT73" si="651">IF(SUM(JT60, JT72) &gt; 0, SUM(JT60, JT72), "")</f>
        <v/>
      </c>
      <c r="JU73" s="64" t="str">
        <f t="shared" ref="JU73" si="652">IF(SUM(JU60, JU72) &gt; 0, SUM(JU60, JU72), "")</f>
        <v/>
      </c>
      <c r="JV73" s="64" t="str">
        <f t="shared" ref="JV73" si="653">IF(SUM(JV60, JV72) &gt; 0, SUM(JV60, JV72), "")</f>
        <v/>
      </c>
      <c r="JW73" s="64" t="str">
        <f t="shared" ref="JW73" si="654">IF(SUM(JW60, JW72) &gt; 0, SUM(JW60, JW72), "")</f>
        <v/>
      </c>
      <c r="JX73" s="64" t="str">
        <f t="shared" ref="JX73" si="655">IF(SUM(JX60, JX72) &gt; 0, SUM(JX60, JX72), "")</f>
        <v/>
      </c>
      <c r="JY73" s="64" t="str">
        <f t="shared" ref="JY73" si="656">IF(SUM(JY60, JY72) &gt; 0, SUM(JY60, JY72), "")</f>
        <v/>
      </c>
      <c r="JZ73" s="65" t="str">
        <f t="shared" ref="JZ73" si="657">IF(SUM(JZ60, JZ72) &gt; 0, SUM(JZ60, JZ72), "")</f>
        <v/>
      </c>
      <c r="KA73" s="67" t="str">
        <f t="shared" ref="KA73" si="658">IF(SUM(KA60, KA72) &gt; 0, SUM(KA60, KA72), "")</f>
        <v/>
      </c>
      <c r="KB73" s="64" t="str">
        <f t="shared" ref="KB73" si="659">IF(SUM(KB60, KB72) &gt; 0, SUM(KB60, KB72), "")</f>
        <v/>
      </c>
      <c r="KC73" s="64" t="str">
        <f t="shared" ref="KC73" si="660">IF(SUM(KC60, KC72) &gt; 0, SUM(KC60, KC72), "")</f>
        <v/>
      </c>
      <c r="KD73" s="64" t="str">
        <f t="shared" ref="KD73" si="661">IF(SUM(KD60, KD72) &gt; 0, SUM(KD60, KD72), "")</f>
        <v/>
      </c>
      <c r="KE73" s="64" t="str">
        <f t="shared" ref="KE73" si="662">IF(SUM(KE60, KE72) &gt; 0, SUM(KE60, KE72), "")</f>
        <v/>
      </c>
      <c r="KF73" s="64" t="str">
        <f t="shared" ref="KF73" si="663">IF(SUM(KF60, KF72) &gt; 0, SUM(KF60, KF72), "")</f>
        <v/>
      </c>
      <c r="KG73" s="65" t="str">
        <f t="shared" ref="KG73" si="664">IF(SUM(KG60, KG72) &gt; 0, SUM(KG60, KG72), "")</f>
        <v/>
      </c>
      <c r="KH73" s="67" t="str">
        <f t="shared" ref="KH73" si="665">IF(SUM(KH60, KH72) &gt; 0, SUM(KH60, KH72), "")</f>
        <v/>
      </c>
      <c r="KI73" s="64" t="str">
        <f t="shared" ref="KI73" si="666">IF(SUM(KI60, KI72) &gt; 0, SUM(KI60, KI72), "")</f>
        <v/>
      </c>
      <c r="KJ73" s="64" t="str">
        <f t="shared" ref="KJ73" si="667">IF(SUM(KJ60, KJ72) &gt; 0, SUM(KJ60, KJ72), "")</f>
        <v/>
      </c>
      <c r="KK73" s="64" t="str">
        <f t="shared" ref="KK73" si="668">IF(SUM(KK60, KK72) &gt; 0, SUM(KK60, KK72), "")</f>
        <v/>
      </c>
      <c r="KL73" s="64" t="str">
        <f t="shared" ref="KL73" si="669">IF(SUM(KL60, KL72) &gt; 0, SUM(KL60, KL72), "")</f>
        <v/>
      </c>
      <c r="KM73" s="64" t="str">
        <f t="shared" ref="KM73" si="670">IF(SUM(KM60, KM72) &gt; 0, SUM(KM60, KM72), "")</f>
        <v/>
      </c>
      <c r="KN73" s="65" t="str">
        <f t="shared" ref="KN73" si="671">IF(SUM(KN60, KN72) &gt; 0, SUM(KN60, KN72), "")</f>
        <v/>
      </c>
      <c r="KO73" s="67" t="str">
        <f t="shared" ref="KO73" si="672">IF(SUM(KO60, KO72) &gt; 0, SUM(KO60, KO72), "")</f>
        <v/>
      </c>
      <c r="KP73" s="64" t="str">
        <f t="shared" ref="KP73" si="673">IF(SUM(KP60, KP72) &gt; 0, SUM(KP60, KP72), "")</f>
        <v/>
      </c>
      <c r="KQ73" s="64" t="str">
        <f t="shared" ref="KQ73" si="674">IF(SUM(KQ60, KQ72) &gt; 0, SUM(KQ60, KQ72), "")</f>
        <v/>
      </c>
      <c r="KR73" s="64" t="str">
        <f t="shared" ref="KR73" si="675">IF(SUM(KR60, KR72) &gt; 0, SUM(KR60, KR72), "")</f>
        <v/>
      </c>
      <c r="KS73" s="64" t="str">
        <f t="shared" ref="KS73" si="676">IF(SUM(KS60, KS72) &gt; 0, SUM(KS60, KS72), "")</f>
        <v/>
      </c>
      <c r="KT73" s="64" t="str">
        <f t="shared" ref="KT73" si="677">IF(SUM(KT60, KT72) &gt; 0, SUM(KT60, KT72), "")</f>
        <v/>
      </c>
      <c r="KU73" s="65" t="str">
        <f t="shared" ref="KU73" si="678">IF(SUM(KU60, KU72) &gt; 0, SUM(KU60, KU72), "")</f>
        <v/>
      </c>
      <c r="KV73" s="67" t="str">
        <f t="shared" ref="KV73" si="679">IF(SUM(KV60, KV72) &gt; 0, SUM(KV60, KV72), "")</f>
        <v/>
      </c>
      <c r="KW73" s="64" t="str">
        <f t="shared" ref="KW73" si="680">IF(SUM(KW60, KW72) &gt; 0, SUM(KW60, KW72), "")</f>
        <v/>
      </c>
      <c r="KX73" s="64" t="str">
        <f t="shared" ref="KX73" si="681">IF(SUM(KX60, KX72) &gt; 0, SUM(KX60, KX72), "")</f>
        <v/>
      </c>
      <c r="KY73" s="64" t="str">
        <f t="shared" ref="KY73" si="682">IF(SUM(KY60, KY72) &gt; 0, SUM(KY60, KY72), "")</f>
        <v/>
      </c>
      <c r="KZ73" s="64" t="str">
        <f t="shared" ref="KZ73" si="683">IF(SUM(KZ60, KZ72) &gt; 0, SUM(KZ60, KZ72), "")</f>
        <v/>
      </c>
      <c r="LA73" s="64" t="str">
        <f t="shared" ref="LA73" si="684">IF(SUM(LA60, LA72) &gt; 0, SUM(LA60, LA72), "")</f>
        <v/>
      </c>
      <c r="LB73" s="65" t="str">
        <f t="shared" ref="LB73" si="685">IF(SUM(LB60, LB72) &gt; 0, SUM(LB60, LB72), "")</f>
        <v/>
      </c>
      <c r="LC73" s="67" t="str">
        <f t="shared" ref="LC73" si="686">IF(SUM(LC60, LC72) &gt; 0, SUM(LC60, LC72), "")</f>
        <v/>
      </c>
      <c r="LD73" s="64" t="str">
        <f t="shared" ref="LD73" si="687">IF(SUM(LD60, LD72) &gt; 0, SUM(LD60, LD72), "")</f>
        <v/>
      </c>
      <c r="LE73" s="64" t="str">
        <f t="shared" ref="LE73" si="688">IF(SUM(LE60, LE72) &gt; 0, SUM(LE60, LE72), "")</f>
        <v/>
      </c>
      <c r="LF73" s="64" t="str">
        <f t="shared" ref="LF73" si="689">IF(SUM(LF60, LF72) &gt; 0, SUM(LF60, LF72), "")</f>
        <v/>
      </c>
      <c r="LG73" s="64" t="str">
        <f t="shared" ref="LG73" si="690">IF(SUM(LG60, LG72) &gt; 0, SUM(LG60, LG72), "")</f>
        <v/>
      </c>
      <c r="LH73" s="64" t="str">
        <f t="shared" ref="LH73" si="691">IF(SUM(LH60, LH72) &gt; 0, SUM(LH60, LH72), "")</f>
        <v/>
      </c>
      <c r="LI73" s="65" t="str">
        <f t="shared" ref="LI73" si="692">IF(SUM(LI60, LI72) &gt; 0, SUM(LI60, LI72), "")</f>
        <v/>
      </c>
      <c r="LJ73" s="67" t="str">
        <f t="shared" ref="LJ73" si="693">IF(SUM(LJ60, LJ72) &gt; 0, SUM(LJ60, LJ72), "")</f>
        <v/>
      </c>
      <c r="LK73" s="64" t="str">
        <f t="shared" ref="LK73" si="694">IF(SUM(LK60, LK72) &gt; 0, SUM(LK60, LK72), "")</f>
        <v/>
      </c>
      <c r="LL73" s="64" t="str">
        <f t="shared" ref="LL73" si="695">IF(SUM(LL60, LL72) &gt; 0, SUM(LL60, LL72), "")</f>
        <v/>
      </c>
      <c r="LM73" s="64" t="str">
        <f t="shared" ref="LM73" si="696">IF(SUM(LM60, LM72) &gt; 0, SUM(LM60, LM72), "")</f>
        <v/>
      </c>
      <c r="LN73" s="64" t="str">
        <f t="shared" ref="LN73" si="697">IF(SUM(LN60, LN72) &gt; 0, SUM(LN60, LN72), "")</f>
        <v/>
      </c>
      <c r="LO73" s="64" t="str">
        <f t="shared" ref="LO73" si="698">IF(SUM(LO60, LO72) &gt; 0, SUM(LO60, LO72), "")</f>
        <v/>
      </c>
      <c r="LP73" s="65" t="str">
        <f t="shared" ref="LP73" si="699">IF(SUM(LP60, LP72) &gt; 0, SUM(LP60, LP72), "")</f>
        <v/>
      </c>
      <c r="LQ73" s="67" t="str">
        <f t="shared" ref="LQ73" si="700">IF(SUM(LQ60, LQ72) &gt; 0, SUM(LQ60, LQ72), "")</f>
        <v/>
      </c>
      <c r="LR73" s="64" t="str">
        <f t="shared" ref="LR73" si="701">IF(SUM(LR60, LR72) &gt; 0, SUM(LR60, LR72), "")</f>
        <v/>
      </c>
      <c r="LS73" s="64" t="str">
        <f t="shared" ref="LS73" si="702">IF(SUM(LS60, LS72) &gt; 0, SUM(LS60, LS72), "")</f>
        <v/>
      </c>
      <c r="LT73" s="64" t="str">
        <f t="shared" ref="LT73" si="703">IF(SUM(LT60, LT72) &gt; 0, SUM(LT60, LT72), "")</f>
        <v/>
      </c>
      <c r="LU73" s="64" t="str">
        <f t="shared" ref="LU73" si="704">IF(SUM(LU60, LU72) &gt; 0, SUM(LU60, LU72), "")</f>
        <v/>
      </c>
      <c r="LV73" s="64" t="str">
        <f t="shared" ref="LV73" si="705">IF(SUM(LV60, LV72) &gt; 0, SUM(LV60, LV72), "")</f>
        <v/>
      </c>
      <c r="LW73" s="65" t="str">
        <f t="shared" ref="LW73" si="706">IF(SUM(LW60, LW72) &gt; 0, SUM(LW60, LW72), "")</f>
        <v/>
      </c>
    </row>
    <row r="74" spans="1:335" ht="7.5" customHeight="1" x14ac:dyDescent="0.25">
      <c r="A74" s="8"/>
      <c r="B74" s="8"/>
      <c r="C74" s="8"/>
      <c r="D74" s="8"/>
      <c r="E74" s="8"/>
      <c r="F74" s="10"/>
      <c r="G74" s="19"/>
      <c r="H74" s="19"/>
      <c r="I74" s="8"/>
      <c r="J74" s="8"/>
      <c r="K74" s="8"/>
      <c r="L74" s="8"/>
      <c r="M74" s="8"/>
      <c r="N74" s="8"/>
      <c r="O74" s="9"/>
      <c r="P74" s="8"/>
      <c r="Q74" s="9"/>
      <c r="R74" s="7"/>
      <c r="Y74" s="7"/>
      <c r="AF74" s="7"/>
      <c r="AM74" s="7"/>
      <c r="AT74" s="7"/>
      <c r="BA74" s="7"/>
      <c r="BH74" s="7"/>
      <c r="BO74" s="7"/>
      <c r="BW74" s="7"/>
      <c r="CE74" s="7"/>
      <c r="CL74" s="7"/>
      <c r="CS74" s="7"/>
      <c r="CZ74" s="7"/>
      <c r="DG74" s="7"/>
      <c r="DN74" s="7"/>
      <c r="DU74" s="7"/>
      <c r="EB74" s="7"/>
      <c r="EI74" s="7"/>
      <c r="EP74" s="7"/>
      <c r="EW74" s="7"/>
      <c r="FD74" s="7"/>
      <c r="FK74" s="7"/>
      <c r="FR74" s="7"/>
      <c r="FY74" s="7"/>
      <c r="GF74" s="7"/>
      <c r="GM74" s="7"/>
      <c r="GT74" s="7"/>
      <c r="HA74" s="7"/>
      <c r="HH74" s="7"/>
      <c r="HO74" s="7"/>
      <c r="HV74" s="7"/>
      <c r="IC74" s="7"/>
      <c r="IJ74" s="7"/>
      <c r="IQ74" s="7"/>
      <c r="IX74" s="7"/>
      <c r="JE74" s="7"/>
      <c r="JL74" s="7"/>
      <c r="JS74" s="7"/>
      <c r="JZ74" s="7"/>
      <c r="KG74" s="7"/>
      <c r="KN74" s="7"/>
      <c r="KU74" s="7"/>
      <c r="LB74" s="7"/>
      <c r="LI74" s="7"/>
      <c r="LP74" s="7"/>
      <c r="LW74" s="7"/>
    </row>
    <row r="75" spans="1:335" x14ac:dyDescent="0.25">
      <c r="A75" s="11" t="s">
        <v>24</v>
      </c>
      <c r="B75" s="11"/>
      <c r="C75" s="11"/>
      <c r="D75" s="11"/>
      <c r="E75" s="11"/>
      <c r="F75" s="13"/>
      <c r="G75" s="40"/>
      <c r="H75" s="40"/>
      <c r="I75" s="11"/>
      <c r="J75" s="11"/>
      <c r="K75" s="11"/>
      <c r="L75" s="11"/>
      <c r="M75" s="11"/>
      <c r="N75" s="11"/>
      <c r="O75" s="12"/>
      <c r="P75" s="11"/>
      <c r="Q75" s="12"/>
      <c r="R75" s="12"/>
      <c r="S75" s="11"/>
      <c r="T75" s="11"/>
      <c r="U75" s="11"/>
      <c r="V75" s="11"/>
      <c r="W75" s="11"/>
      <c r="X75" s="11"/>
      <c r="Y75" s="12"/>
      <c r="Z75" s="11"/>
      <c r="AA75" s="11"/>
      <c r="AB75" s="11"/>
      <c r="AC75" s="11"/>
      <c r="AD75" s="11"/>
      <c r="AE75" s="11"/>
      <c r="AF75" s="12"/>
      <c r="AG75" s="11"/>
      <c r="AH75" s="11"/>
      <c r="AI75" s="11"/>
      <c r="AJ75" s="11"/>
      <c r="AK75" s="11"/>
      <c r="AL75" s="11"/>
      <c r="AM75" s="12"/>
      <c r="AN75" s="11"/>
      <c r="AO75" s="11"/>
      <c r="AP75" s="11"/>
      <c r="AQ75" s="11"/>
      <c r="AR75" s="11"/>
      <c r="AS75" s="11"/>
      <c r="AT75" s="12"/>
      <c r="AU75" s="11"/>
      <c r="AV75" s="11"/>
      <c r="AW75" s="11"/>
      <c r="AX75" s="11"/>
      <c r="AY75" s="11"/>
      <c r="AZ75" s="11"/>
      <c r="BA75" s="12"/>
      <c r="BB75" s="11"/>
      <c r="BC75" s="11"/>
      <c r="BD75" s="11"/>
      <c r="BE75" s="11"/>
      <c r="BF75" s="11"/>
      <c r="BG75" s="11"/>
      <c r="BH75" s="12"/>
      <c r="BI75" s="11"/>
      <c r="BJ75" s="11"/>
      <c r="BK75" s="11"/>
      <c r="BL75" s="11"/>
      <c r="BM75" s="11"/>
      <c r="BN75" s="11"/>
      <c r="BO75" s="12"/>
      <c r="BP75" s="11"/>
      <c r="BQ75" s="11"/>
      <c r="BR75" s="11"/>
      <c r="BS75" s="11"/>
      <c r="BT75" s="11"/>
      <c r="BU75" s="11"/>
      <c r="BV75" s="11"/>
      <c r="BW75" s="12"/>
      <c r="BX75" s="11"/>
      <c r="BY75" s="11"/>
      <c r="BZ75" s="11"/>
      <c r="CA75" s="11"/>
      <c r="CB75" s="11"/>
      <c r="CC75" s="11"/>
      <c r="CD75" s="11"/>
      <c r="CE75" s="12"/>
      <c r="CF75" s="11"/>
      <c r="CG75" s="11"/>
      <c r="CH75" s="11"/>
      <c r="CI75" s="11"/>
      <c r="CJ75" s="11"/>
      <c r="CK75" s="11"/>
      <c r="CL75" s="12"/>
      <c r="CM75" s="11"/>
      <c r="CN75" s="11"/>
      <c r="CO75" s="11"/>
      <c r="CP75" s="11"/>
      <c r="CQ75" s="11"/>
      <c r="CR75" s="11"/>
      <c r="CS75" s="12"/>
      <c r="CT75" s="11"/>
      <c r="CU75" s="11"/>
      <c r="CV75" s="11"/>
      <c r="CW75" s="11"/>
      <c r="CX75" s="11"/>
      <c r="CY75" s="11"/>
      <c r="CZ75" s="12"/>
      <c r="DA75" s="11"/>
      <c r="DB75" s="11"/>
      <c r="DC75" s="11"/>
      <c r="DD75" s="11"/>
      <c r="DE75" s="11"/>
      <c r="DF75" s="11"/>
      <c r="DG75" s="12"/>
      <c r="DH75" s="11"/>
      <c r="DI75" s="11"/>
      <c r="DJ75" s="11"/>
      <c r="DK75" s="11"/>
      <c r="DL75" s="11"/>
      <c r="DM75" s="11"/>
      <c r="DN75" s="12"/>
      <c r="DO75" s="11"/>
      <c r="DP75" s="11"/>
      <c r="DQ75" s="11"/>
      <c r="DR75" s="11"/>
      <c r="DS75" s="11"/>
      <c r="DT75" s="11"/>
      <c r="DU75" s="12"/>
      <c r="DV75" s="11"/>
      <c r="DW75" s="11"/>
      <c r="DX75" s="11"/>
      <c r="DY75" s="11"/>
      <c r="DZ75" s="11"/>
      <c r="EA75" s="11"/>
      <c r="EB75" s="12"/>
      <c r="EC75" s="11"/>
      <c r="ED75" s="11"/>
      <c r="EE75" s="11"/>
      <c r="EF75" s="11"/>
      <c r="EG75" s="11"/>
      <c r="EH75" s="11"/>
      <c r="EI75" s="12"/>
      <c r="EJ75" s="11"/>
      <c r="EK75" s="11"/>
      <c r="EL75" s="11"/>
      <c r="EM75" s="11"/>
      <c r="EN75" s="11"/>
      <c r="EO75" s="11"/>
      <c r="EP75" s="12"/>
      <c r="EQ75" s="11"/>
      <c r="ER75" s="11"/>
      <c r="ES75" s="11"/>
      <c r="ET75" s="11"/>
      <c r="EU75" s="11"/>
      <c r="EV75" s="11"/>
      <c r="EW75" s="12"/>
      <c r="EX75" s="11"/>
      <c r="EY75" s="11"/>
      <c r="EZ75" s="11"/>
      <c r="FA75" s="11"/>
      <c r="FB75" s="11"/>
      <c r="FC75" s="11"/>
      <c r="FD75" s="12"/>
      <c r="FE75" s="11"/>
      <c r="FF75" s="11"/>
      <c r="FG75" s="11"/>
      <c r="FH75" s="11"/>
      <c r="FI75" s="11"/>
      <c r="FJ75" s="11"/>
      <c r="FK75" s="12"/>
      <c r="FL75" s="11"/>
      <c r="FM75" s="11"/>
      <c r="FN75" s="11"/>
      <c r="FO75" s="11"/>
      <c r="FP75" s="11"/>
      <c r="FQ75" s="11"/>
      <c r="FR75" s="12"/>
      <c r="FS75" s="11"/>
      <c r="FT75" s="11"/>
      <c r="FU75" s="11"/>
      <c r="FV75" s="11"/>
      <c r="FW75" s="11"/>
      <c r="FX75" s="11"/>
      <c r="FY75" s="12"/>
      <c r="FZ75" s="11"/>
      <c r="GA75" s="11"/>
      <c r="GB75" s="11"/>
      <c r="GC75" s="11"/>
      <c r="GD75" s="11"/>
      <c r="GE75" s="11"/>
      <c r="GF75" s="12"/>
      <c r="GG75" s="11"/>
      <c r="GH75" s="11"/>
      <c r="GI75" s="11"/>
      <c r="GJ75" s="11"/>
      <c r="GK75" s="11"/>
      <c r="GL75" s="11"/>
      <c r="GM75" s="12"/>
      <c r="GN75" s="11"/>
      <c r="GO75" s="11"/>
      <c r="GP75" s="11"/>
      <c r="GQ75" s="11"/>
      <c r="GR75" s="11"/>
      <c r="GS75" s="11"/>
      <c r="GT75" s="12"/>
      <c r="GU75" s="11"/>
      <c r="GV75" s="11"/>
      <c r="GW75" s="11"/>
      <c r="GX75" s="11"/>
      <c r="GY75" s="11"/>
      <c r="GZ75" s="11"/>
      <c r="HA75" s="12"/>
      <c r="HB75" s="11"/>
      <c r="HC75" s="11"/>
      <c r="HD75" s="11"/>
      <c r="HE75" s="11"/>
      <c r="HF75" s="11"/>
      <c r="HG75" s="11"/>
      <c r="HH75" s="12"/>
      <c r="HI75" s="11"/>
      <c r="HJ75" s="11"/>
      <c r="HK75" s="11"/>
      <c r="HL75" s="11"/>
      <c r="HM75" s="11"/>
      <c r="HN75" s="11"/>
      <c r="HO75" s="12"/>
      <c r="HP75" s="11"/>
      <c r="HQ75" s="11"/>
      <c r="HR75" s="11"/>
      <c r="HS75" s="11"/>
      <c r="HT75" s="11"/>
      <c r="HU75" s="11"/>
      <c r="HV75" s="12"/>
      <c r="HW75" s="11"/>
      <c r="HX75" s="11"/>
      <c r="HY75" s="11"/>
      <c r="HZ75" s="11"/>
      <c r="IA75" s="11"/>
      <c r="IB75" s="11"/>
      <c r="IC75" s="12"/>
      <c r="ID75" s="11"/>
      <c r="IE75" s="11"/>
      <c r="IF75" s="11"/>
      <c r="IG75" s="11"/>
      <c r="IH75" s="11"/>
      <c r="II75" s="11"/>
      <c r="IJ75" s="12"/>
      <c r="IK75" s="11"/>
      <c r="IL75" s="11"/>
      <c r="IM75" s="11"/>
      <c r="IN75" s="11"/>
      <c r="IO75" s="11"/>
      <c r="IP75" s="11"/>
      <c r="IQ75" s="12"/>
      <c r="IR75" s="11"/>
      <c r="IS75" s="11"/>
      <c r="IT75" s="11"/>
      <c r="IU75" s="11"/>
      <c r="IV75" s="11"/>
      <c r="IW75" s="11"/>
      <c r="IX75" s="12"/>
      <c r="IY75" s="11"/>
      <c r="IZ75" s="11"/>
      <c r="JA75" s="11"/>
      <c r="JB75" s="11"/>
      <c r="JC75" s="11"/>
      <c r="JD75" s="11"/>
      <c r="JE75" s="12"/>
      <c r="JF75" s="11"/>
      <c r="JG75" s="11"/>
      <c r="JH75" s="11"/>
      <c r="JI75" s="11"/>
      <c r="JJ75" s="11"/>
      <c r="JK75" s="11"/>
      <c r="JL75" s="12"/>
      <c r="JM75" s="11"/>
      <c r="JN75" s="11"/>
      <c r="JO75" s="11"/>
      <c r="JP75" s="11"/>
      <c r="JQ75" s="11"/>
      <c r="JR75" s="11"/>
      <c r="JS75" s="12"/>
      <c r="JT75" s="11"/>
      <c r="JU75" s="11"/>
      <c r="JV75" s="11"/>
      <c r="JW75" s="11"/>
      <c r="JX75" s="11"/>
      <c r="JY75" s="11"/>
      <c r="JZ75" s="12"/>
      <c r="KA75" s="11"/>
      <c r="KB75" s="11"/>
      <c r="KC75" s="11"/>
      <c r="KD75" s="11"/>
      <c r="KE75" s="11"/>
      <c r="KF75" s="11"/>
      <c r="KG75" s="12"/>
      <c r="KH75" s="11"/>
      <c r="KI75" s="11"/>
      <c r="KJ75" s="11"/>
      <c r="KK75" s="11"/>
      <c r="KL75" s="11"/>
      <c r="KM75" s="11"/>
      <c r="KN75" s="12"/>
      <c r="KO75" s="11"/>
      <c r="KP75" s="11"/>
      <c r="KQ75" s="11"/>
      <c r="KR75" s="11"/>
      <c r="KS75" s="11"/>
      <c r="KT75" s="11"/>
      <c r="KU75" s="12"/>
      <c r="KV75" s="11"/>
      <c r="KW75" s="11"/>
      <c r="KX75" s="11"/>
      <c r="KY75" s="11"/>
      <c r="KZ75" s="11"/>
      <c r="LA75" s="11"/>
      <c r="LB75" s="12"/>
      <c r="LC75" s="11"/>
      <c r="LD75" s="11"/>
      <c r="LE75" s="11"/>
      <c r="LF75" s="11"/>
      <c r="LG75" s="11"/>
      <c r="LH75" s="11"/>
      <c r="LI75" s="12"/>
      <c r="LJ75" s="11"/>
      <c r="LK75" s="11"/>
      <c r="LL75" s="11"/>
      <c r="LM75" s="11"/>
      <c r="LN75" s="11"/>
      <c r="LO75" s="11"/>
      <c r="LP75" s="12"/>
      <c r="LQ75" s="11"/>
      <c r="LR75" s="11"/>
      <c r="LS75" s="11"/>
      <c r="LT75" s="11"/>
      <c r="LU75" s="11"/>
      <c r="LV75" s="11"/>
      <c r="LW75" s="12"/>
    </row>
    <row r="76" spans="1:335" x14ac:dyDescent="0.25">
      <c r="A76" s="8" t="s">
        <v>23</v>
      </c>
      <c r="B76" s="8"/>
      <c r="C76" s="8"/>
      <c r="D76" s="8"/>
      <c r="E76" s="8"/>
      <c r="F76" s="10"/>
      <c r="G76" s="19"/>
      <c r="H76" s="19"/>
      <c r="I76" s="8"/>
      <c r="J76" s="8"/>
      <c r="K76" s="8"/>
      <c r="L76" s="8"/>
      <c r="M76" s="8"/>
      <c r="N76" s="8"/>
      <c r="O76" s="9"/>
      <c r="P76" s="8">
        <f>IF(SUM(R76:LW76) &gt; 0, SUM(R76:LW76), "")</f>
        <v>28</v>
      </c>
      <c r="Q76" s="106">
        <f>IF(SUM(R76:XFD76) &gt; 0, SUM(R76:XFD76) / $P$82 * 100, "")</f>
        <v>100</v>
      </c>
      <c r="R76" s="7">
        <v>1</v>
      </c>
      <c r="T76">
        <v>1</v>
      </c>
      <c r="U76">
        <v>1</v>
      </c>
      <c r="W76">
        <v>1</v>
      </c>
      <c r="Y76" s="7"/>
      <c r="AA76">
        <v>1</v>
      </c>
      <c r="AC76">
        <v>1</v>
      </c>
      <c r="AD76">
        <v>1</v>
      </c>
      <c r="AF76" s="7"/>
      <c r="AH76">
        <v>1</v>
      </c>
      <c r="AJ76">
        <v>1</v>
      </c>
      <c r="AK76">
        <v>1</v>
      </c>
      <c r="AM76" s="7"/>
      <c r="AO76">
        <v>1</v>
      </c>
      <c r="AQ76">
        <v>1</v>
      </c>
      <c r="AR76">
        <v>1</v>
      </c>
      <c r="AT76" s="7"/>
      <c r="AV76">
        <v>1</v>
      </c>
      <c r="AW76">
        <v>1</v>
      </c>
      <c r="AX76">
        <v>1</v>
      </c>
      <c r="AY76">
        <v>1</v>
      </c>
      <c r="BA76" s="7"/>
      <c r="BC76">
        <v>1</v>
      </c>
      <c r="BE76">
        <v>1</v>
      </c>
      <c r="BF76">
        <v>1</v>
      </c>
      <c r="BH76" s="7"/>
      <c r="BJ76">
        <v>1</v>
      </c>
      <c r="BL76">
        <v>1</v>
      </c>
      <c r="BM76">
        <v>1</v>
      </c>
      <c r="BO76" s="7">
        <v>1</v>
      </c>
      <c r="BQ76">
        <v>1</v>
      </c>
      <c r="BS76">
        <v>1</v>
      </c>
      <c r="BV76">
        <v>1</v>
      </c>
      <c r="BW76" s="7"/>
      <c r="CA76">
        <v>1</v>
      </c>
      <c r="CE76" s="7"/>
      <c r="CL76" s="7"/>
      <c r="CS76" s="7"/>
      <c r="CZ76" s="7"/>
      <c r="DG76" s="7"/>
      <c r="DN76" s="7"/>
      <c r="DU76" s="7"/>
      <c r="EB76" s="7"/>
      <c r="EI76" s="7"/>
      <c r="EP76" s="7"/>
      <c r="EW76" s="7"/>
      <c r="FD76" s="7"/>
      <c r="FK76" s="7"/>
      <c r="FR76" s="7"/>
      <c r="FY76" s="7"/>
      <c r="GF76" s="7"/>
      <c r="GM76" s="7"/>
      <c r="GT76" s="7"/>
      <c r="HA76" s="7"/>
      <c r="HH76" s="7"/>
      <c r="HO76" s="7"/>
      <c r="HV76" s="7"/>
      <c r="IC76" s="7"/>
      <c r="IJ76" s="7"/>
      <c r="IQ76" s="7"/>
      <c r="IX76" s="7"/>
      <c r="JE76" s="7"/>
      <c r="JL76" s="7"/>
      <c r="JS76" s="7"/>
      <c r="JZ76" s="7"/>
      <c r="KG76" s="7"/>
      <c r="KN76" s="7"/>
      <c r="KU76" s="7"/>
      <c r="LB76" s="7"/>
      <c r="LI76" s="7"/>
      <c r="LP76" s="7"/>
      <c r="LW76" s="7"/>
    </row>
    <row r="77" spans="1:335" x14ac:dyDescent="0.25">
      <c r="A77" s="8" t="s">
        <v>22</v>
      </c>
      <c r="B77" s="8"/>
      <c r="C77" s="8"/>
      <c r="D77" s="8"/>
      <c r="E77" s="8"/>
      <c r="F77" s="10"/>
      <c r="G77" s="19"/>
      <c r="H77" s="19"/>
      <c r="I77" s="8"/>
      <c r="J77" s="8"/>
      <c r="K77" s="8"/>
      <c r="L77" s="8"/>
      <c r="M77" s="8"/>
      <c r="N77" s="8"/>
      <c r="O77" s="9"/>
      <c r="P77" s="8" t="str">
        <f>IF(SUM(R77:LW77) &gt; 0, SUM(R77:LW77), "")</f>
        <v/>
      </c>
      <c r="Q77" s="106" t="str">
        <f>IF(SUM(R77:XFD77) &gt; 0, SUM(R77:XFD77) / $P$82 * 100, "")</f>
        <v/>
      </c>
      <c r="R77" s="7"/>
      <c r="Y77" s="7"/>
      <c r="AF77" s="7"/>
      <c r="AM77" s="7"/>
      <c r="AT77" s="7"/>
      <c r="BA77" s="7"/>
      <c r="BH77" s="7"/>
      <c r="BO77" s="7"/>
      <c r="BW77" s="7"/>
      <c r="CE77" s="7"/>
      <c r="CL77" s="7"/>
      <c r="CS77" s="7"/>
      <c r="CZ77" s="7"/>
      <c r="DG77" s="7"/>
      <c r="DN77" s="7"/>
      <c r="DU77" s="7"/>
      <c r="EB77" s="7"/>
      <c r="EI77" s="7"/>
      <c r="EP77" s="7"/>
      <c r="EW77" s="7"/>
      <c r="FD77" s="7"/>
      <c r="FK77" s="7"/>
      <c r="FR77" s="7"/>
      <c r="FY77" s="7"/>
      <c r="GF77" s="7"/>
      <c r="GM77" s="7"/>
      <c r="GT77" s="7"/>
      <c r="HA77" s="7"/>
      <c r="HH77" s="7"/>
      <c r="HO77" s="7"/>
      <c r="HV77" s="7"/>
      <c r="IC77" s="7"/>
      <c r="IJ77" s="7"/>
      <c r="IQ77" s="7"/>
      <c r="IX77" s="7"/>
      <c r="JE77" s="7"/>
      <c r="JL77" s="7"/>
      <c r="JS77" s="7"/>
      <c r="JZ77" s="7"/>
      <c r="KG77" s="7"/>
      <c r="KN77" s="7"/>
      <c r="KU77" s="7"/>
      <c r="LB77" s="7"/>
      <c r="LI77" s="7"/>
      <c r="LP77" s="7"/>
      <c r="LW77" s="7"/>
    </row>
    <row r="78" spans="1:335" x14ac:dyDescent="0.25">
      <c r="A78" s="8" t="s">
        <v>21</v>
      </c>
      <c r="B78" s="8"/>
      <c r="C78" s="8"/>
      <c r="D78" s="8"/>
      <c r="E78" s="8"/>
      <c r="F78" s="10"/>
      <c r="G78" s="19"/>
      <c r="H78" s="19"/>
      <c r="I78" s="8"/>
      <c r="J78" s="8"/>
      <c r="K78" s="8"/>
      <c r="L78" s="8"/>
      <c r="M78" s="8"/>
      <c r="N78" s="8"/>
      <c r="O78" s="9"/>
      <c r="P78" s="8" t="str">
        <f>IF(SUM(R78:LW78) &gt; 0, SUM(R78:LW78), "")</f>
        <v/>
      </c>
      <c r="Q78" s="106" t="str">
        <f>IF(SUM(R78:XFD78) &gt; 0, SUM(R78:XFD78) / $P$82 * 100, "")</f>
        <v/>
      </c>
      <c r="R78" s="7"/>
      <c r="Y78" s="7"/>
      <c r="AF78" s="7"/>
      <c r="AM78" s="7"/>
      <c r="AT78" s="7"/>
      <c r="BA78" s="7"/>
      <c r="BH78" s="7"/>
      <c r="BO78" s="7"/>
      <c r="BW78" s="7"/>
      <c r="CE78" s="7"/>
      <c r="CL78" s="7"/>
      <c r="CS78" s="7"/>
      <c r="CZ78" s="7"/>
      <c r="DG78" s="7"/>
      <c r="DN78" s="7"/>
      <c r="DU78" s="7"/>
      <c r="EB78" s="7"/>
      <c r="EI78" s="7"/>
      <c r="EP78" s="7"/>
      <c r="EW78" s="7"/>
      <c r="FD78" s="7"/>
      <c r="FK78" s="7"/>
      <c r="FR78" s="7"/>
      <c r="FY78" s="7"/>
      <c r="GF78" s="7"/>
      <c r="GM78" s="7"/>
      <c r="GT78" s="7"/>
      <c r="HA78" s="7"/>
      <c r="HH78" s="7"/>
      <c r="HO78" s="7"/>
      <c r="HV78" s="7"/>
      <c r="IC78" s="7"/>
      <c r="IJ78" s="7"/>
      <c r="IQ78" s="7"/>
      <c r="IX78" s="7"/>
      <c r="JE78" s="7"/>
      <c r="JL78" s="7"/>
      <c r="JS78" s="7"/>
      <c r="JZ78" s="7"/>
      <c r="KG78" s="7"/>
      <c r="KN78" s="7"/>
      <c r="KU78" s="7"/>
      <c r="LB78" s="7"/>
      <c r="LI78" s="7"/>
      <c r="LP78" s="7"/>
      <c r="LW78" s="7"/>
    </row>
    <row r="79" spans="1:335" x14ac:dyDescent="0.25">
      <c r="A79" s="8" t="s">
        <v>20</v>
      </c>
      <c r="B79" s="8"/>
      <c r="C79" s="8"/>
      <c r="D79" s="8"/>
      <c r="E79" s="8"/>
      <c r="F79" s="10"/>
      <c r="G79" s="19"/>
      <c r="H79" s="19"/>
      <c r="I79" s="8"/>
      <c r="J79" s="8"/>
      <c r="K79" s="8"/>
      <c r="L79" s="8"/>
      <c r="M79" s="8"/>
      <c r="N79" s="8"/>
      <c r="O79" s="9"/>
      <c r="P79" s="8" t="str">
        <f>IF(SUM(R79:LW79) &gt; 0, SUM(R79:LW79), "")</f>
        <v/>
      </c>
      <c r="Q79" s="106" t="str">
        <f>IF(SUM(R79:XFD79) &gt; 0, SUM(R79:XFD79) / $P$82 * 100, "")</f>
        <v/>
      </c>
      <c r="R79" s="7"/>
      <c r="Y79" s="7"/>
      <c r="AF79" s="7"/>
      <c r="AM79" s="7"/>
      <c r="AT79" s="7"/>
      <c r="BA79" s="7"/>
      <c r="BH79" s="7"/>
      <c r="BO79" s="7"/>
      <c r="BW79" s="7"/>
      <c r="CE79" s="7"/>
      <c r="CL79" s="7"/>
      <c r="CS79" s="7"/>
      <c r="CZ79" s="7"/>
      <c r="DG79" s="7"/>
      <c r="DN79" s="7"/>
      <c r="DU79" s="7"/>
      <c r="EB79" s="7"/>
      <c r="EI79" s="7"/>
      <c r="EP79" s="7"/>
      <c r="EW79" s="7"/>
      <c r="FD79" s="7"/>
      <c r="FK79" s="7"/>
      <c r="FR79" s="7"/>
      <c r="FY79" s="7"/>
      <c r="GF79" s="7"/>
      <c r="GM79" s="7"/>
      <c r="GT79" s="7"/>
      <c r="HA79" s="7"/>
      <c r="HH79" s="7"/>
      <c r="HO79" s="7"/>
      <c r="HV79" s="7"/>
      <c r="IC79" s="7"/>
      <c r="IJ79" s="7"/>
      <c r="IQ79" s="7"/>
      <c r="IX79" s="7"/>
      <c r="JE79" s="7"/>
      <c r="JL79" s="7"/>
      <c r="JS79" s="7"/>
      <c r="JZ79" s="7"/>
      <c r="KG79" s="7"/>
      <c r="KN79" s="7"/>
      <c r="KU79" s="7"/>
      <c r="LB79" s="7"/>
      <c r="LI79" s="7"/>
      <c r="LP79" s="7"/>
      <c r="LW79" s="7"/>
    </row>
    <row r="80" spans="1:335" x14ac:dyDescent="0.25">
      <c r="A80" s="8" t="s">
        <v>19</v>
      </c>
      <c r="B80" s="8"/>
      <c r="C80" s="8"/>
      <c r="D80" s="8"/>
      <c r="E80" s="8"/>
      <c r="F80" s="10"/>
      <c r="G80" s="19"/>
      <c r="H80" s="19"/>
      <c r="I80" s="8"/>
      <c r="J80" s="8"/>
      <c r="K80" s="8"/>
      <c r="L80" s="8"/>
      <c r="M80" s="8"/>
      <c r="N80" s="8"/>
      <c r="O80" s="9"/>
      <c r="P80" s="8">
        <f>IF(SUM(R80:LW80) &gt; 0, SUM(R80:LW80), "")</f>
        <v>5</v>
      </c>
      <c r="Q80" s="106">
        <f>IF(SUM(R80:XFD80) &gt; 0, SUM(R80:XFD80) / $P$82 * 100, "")</f>
        <v>17.857142857142858</v>
      </c>
      <c r="R80" s="7"/>
      <c r="Y80" s="7"/>
      <c r="AF80" s="7"/>
      <c r="AJ80">
        <v>1</v>
      </c>
      <c r="AM80" s="7"/>
      <c r="AT80" s="7"/>
      <c r="AV80">
        <v>1</v>
      </c>
      <c r="AX80">
        <v>1</v>
      </c>
      <c r="BA80" s="7"/>
      <c r="BE80">
        <v>1</v>
      </c>
      <c r="BH80" s="7"/>
      <c r="BM80">
        <v>1</v>
      </c>
      <c r="BO80" s="7"/>
      <c r="BW80" s="7"/>
      <c r="CE80" s="7"/>
      <c r="CL80" s="7"/>
      <c r="CS80" s="7"/>
      <c r="CZ80" s="7"/>
      <c r="DG80" s="7"/>
      <c r="DN80" s="7"/>
      <c r="DU80" s="7"/>
      <c r="EB80" s="7"/>
      <c r="EI80" s="7"/>
      <c r="EP80" s="7"/>
      <c r="EW80" s="7"/>
      <c r="FD80" s="7"/>
      <c r="FK80" s="7"/>
      <c r="FR80" s="7"/>
      <c r="FY80" s="7"/>
      <c r="GF80" s="7"/>
      <c r="GM80" s="7"/>
      <c r="GT80" s="7"/>
      <c r="HA80" s="7"/>
      <c r="HH80" s="7"/>
      <c r="HO80" s="7"/>
      <c r="HV80" s="7"/>
      <c r="IC80" s="7"/>
      <c r="IJ80" s="7"/>
      <c r="IQ80" s="7"/>
      <c r="IX80" s="7"/>
      <c r="JE80" s="7"/>
      <c r="JL80" s="7"/>
      <c r="JS80" s="7"/>
      <c r="JZ80" s="7"/>
      <c r="KG80" s="7"/>
      <c r="KN80" s="7"/>
      <c r="KU80" s="7"/>
      <c r="LB80" s="7"/>
      <c r="LI80" s="7"/>
      <c r="LP80" s="7"/>
      <c r="LW80" s="7"/>
    </row>
    <row r="81" spans="1:335" ht="5.25" customHeight="1" x14ac:dyDescent="0.25">
      <c r="A81" s="8"/>
      <c r="B81" s="8"/>
      <c r="C81" s="8"/>
      <c r="D81" s="8"/>
      <c r="E81" s="8"/>
      <c r="F81" s="10"/>
      <c r="G81" s="19"/>
      <c r="H81" s="19"/>
      <c r="I81" s="8"/>
      <c r="J81" s="8"/>
      <c r="K81" s="8"/>
      <c r="L81" s="8"/>
      <c r="M81" s="8"/>
      <c r="N81" s="8"/>
      <c r="O81" s="9"/>
      <c r="P81" s="8" t="str">
        <f>IF(SUM(Q81:LW81) &gt; 0, SUM(Q81:LW81), "")</f>
        <v/>
      </c>
      <c r="Q81" s="9" t="str">
        <f>IF(SUM(R81:XFD81) &gt; 0, SUM(R81:XFD81), "")</f>
        <v/>
      </c>
      <c r="R81" s="7"/>
      <c r="Y81" s="7"/>
      <c r="AF81" s="7"/>
      <c r="AM81" s="7"/>
      <c r="AT81" s="7"/>
      <c r="BA81" s="7"/>
      <c r="BH81" s="7"/>
      <c r="BO81" s="7"/>
      <c r="BW81" s="7"/>
      <c r="CE81" s="7"/>
      <c r="CL81" s="7"/>
      <c r="CS81" s="7"/>
      <c r="CZ81" s="7"/>
      <c r="DG81" s="7"/>
      <c r="DN81" s="7"/>
      <c r="DU81" s="7"/>
      <c r="EB81" s="7"/>
      <c r="EI81" s="7"/>
      <c r="EP81" s="7"/>
      <c r="EW81" s="7"/>
      <c r="FD81" s="7"/>
      <c r="FK81" s="7"/>
      <c r="FR81" s="7"/>
      <c r="FY81" s="7"/>
      <c r="GF81" s="7"/>
      <c r="GM81" s="7"/>
      <c r="GT81" s="7"/>
      <c r="HA81" s="7"/>
      <c r="HH81" s="7"/>
      <c r="HO81" s="7"/>
      <c r="HV81" s="7"/>
      <c r="IC81" s="7"/>
      <c r="IJ81" s="7"/>
      <c r="IQ81" s="7"/>
      <c r="IX81" s="7"/>
      <c r="JE81" s="7"/>
      <c r="JL81" s="7"/>
      <c r="JS81" s="7"/>
      <c r="JZ81" s="7"/>
      <c r="KG81" s="7"/>
      <c r="KN81" s="7"/>
      <c r="KU81" s="7"/>
      <c r="LB81" s="7"/>
      <c r="LI81" s="7"/>
      <c r="LP81" s="7"/>
      <c r="LW81" s="7"/>
    </row>
    <row r="82" spans="1:335" x14ac:dyDescent="0.25">
      <c r="A82" s="6" t="s">
        <v>18</v>
      </c>
      <c r="B82" s="3"/>
      <c r="C82" s="3"/>
      <c r="D82" s="3"/>
      <c r="E82" s="3"/>
      <c r="F82" s="5"/>
      <c r="G82" s="3"/>
      <c r="H82" s="3"/>
      <c r="I82" s="3"/>
      <c r="J82" s="3"/>
      <c r="K82" s="3"/>
      <c r="L82" s="3"/>
      <c r="M82" s="3"/>
      <c r="N82" s="3"/>
      <c r="O82" s="4"/>
      <c r="P82" s="3">
        <f>SUM(R82:LW82)</f>
        <v>28</v>
      </c>
      <c r="Q82" s="4"/>
      <c r="R82" s="4">
        <v>1</v>
      </c>
      <c r="S82" s="3"/>
      <c r="T82" s="3">
        <v>1</v>
      </c>
      <c r="U82" s="3">
        <v>1</v>
      </c>
      <c r="V82" s="3"/>
      <c r="W82" s="3">
        <v>1</v>
      </c>
      <c r="X82" s="3"/>
      <c r="Y82" s="4"/>
      <c r="Z82" s="3"/>
      <c r="AA82" s="3">
        <v>1</v>
      </c>
      <c r="AB82" s="3"/>
      <c r="AC82" s="3">
        <v>1</v>
      </c>
      <c r="AD82" s="3">
        <v>1</v>
      </c>
      <c r="AE82" s="3"/>
      <c r="AF82" s="4"/>
      <c r="AG82" s="3"/>
      <c r="AH82" s="3">
        <v>1</v>
      </c>
      <c r="AI82" s="3"/>
      <c r="AJ82" s="3">
        <v>1</v>
      </c>
      <c r="AK82" s="3">
        <v>1</v>
      </c>
      <c r="AL82" s="3"/>
      <c r="AM82" s="4"/>
      <c r="AN82" s="3"/>
      <c r="AO82" s="3">
        <v>1</v>
      </c>
      <c r="AP82" s="3"/>
      <c r="AQ82" s="3">
        <v>1</v>
      </c>
      <c r="AR82" s="3">
        <v>1</v>
      </c>
      <c r="AS82" s="3"/>
      <c r="AT82" s="4"/>
      <c r="AU82" s="3"/>
      <c r="AV82" s="3">
        <v>1</v>
      </c>
      <c r="AW82" s="3">
        <v>1</v>
      </c>
      <c r="AX82" s="3">
        <v>1</v>
      </c>
      <c r="AY82" s="3">
        <v>1</v>
      </c>
      <c r="AZ82" s="3"/>
      <c r="BA82" s="4"/>
      <c r="BB82" s="3"/>
      <c r="BC82" s="3">
        <v>1</v>
      </c>
      <c r="BD82" s="3"/>
      <c r="BE82" s="3">
        <v>1</v>
      </c>
      <c r="BF82" s="3">
        <v>1</v>
      </c>
      <c r="BG82" s="3"/>
      <c r="BH82" s="4"/>
      <c r="BI82" s="3"/>
      <c r="BJ82" s="3">
        <v>1</v>
      </c>
      <c r="BK82" s="3"/>
      <c r="BL82" s="3">
        <v>1</v>
      </c>
      <c r="BM82" s="3">
        <v>1</v>
      </c>
      <c r="BN82" s="3"/>
      <c r="BO82" s="4">
        <v>1</v>
      </c>
      <c r="BP82" s="3"/>
      <c r="BQ82" s="3">
        <v>1</v>
      </c>
      <c r="BR82" s="3"/>
      <c r="BS82" s="3">
        <v>1</v>
      </c>
      <c r="BT82" s="3"/>
      <c r="BU82" s="3"/>
      <c r="BV82" s="3">
        <v>1</v>
      </c>
      <c r="BW82" s="4"/>
      <c r="BX82" s="3"/>
      <c r="BY82" s="3"/>
      <c r="BZ82" s="3"/>
      <c r="CA82" s="3">
        <v>1</v>
      </c>
      <c r="CB82" s="3"/>
      <c r="CC82" s="3"/>
      <c r="CD82" s="3"/>
      <c r="CE82" s="4"/>
      <c r="CF82" s="3"/>
      <c r="CG82" s="3"/>
      <c r="CH82" s="3"/>
      <c r="CI82" s="3"/>
      <c r="CJ82" s="3"/>
      <c r="CK82" s="3"/>
      <c r="CL82" s="4"/>
      <c r="CM82" s="3"/>
      <c r="CN82" s="3"/>
      <c r="CO82" s="3"/>
      <c r="CP82" s="3"/>
      <c r="CQ82" s="3"/>
      <c r="CR82" s="3"/>
      <c r="CS82" s="4"/>
      <c r="CT82" s="3"/>
      <c r="CU82" s="3"/>
      <c r="CV82" s="3"/>
      <c r="CW82" s="3"/>
      <c r="CX82" s="3"/>
      <c r="CY82" s="3"/>
      <c r="CZ82" s="4"/>
      <c r="DA82" s="3"/>
      <c r="DB82" s="3"/>
      <c r="DC82" s="3"/>
      <c r="DD82" s="3"/>
      <c r="DE82" s="3"/>
      <c r="DF82" s="3"/>
      <c r="DG82" s="4"/>
      <c r="DH82" s="3"/>
      <c r="DI82" s="3"/>
      <c r="DJ82" s="3"/>
      <c r="DK82" s="3"/>
      <c r="DL82" s="3"/>
      <c r="DM82" s="3"/>
      <c r="DN82" s="4"/>
      <c r="DO82" s="3"/>
      <c r="DP82" s="3"/>
      <c r="DQ82" s="3"/>
      <c r="DR82" s="3"/>
      <c r="DS82" s="3"/>
      <c r="DT82" s="3"/>
      <c r="DU82" s="4"/>
      <c r="DV82" s="3"/>
      <c r="DW82" s="3"/>
      <c r="DX82" s="3"/>
      <c r="DY82" s="3"/>
      <c r="DZ82" s="3"/>
      <c r="EA82" s="3"/>
      <c r="EB82" s="4"/>
      <c r="EC82" s="3"/>
      <c r="ED82" s="3"/>
      <c r="EE82" s="3"/>
      <c r="EF82" s="3"/>
      <c r="EG82" s="3"/>
      <c r="EH82" s="3"/>
      <c r="EI82" s="4"/>
      <c r="EJ82" s="3"/>
      <c r="EK82" s="3"/>
      <c r="EL82" s="3"/>
      <c r="EM82" s="3"/>
      <c r="EN82" s="3"/>
      <c r="EO82" s="3"/>
      <c r="EP82" s="4"/>
      <c r="EQ82" s="3"/>
      <c r="ER82" s="3"/>
      <c r="ES82" s="3"/>
      <c r="ET82" s="3"/>
      <c r="EU82" s="3"/>
      <c r="EV82" s="3"/>
      <c r="EW82" s="4"/>
      <c r="EX82" s="3"/>
      <c r="EY82" s="3"/>
      <c r="EZ82" s="3"/>
      <c r="FA82" s="3"/>
      <c r="FB82" s="3"/>
      <c r="FC82" s="3"/>
      <c r="FD82" s="4"/>
      <c r="FE82" s="3"/>
      <c r="FF82" s="3"/>
      <c r="FG82" s="3"/>
      <c r="FH82" s="3"/>
      <c r="FI82" s="3"/>
      <c r="FJ82" s="3"/>
      <c r="FK82" s="4"/>
      <c r="FL82" s="3"/>
      <c r="FM82" s="3"/>
      <c r="FN82" s="3"/>
      <c r="FO82" s="3"/>
      <c r="FP82" s="3"/>
      <c r="FQ82" s="3"/>
      <c r="FR82" s="4"/>
      <c r="FS82" s="3"/>
      <c r="FT82" s="3"/>
      <c r="FU82" s="3"/>
      <c r="FV82" s="3"/>
      <c r="FW82" s="3"/>
      <c r="FX82" s="3"/>
      <c r="FY82" s="4"/>
      <c r="FZ82" s="3"/>
      <c r="GA82" s="3"/>
      <c r="GB82" s="3"/>
      <c r="GC82" s="3"/>
      <c r="GD82" s="3"/>
      <c r="GE82" s="3"/>
      <c r="GF82" s="4"/>
      <c r="GG82" s="3"/>
      <c r="GH82" s="3"/>
      <c r="GI82" s="3"/>
      <c r="GJ82" s="3"/>
      <c r="GK82" s="3"/>
      <c r="GL82" s="3"/>
      <c r="GM82" s="4"/>
      <c r="GN82" s="3"/>
      <c r="GO82" s="3"/>
      <c r="GP82" s="3"/>
      <c r="GQ82" s="3"/>
      <c r="GR82" s="3"/>
      <c r="GS82" s="3"/>
      <c r="GT82" s="4"/>
      <c r="GU82" s="3"/>
      <c r="GV82" s="3"/>
      <c r="GW82" s="3"/>
      <c r="GX82" s="3"/>
      <c r="GY82" s="3"/>
      <c r="GZ82" s="3"/>
      <c r="HA82" s="4"/>
      <c r="HB82" s="3"/>
      <c r="HC82" s="3"/>
      <c r="HD82" s="3"/>
      <c r="HE82" s="3"/>
      <c r="HF82" s="3"/>
      <c r="HG82" s="3"/>
      <c r="HH82" s="4"/>
      <c r="HI82" s="3"/>
      <c r="HJ82" s="3"/>
      <c r="HK82" s="3"/>
      <c r="HL82" s="3"/>
      <c r="HM82" s="3"/>
      <c r="HN82" s="3"/>
      <c r="HO82" s="4"/>
      <c r="HP82" s="3"/>
      <c r="HQ82" s="3"/>
      <c r="HR82" s="3"/>
      <c r="HS82" s="3"/>
      <c r="HT82" s="3"/>
      <c r="HU82" s="3"/>
      <c r="HV82" s="4"/>
      <c r="HW82" s="3"/>
      <c r="HX82" s="3"/>
      <c r="HY82" s="3"/>
      <c r="HZ82" s="3"/>
      <c r="IA82" s="3"/>
      <c r="IB82" s="3"/>
      <c r="IC82" s="4"/>
      <c r="ID82" s="3"/>
      <c r="IE82" s="3"/>
      <c r="IF82" s="3"/>
      <c r="IG82" s="3"/>
      <c r="IH82" s="3"/>
      <c r="II82" s="3"/>
      <c r="IJ82" s="4"/>
      <c r="IK82" s="3"/>
      <c r="IL82" s="3"/>
      <c r="IM82" s="3"/>
      <c r="IN82" s="3"/>
      <c r="IO82" s="3"/>
      <c r="IP82" s="3"/>
      <c r="IQ82" s="4"/>
      <c r="IR82" s="3"/>
      <c r="IS82" s="3"/>
      <c r="IT82" s="3"/>
      <c r="IU82" s="3"/>
      <c r="IV82" s="3"/>
      <c r="IW82" s="3"/>
      <c r="IX82" s="4"/>
      <c r="IY82" s="3"/>
      <c r="IZ82" s="3"/>
      <c r="JA82" s="3"/>
      <c r="JB82" s="3"/>
      <c r="JC82" s="3"/>
      <c r="JD82" s="3"/>
      <c r="JE82" s="4"/>
      <c r="JF82" s="3"/>
      <c r="JG82" s="3"/>
      <c r="JH82" s="3"/>
      <c r="JI82" s="3"/>
      <c r="JJ82" s="3"/>
      <c r="JK82" s="3"/>
      <c r="JL82" s="4"/>
      <c r="JM82" s="3"/>
      <c r="JN82" s="3"/>
      <c r="JO82" s="3"/>
      <c r="JP82" s="3"/>
      <c r="JQ82" s="3"/>
      <c r="JR82" s="3"/>
      <c r="JS82" s="4"/>
      <c r="JT82" s="3"/>
      <c r="JU82" s="3"/>
      <c r="JV82" s="3"/>
      <c r="JW82" s="3"/>
      <c r="JX82" s="3"/>
      <c r="JY82" s="3"/>
      <c r="JZ82" s="4"/>
      <c r="KA82" s="3"/>
      <c r="KB82" s="3"/>
      <c r="KC82" s="3"/>
      <c r="KD82" s="3"/>
      <c r="KE82" s="3"/>
      <c r="KF82" s="3"/>
      <c r="KG82" s="4"/>
      <c r="KH82" s="3"/>
      <c r="KI82" s="3"/>
      <c r="KJ82" s="3"/>
      <c r="KK82" s="3"/>
      <c r="KL82" s="3"/>
      <c r="KM82" s="3"/>
      <c r="KN82" s="4"/>
      <c r="KO82" s="3"/>
      <c r="KP82" s="3"/>
      <c r="KQ82" s="3"/>
      <c r="KR82" s="3"/>
      <c r="KS82" s="3"/>
      <c r="KT82" s="3"/>
      <c r="KU82" s="4"/>
      <c r="KV82" s="3"/>
      <c r="KW82" s="3"/>
      <c r="KX82" s="3"/>
      <c r="KY82" s="3"/>
      <c r="KZ82" s="3"/>
      <c r="LA82" s="3"/>
      <c r="LB82" s="4"/>
      <c r="LC82" s="3"/>
      <c r="LD82" s="3"/>
      <c r="LE82" s="3"/>
      <c r="LF82" s="3"/>
      <c r="LG82" s="3"/>
      <c r="LH82" s="3"/>
      <c r="LI82" s="4"/>
      <c r="LJ82" s="3"/>
      <c r="LK82" s="3"/>
      <c r="LL82" s="3"/>
      <c r="LM82" s="3"/>
      <c r="LN82" s="3"/>
      <c r="LO82" s="3"/>
      <c r="LP82" s="4"/>
      <c r="LQ82" s="3"/>
      <c r="LR82" s="3"/>
      <c r="LS82" s="3"/>
      <c r="LT82" s="3"/>
      <c r="LU82" s="3"/>
      <c r="LV82" s="3"/>
      <c r="LW82" s="4"/>
    </row>
    <row r="84" spans="1:335" x14ac:dyDescent="0.25">
      <c r="B84" t="s">
        <v>202</v>
      </c>
      <c r="C84" t="s">
        <v>203</v>
      </c>
      <c r="D84" t="s">
        <v>204</v>
      </c>
      <c r="E84" t="s">
        <v>205</v>
      </c>
      <c r="F84" t="s">
        <v>210</v>
      </c>
      <c r="G84" t="s">
        <v>206</v>
      </c>
      <c r="H84" t="s">
        <v>207</v>
      </c>
      <c r="I84" t="s">
        <v>49</v>
      </c>
      <c r="J84" t="s">
        <v>208</v>
      </c>
      <c r="K84" t="s">
        <v>209</v>
      </c>
    </row>
    <row r="85" spans="1:335" x14ac:dyDescent="0.25">
      <c r="A85" t="s">
        <v>17</v>
      </c>
      <c r="B85" t="s">
        <v>147</v>
      </c>
      <c r="C85">
        <v>7</v>
      </c>
      <c r="D85">
        <v>26</v>
      </c>
      <c r="E85">
        <v>31</v>
      </c>
      <c r="F85">
        <v>1</v>
      </c>
      <c r="G85" t="s">
        <v>15</v>
      </c>
      <c r="H85" t="s">
        <v>13</v>
      </c>
      <c r="I85" t="s">
        <v>190</v>
      </c>
      <c r="J85" t="s">
        <v>191</v>
      </c>
      <c r="K85" s="52" t="str">
        <f>FindEnd(R32:LW32)</f>
        <v>CE</v>
      </c>
      <c r="T85" s="34"/>
    </row>
    <row r="86" spans="1:335" x14ac:dyDescent="0.25">
      <c r="B86" t="s">
        <v>150</v>
      </c>
      <c r="C86">
        <v>40</v>
      </c>
      <c r="D86">
        <v>57</v>
      </c>
      <c r="E86">
        <v>60</v>
      </c>
      <c r="F86">
        <v>34</v>
      </c>
      <c r="G86" t="s">
        <v>15</v>
      </c>
      <c r="H86" t="s">
        <v>13</v>
      </c>
      <c r="I86" t="s">
        <v>190</v>
      </c>
      <c r="J86" t="s">
        <v>244</v>
      </c>
      <c r="K86" s="52" t="str">
        <f>FindEnd(R59:LW59)</f>
        <v>BW</v>
      </c>
    </row>
    <row r="87" spans="1:335" x14ac:dyDescent="0.25">
      <c r="B87" t="s">
        <v>16</v>
      </c>
      <c r="C87">
        <v>66</v>
      </c>
      <c r="D87">
        <v>69</v>
      </c>
      <c r="E87">
        <v>72</v>
      </c>
      <c r="F87">
        <v>61</v>
      </c>
      <c r="G87" t="s">
        <v>15</v>
      </c>
      <c r="H87" t="s">
        <v>13</v>
      </c>
      <c r="I87" t="s">
        <v>190</v>
      </c>
      <c r="J87" t="s">
        <v>244</v>
      </c>
      <c r="K87" s="52" t="str">
        <f>FindEnd(R71:LW71)</f>
        <v>BW</v>
      </c>
    </row>
    <row r="89" spans="1:335" hidden="1" x14ac:dyDescent="0.25">
      <c r="A89" s="8" t="s">
        <v>113</v>
      </c>
      <c r="B89" s="8" t="s">
        <v>112</v>
      </c>
      <c r="C89" s="8" t="s">
        <v>111</v>
      </c>
      <c r="D89" s="8" t="s">
        <v>110</v>
      </c>
      <c r="E89" s="18">
        <v>40099</v>
      </c>
    </row>
    <row r="90" spans="1:335" hidden="1" x14ac:dyDescent="0.25">
      <c r="A90" s="8" t="s">
        <v>84</v>
      </c>
      <c r="B90" s="8"/>
      <c r="C90" s="8" t="s">
        <v>106</v>
      </c>
      <c r="D90" s="8" t="s">
        <v>105</v>
      </c>
      <c r="E90" s="18">
        <v>39365</v>
      </c>
    </row>
    <row r="91" spans="1:335" hidden="1" x14ac:dyDescent="0.25">
      <c r="A91" s="8" t="s">
        <v>104</v>
      </c>
      <c r="B91" s="8"/>
      <c r="C91" s="8" t="s">
        <v>103</v>
      </c>
      <c r="D91" s="8" t="s">
        <v>102</v>
      </c>
      <c r="E91" s="18">
        <v>39705</v>
      </c>
    </row>
    <row r="92" spans="1:335" hidden="1" x14ac:dyDescent="0.25">
      <c r="A92" s="8" t="s">
        <v>87</v>
      </c>
      <c r="B92" s="8"/>
      <c r="C92" s="8" t="s">
        <v>101</v>
      </c>
      <c r="D92" s="8" t="s">
        <v>98</v>
      </c>
      <c r="E92" s="18">
        <v>39386</v>
      </c>
    </row>
    <row r="93" spans="1:335" hidden="1" x14ac:dyDescent="0.25">
      <c r="A93" s="8" t="s">
        <v>100</v>
      </c>
      <c r="B93" s="8"/>
      <c r="C93" s="8" t="s">
        <v>99</v>
      </c>
      <c r="D93" s="8" t="s">
        <v>98</v>
      </c>
      <c r="E93" s="18">
        <v>39386</v>
      </c>
    </row>
    <row r="94" spans="1:335" hidden="1" x14ac:dyDescent="0.25">
      <c r="A94" s="8" t="s">
        <v>97</v>
      </c>
      <c r="B94" s="8" t="s">
        <v>96</v>
      </c>
      <c r="C94" s="8" t="s">
        <v>95</v>
      </c>
      <c r="D94" s="8" t="s">
        <v>94</v>
      </c>
      <c r="E94" s="18">
        <v>39590</v>
      </c>
    </row>
    <row r="95" spans="1:335" x14ac:dyDescent="0.25">
      <c r="A95" s="8" t="s">
        <v>73</v>
      </c>
      <c r="B95" s="8"/>
      <c r="C95" s="8" t="s">
        <v>72</v>
      </c>
      <c r="D95" s="8" t="s">
        <v>71</v>
      </c>
      <c r="E95" s="18">
        <v>40754</v>
      </c>
    </row>
    <row r="96" spans="1:335" x14ac:dyDescent="0.25">
      <c r="A96" s="8" t="s">
        <v>70</v>
      </c>
      <c r="B96" s="8"/>
      <c r="C96" s="8" t="s">
        <v>69</v>
      </c>
      <c r="D96" s="8" t="s">
        <v>68</v>
      </c>
      <c r="E96" s="18"/>
    </row>
    <row r="97" spans="1:5" x14ac:dyDescent="0.25">
      <c r="A97" s="8" t="s">
        <v>67</v>
      </c>
      <c r="B97" s="8" t="s">
        <v>66</v>
      </c>
      <c r="C97" s="8" t="s">
        <v>65</v>
      </c>
      <c r="D97" s="8" t="s">
        <v>64</v>
      </c>
      <c r="E97" s="18">
        <v>39713</v>
      </c>
    </row>
    <row r="98" spans="1:5" x14ac:dyDescent="0.25">
      <c r="A98" s="8" t="s">
        <v>62</v>
      </c>
      <c r="B98" s="8"/>
      <c r="C98" s="8" t="s">
        <v>61</v>
      </c>
      <c r="D98" s="8" t="s">
        <v>60</v>
      </c>
      <c r="E98" s="18"/>
    </row>
    <row r="99" spans="1:5" x14ac:dyDescent="0.25">
      <c r="A99" s="8" t="s">
        <v>59</v>
      </c>
      <c r="B99" s="8"/>
      <c r="C99" s="8" t="s">
        <v>58</v>
      </c>
      <c r="D99" s="8"/>
      <c r="E99" s="18"/>
    </row>
    <row r="100" spans="1:5" x14ac:dyDescent="0.25">
      <c r="A100" s="8" t="s">
        <v>57</v>
      </c>
      <c r="B100" s="8"/>
      <c r="C100" s="8" t="s">
        <v>14</v>
      </c>
      <c r="D100" s="8"/>
      <c r="E100" s="18"/>
    </row>
    <row r="101" spans="1:5" x14ac:dyDescent="0.25">
      <c r="A101" s="8" t="s">
        <v>56</v>
      </c>
      <c r="B101" s="8"/>
      <c r="C101" s="31" t="s">
        <v>55</v>
      </c>
      <c r="D101" s="8"/>
      <c r="E101" s="18"/>
    </row>
    <row r="102" spans="1:5" x14ac:dyDescent="0.25">
      <c r="A102" s="8" t="s">
        <v>54</v>
      </c>
      <c r="B102" s="8"/>
      <c r="C102" s="31" t="s">
        <v>53</v>
      </c>
      <c r="D102" s="8"/>
      <c r="E102" s="18"/>
    </row>
    <row r="103" spans="1:5" x14ac:dyDescent="0.25">
      <c r="A103" s="8" t="s">
        <v>52</v>
      </c>
      <c r="B103" s="8"/>
      <c r="C103" s="31" t="s">
        <v>51</v>
      </c>
      <c r="D103" s="8"/>
      <c r="E103" s="18"/>
    </row>
  </sheetData>
  <dataConsolidate/>
  <mergeCells count="9">
    <mergeCell ref="A62:E63"/>
    <mergeCell ref="P62:P63"/>
    <mergeCell ref="Q62:Q63"/>
    <mergeCell ref="Q2:Q3"/>
    <mergeCell ref="A2:E3"/>
    <mergeCell ref="P2:P3"/>
    <mergeCell ref="A35:E36"/>
    <mergeCell ref="P35:P36"/>
    <mergeCell ref="Q35:Q36"/>
  </mergeCells>
  <pageMargins left="0.7" right="0.7" top="0.75" bottom="0.75" header="0.3" footer="0.3"/>
  <pageSetup paperSize="9" orientation="portrait" r:id="rId1"/>
  <ignoredErrors>
    <ignoredError sqref="BW7 BW9:BW26"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84</xdr:row>
                    <xdr:rowOff>28575</xdr:rowOff>
                  </from>
                  <to>
                    <xdr:col>0</xdr:col>
                    <xdr:colOff>676275</xdr:colOff>
                    <xdr:row>86</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69"/>
  <sheetViews>
    <sheetView tabSelected="1" workbookViewId="0">
      <selection activeCell="G9" sqref="G9"/>
    </sheetView>
  </sheetViews>
  <sheetFormatPr baseColWidth="10" defaultRowHeight="15" x14ac:dyDescent="0.25"/>
  <cols>
    <col min="1" max="1" width="9.28515625" style="46" customWidth="1"/>
    <col min="2" max="2" width="75.7109375" customWidth="1"/>
    <col min="3" max="3" width="2" style="42" customWidth="1"/>
    <col min="4" max="4" width="75.7109375" customWidth="1"/>
  </cols>
  <sheetData>
    <row r="1" spans="1:4" s="43" customFormat="1" ht="21" x14ac:dyDescent="0.35">
      <c r="A1" s="72" t="s">
        <v>199</v>
      </c>
      <c r="B1" s="73" t="s">
        <v>192</v>
      </c>
      <c r="C1" s="73"/>
      <c r="D1" s="73" t="s">
        <v>193</v>
      </c>
    </row>
    <row r="2" spans="1:4" x14ac:dyDescent="0.25">
      <c r="A2" s="74"/>
      <c r="B2" s="75"/>
      <c r="C2" s="76"/>
      <c r="D2" s="75"/>
    </row>
    <row r="3" spans="1:4" x14ac:dyDescent="0.25">
      <c r="A3" s="74"/>
      <c r="B3" s="75"/>
      <c r="C3" s="76"/>
      <c r="D3" s="75"/>
    </row>
    <row r="4" spans="1:4" x14ac:dyDescent="0.25">
      <c r="A4" s="74"/>
      <c r="B4" s="75"/>
      <c r="C4" s="76"/>
      <c r="D4" s="75"/>
    </row>
    <row r="5" spans="1:4" x14ac:dyDescent="0.25">
      <c r="A5" s="77">
        <v>44035</v>
      </c>
      <c r="B5" s="76" t="s">
        <v>388</v>
      </c>
      <c r="C5" s="76"/>
      <c r="D5" s="75"/>
    </row>
    <row r="6" spans="1:4" ht="45" x14ac:dyDescent="0.25">
      <c r="A6" s="74"/>
      <c r="B6" s="79" t="s">
        <v>387</v>
      </c>
      <c r="C6" s="76"/>
      <c r="D6" s="75"/>
    </row>
    <row r="7" spans="1:4" x14ac:dyDescent="0.25">
      <c r="A7" s="74"/>
      <c r="B7" s="75"/>
      <c r="C7" s="76"/>
      <c r="D7" s="75"/>
    </row>
    <row r="8" spans="1:4" x14ac:dyDescent="0.25">
      <c r="A8" s="77">
        <v>44031</v>
      </c>
      <c r="B8" s="76" t="s">
        <v>384</v>
      </c>
      <c r="C8" s="76"/>
      <c r="D8" s="76" t="s">
        <v>386</v>
      </c>
    </row>
    <row r="9" spans="1:4" ht="30" x14ac:dyDescent="0.25">
      <c r="A9" s="74"/>
      <c r="B9" s="79" t="s">
        <v>385</v>
      </c>
      <c r="C9" s="76"/>
      <c r="D9" s="75" t="s">
        <v>353</v>
      </c>
    </row>
    <row r="10" spans="1:4" x14ac:dyDescent="0.25">
      <c r="A10" s="77">
        <v>44028</v>
      </c>
      <c r="B10" s="76" t="s">
        <v>360</v>
      </c>
      <c r="C10" s="76"/>
      <c r="D10" s="75"/>
    </row>
    <row r="11" spans="1:4" x14ac:dyDescent="0.25">
      <c r="A11" s="74"/>
      <c r="B11" s="75" t="s">
        <v>361</v>
      </c>
      <c r="C11" s="76"/>
      <c r="D11" s="75"/>
    </row>
    <row r="12" spans="1:4" x14ac:dyDescent="0.25">
      <c r="A12" s="77">
        <v>44026</v>
      </c>
      <c r="B12" s="76" t="s">
        <v>358</v>
      </c>
      <c r="C12" s="76"/>
      <c r="D12" s="75"/>
    </row>
    <row r="13" spans="1:4" x14ac:dyDescent="0.25">
      <c r="A13" s="74"/>
      <c r="B13" s="75" t="s">
        <v>7</v>
      </c>
      <c r="C13" s="76"/>
      <c r="D13" s="75"/>
    </row>
    <row r="14" spans="1:4" x14ac:dyDescent="0.25">
      <c r="A14" s="74"/>
      <c r="B14" s="75"/>
      <c r="C14" s="76"/>
      <c r="D14" s="75"/>
    </row>
    <row r="15" spans="1:4" x14ac:dyDescent="0.25">
      <c r="A15" s="77">
        <v>44024</v>
      </c>
      <c r="B15" s="76" t="s">
        <v>352</v>
      </c>
      <c r="C15" s="76"/>
      <c r="D15" s="76" t="s">
        <v>357</v>
      </c>
    </row>
    <row r="16" spans="1:4" ht="30" x14ac:dyDescent="0.25">
      <c r="A16" s="74"/>
      <c r="B16" s="79" t="s">
        <v>362</v>
      </c>
      <c r="C16" s="76"/>
      <c r="D16" s="75" t="s">
        <v>353</v>
      </c>
    </row>
    <row r="17" spans="1:4" x14ac:dyDescent="0.25">
      <c r="A17" s="77">
        <v>44022</v>
      </c>
      <c r="B17" s="79"/>
      <c r="C17" s="76"/>
      <c r="D17" s="76" t="s">
        <v>358</v>
      </c>
    </row>
    <row r="18" spans="1:4" x14ac:dyDescent="0.25">
      <c r="A18" s="74"/>
      <c r="B18" s="79"/>
      <c r="C18" s="76"/>
      <c r="D18" s="75" t="s">
        <v>359</v>
      </c>
    </row>
    <row r="19" spans="1:4" x14ac:dyDescent="0.25">
      <c r="A19" s="77">
        <v>44021</v>
      </c>
      <c r="B19" s="76" t="s">
        <v>245</v>
      </c>
      <c r="C19" s="76"/>
      <c r="D19" s="76" t="s">
        <v>299</v>
      </c>
    </row>
    <row r="20" spans="1:4" x14ac:dyDescent="0.25">
      <c r="A20" s="74"/>
      <c r="B20" s="75" t="s">
        <v>351</v>
      </c>
      <c r="C20" s="76"/>
      <c r="D20" s="75" t="s">
        <v>350</v>
      </c>
    </row>
    <row r="21" spans="1:4" x14ac:dyDescent="0.25">
      <c r="A21" s="77">
        <v>44019</v>
      </c>
      <c r="B21" s="76" t="s">
        <v>245</v>
      </c>
      <c r="C21" s="76"/>
      <c r="D21" s="76" t="s">
        <v>299</v>
      </c>
    </row>
    <row r="22" spans="1:4" x14ac:dyDescent="0.25">
      <c r="A22" s="74"/>
      <c r="B22" s="75" t="s">
        <v>303</v>
      </c>
      <c r="C22" s="76"/>
      <c r="D22" s="75" t="s">
        <v>320</v>
      </c>
    </row>
    <row r="23" spans="1:4" x14ac:dyDescent="0.25">
      <c r="A23" s="74"/>
      <c r="B23" s="75"/>
      <c r="C23" s="76"/>
      <c r="D23" s="75"/>
    </row>
    <row r="24" spans="1:4" x14ac:dyDescent="0.25">
      <c r="A24" s="77">
        <v>44015</v>
      </c>
      <c r="B24" s="76" t="s">
        <v>249</v>
      </c>
      <c r="C24" s="76"/>
      <c r="D24" s="75"/>
    </row>
    <row r="25" spans="1:4" ht="75.75" customHeight="1" x14ac:dyDescent="0.25">
      <c r="A25" s="74"/>
      <c r="B25" s="79" t="s">
        <v>319</v>
      </c>
      <c r="C25" s="76"/>
      <c r="D25" s="75"/>
    </row>
    <row r="26" spans="1:4" x14ac:dyDescent="0.25">
      <c r="A26" s="77">
        <v>44014</v>
      </c>
      <c r="B26" s="76" t="s">
        <v>267</v>
      </c>
      <c r="C26" s="76"/>
      <c r="D26" s="76" t="s">
        <v>311</v>
      </c>
    </row>
    <row r="27" spans="1:4" ht="75" x14ac:dyDescent="0.25">
      <c r="A27" s="74"/>
      <c r="B27" s="79" t="s">
        <v>313</v>
      </c>
      <c r="C27" s="76"/>
      <c r="D27" s="79" t="s">
        <v>312</v>
      </c>
    </row>
    <row r="28" spans="1:4" x14ac:dyDescent="0.25">
      <c r="A28" s="77">
        <v>44012</v>
      </c>
      <c r="B28" s="76" t="s">
        <v>267</v>
      </c>
      <c r="C28" s="76"/>
      <c r="D28" s="76" t="s">
        <v>249</v>
      </c>
    </row>
    <row r="29" spans="1:4" ht="45" x14ac:dyDescent="0.25">
      <c r="A29" s="74"/>
      <c r="B29" s="79" t="s">
        <v>304</v>
      </c>
      <c r="C29" s="76"/>
      <c r="D29" s="75" t="s">
        <v>303</v>
      </c>
    </row>
    <row r="30" spans="1:4" x14ac:dyDescent="0.25">
      <c r="A30" s="74"/>
      <c r="B30" s="75"/>
      <c r="C30" s="76"/>
      <c r="D30" s="75"/>
    </row>
    <row r="31" spans="1:4" x14ac:dyDescent="0.25">
      <c r="A31" s="77">
        <v>44008</v>
      </c>
      <c r="B31" s="76" t="s">
        <v>218</v>
      </c>
      <c r="C31" s="76"/>
      <c r="D31" s="75"/>
    </row>
    <row r="32" spans="1:4" ht="105" x14ac:dyDescent="0.25">
      <c r="A32" s="74"/>
      <c r="B32" s="79" t="s">
        <v>300</v>
      </c>
      <c r="C32" s="76"/>
      <c r="D32" s="75"/>
    </row>
    <row r="33" spans="1:4" x14ac:dyDescent="0.25">
      <c r="A33" s="77">
        <v>44007</v>
      </c>
      <c r="B33" s="76" t="s">
        <v>298</v>
      </c>
      <c r="C33" s="76"/>
      <c r="D33" s="76" t="s">
        <v>299</v>
      </c>
    </row>
    <row r="34" spans="1:4" ht="60" x14ac:dyDescent="0.25">
      <c r="A34" s="74"/>
      <c r="B34" s="79" t="s">
        <v>295</v>
      </c>
      <c r="C34" s="76"/>
      <c r="D34" s="79" t="s">
        <v>269</v>
      </c>
    </row>
    <row r="35" spans="1:4" x14ac:dyDescent="0.25">
      <c r="A35" s="77">
        <v>44006</v>
      </c>
      <c r="B35" s="76" t="s">
        <v>293</v>
      </c>
      <c r="C35" s="76"/>
      <c r="D35" s="76" t="s">
        <v>294</v>
      </c>
    </row>
    <row r="36" spans="1:4" x14ac:dyDescent="0.25">
      <c r="A36" s="74"/>
      <c r="B36" s="75" t="s">
        <v>292</v>
      </c>
      <c r="C36" s="76"/>
      <c r="D36" s="75" t="s">
        <v>292</v>
      </c>
    </row>
    <row r="37" spans="1:4" x14ac:dyDescent="0.25">
      <c r="A37" s="77">
        <v>44005</v>
      </c>
      <c r="B37" s="76" t="s">
        <v>267</v>
      </c>
      <c r="C37" s="76"/>
      <c r="D37" s="76" t="s">
        <v>249</v>
      </c>
    </row>
    <row r="38" spans="1:4" ht="45" x14ac:dyDescent="0.25">
      <c r="A38" s="74"/>
      <c r="B38" s="75" t="s">
        <v>268</v>
      </c>
      <c r="C38" s="76"/>
      <c r="D38" s="79" t="s">
        <v>269</v>
      </c>
    </row>
    <row r="39" spans="1:4" x14ac:dyDescent="0.25">
      <c r="A39" s="74"/>
      <c r="B39" s="75"/>
      <c r="C39" s="76"/>
      <c r="D39" s="75"/>
    </row>
    <row r="40" spans="1:4" x14ac:dyDescent="0.25">
      <c r="A40" s="77">
        <v>44001</v>
      </c>
      <c r="B40" s="76" t="s">
        <v>249</v>
      </c>
      <c r="C40" s="76"/>
      <c r="D40" s="75"/>
    </row>
    <row r="41" spans="1:4" ht="135" x14ac:dyDescent="0.25">
      <c r="A41" s="74"/>
      <c r="B41" s="79" t="s">
        <v>265</v>
      </c>
      <c r="C41" s="76"/>
      <c r="D41" s="75"/>
    </row>
    <row r="42" spans="1:4" x14ac:dyDescent="0.25">
      <c r="A42" s="77">
        <v>44000</v>
      </c>
      <c r="B42" s="76" t="s">
        <v>245</v>
      </c>
      <c r="C42" s="76"/>
      <c r="D42" s="76" t="s">
        <v>262</v>
      </c>
    </row>
    <row r="43" spans="1:4" ht="105" x14ac:dyDescent="0.25">
      <c r="A43" s="74"/>
      <c r="B43" s="79" t="s">
        <v>264</v>
      </c>
      <c r="C43" s="76"/>
      <c r="D43" s="79" t="s">
        <v>263</v>
      </c>
    </row>
    <row r="44" spans="1:4" x14ac:dyDescent="0.25">
      <c r="A44" s="77">
        <v>43998</v>
      </c>
      <c r="B44" s="76" t="s">
        <v>215</v>
      </c>
      <c r="C44" s="76"/>
      <c r="D44" s="76" t="s">
        <v>259</v>
      </c>
    </row>
    <row r="45" spans="1:4" ht="120" x14ac:dyDescent="0.25">
      <c r="A45" s="74"/>
      <c r="B45" s="79" t="s">
        <v>260</v>
      </c>
      <c r="C45" s="76"/>
      <c r="D45" s="1" t="s">
        <v>261</v>
      </c>
    </row>
    <row r="46" spans="1:4" x14ac:dyDescent="0.25">
      <c r="A46" s="74"/>
      <c r="B46" s="75"/>
      <c r="C46" s="76"/>
      <c r="D46" s="75"/>
    </row>
    <row r="47" spans="1:4" x14ac:dyDescent="0.25">
      <c r="A47" s="77">
        <v>43994</v>
      </c>
      <c r="B47" s="76" t="s">
        <v>257</v>
      </c>
      <c r="C47" s="76"/>
      <c r="D47" s="75"/>
    </row>
    <row r="48" spans="1:4" ht="75" x14ac:dyDescent="0.25">
      <c r="A48" s="74"/>
      <c r="B48" s="79" t="s">
        <v>258</v>
      </c>
      <c r="C48" s="76"/>
      <c r="D48" s="75"/>
    </row>
    <row r="49" spans="1:4" x14ac:dyDescent="0.25">
      <c r="A49" s="77">
        <v>43993</v>
      </c>
      <c r="B49" s="76" t="s">
        <v>215</v>
      </c>
      <c r="C49" s="76"/>
      <c r="D49" s="76" t="s">
        <v>254</v>
      </c>
    </row>
    <row r="50" spans="1:4" ht="120" x14ac:dyDescent="0.25">
      <c r="A50" s="74"/>
      <c r="B50" s="71" t="s">
        <v>255</v>
      </c>
      <c r="C50" s="76"/>
      <c r="D50" s="79" t="s">
        <v>256</v>
      </c>
    </row>
    <row r="51" spans="1:4" x14ac:dyDescent="0.25">
      <c r="A51" s="77">
        <v>43991</v>
      </c>
      <c r="B51" s="76" t="s">
        <v>245</v>
      </c>
      <c r="C51" s="76"/>
      <c r="D51" s="76" t="s">
        <v>249</v>
      </c>
    </row>
    <row r="52" spans="1:4" ht="105" x14ac:dyDescent="0.25">
      <c r="A52" s="68"/>
      <c r="B52" s="69" t="s">
        <v>246</v>
      </c>
      <c r="C52" s="70"/>
      <c r="D52" s="71" t="s">
        <v>250</v>
      </c>
    </row>
    <row r="53" spans="1:4" x14ac:dyDescent="0.25">
      <c r="A53" s="68"/>
      <c r="B53" s="69"/>
      <c r="C53" s="70"/>
      <c r="D53" s="71"/>
    </row>
    <row r="54" spans="1:4" x14ac:dyDescent="0.25">
      <c r="A54" s="47">
        <v>43987</v>
      </c>
      <c r="B54" s="42" t="s">
        <v>215</v>
      </c>
    </row>
    <row r="55" spans="1:4" ht="195.75" customHeight="1" x14ac:dyDescent="0.25">
      <c r="B55" s="1" t="s">
        <v>217</v>
      </c>
    </row>
    <row r="56" spans="1:4" x14ac:dyDescent="0.25">
      <c r="A56" s="47">
        <v>43986</v>
      </c>
      <c r="B56" s="42" t="s">
        <v>218</v>
      </c>
    </row>
    <row r="57" spans="1:4" ht="165" customHeight="1" x14ac:dyDescent="0.25">
      <c r="B57" s="1" t="s">
        <v>216</v>
      </c>
    </row>
    <row r="58" spans="1:4" x14ac:dyDescent="0.25">
      <c r="A58" s="47">
        <v>43984</v>
      </c>
      <c r="B58" s="42" t="s">
        <v>225</v>
      </c>
    </row>
    <row r="59" spans="1:4" ht="120" x14ac:dyDescent="0.25">
      <c r="B59" s="1" t="s">
        <v>224</v>
      </c>
    </row>
    <row r="61" spans="1:4" x14ac:dyDescent="0.25">
      <c r="A61" s="47">
        <v>43980</v>
      </c>
      <c r="B61" s="42" t="s">
        <v>219</v>
      </c>
    </row>
    <row r="62" spans="1:4" ht="165" x14ac:dyDescent="0.25">
      <c r="B62" s="1" t="s">
        <v>223</v>
      </c>
    </row>
    <row r="63" spans="1:4" x14ac:dyDescent="0.25">
      <c r="A63" s="47">
        <v>43978</v>
      </c>
      <c r="B63" s="42" t="s">
        <v>222</v>
      </c>
    </row>
    <row r="64" spans="1:4" ht="120" x14ac:dyDescent="0.25">
      <c r="B64" s="1" t="s">
        <v>221</v>
      </c>
    </row>
    <row r="65" spans="1:2" x14ac:dyDescent="0.25">
      <c r="A65" s="47">
        <v>43977</v>
      </c>
      <c r="B65" s="42" t="s">
        <v>219</v>
      </c>
    </row>
    <row r="66" spans="1:2" ht="90" x14ac:dyDescent="0.25">
      <c r="B66" s="1" t="s">
        <v>220</v>
      </c>
    </row>
    <row r="68" spans="1:2" x14ac:dyDescent="0.25">
      <c r="A68" s="47">
        <v>43975</v>
      </c>
      <c r="B68" s="42" t="s">
        <v>200</v>
      </c>
    </row>
    <row r="69" spans="1:2" ht="60" x14ac:dyDescent="0.25">
      <c r="B69" s="1" t="s">
        <v>201</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G9" sqref="G9"/>
    </sheetView>
  </sheetViews>
  <sheetFormatPr baseColWidth="10" defaultRowHeight="15" x14ac:dyDescent="0.25"/>
  <cols>
    <col min="2" max="2" width="4" customWidth="1"/>
    <col min="3" max="3" width="91.42578125" customWidth="1"/>
  </cols>
  <sheetData>
    <row r="1" spans="1:5" ht="30" x14ac:dyDescent="0.25">
      <c r="A1" s="53" t="s">
        <v>130</v>
      </c>
      <c r="B1" s="53" t="s">
        <v>159</v>
      </c>
      <c r="C1" s="1" t="s">
        <v>363</v>
      </c>
      <c r="E1" t="s">
        <v>364</v>
      </c>
    </row>
    <row r="2" spans="1:5" x14ac:dyDescent="0.25">
      <c r="A2" s="53" t="s">
        <v>153</v>
      </c>
      <c r="B2" s="53" t="s">
        <v>155</v>
      </c>
      <c r="C2" s="1" t="s">
        <v>314</v>
      </c>
      <c r="E2" t="s">
        <v>315</v>
      </c>
    </row>
    <row r="3" spans="1:5" ht="45" x14ac:dyDescent="0.25">
      <c r="A3" s="53" t="s">
        <v>20</v>
      </c>
      <c r="B3" s="53" t="s">
        <v>151</v>
      </c>
      <c r="C3" s="1" t="s">
        <v>316</v>
      </c>
    </row>
    <row r="4" spans="1:5" ht="30" x14ac:dyDescent="0.25">
      <c r="A4" s="53" t="s">
        <v>180</v>
      </c>
      <c r="B4" s="53" t="s">
        <v>181</v>
      </c>
      <c r="C4" s="1" t="s">
        <v>321</v>
      </c>
    </row>
    <row r="5" spans="1:5" ht="30" x14ac:dyDescent="0.25">
      <c r="A5" s="53" t="s">
        <v>122</v>
      </c>
      <c r="B5" s="53" t="s">
        <v>178</v>
      </c>
      <c r="C5" s="1" t="s">
        <v>230</v>
      </c>
    </row>
    <row r="6" spans="1:5" ht="45" x14ac:dyDescent="0.25">
      <c r="A6" s="53" t="s">
        <v>164</v>
      </c>
      <c r="B6" s="53" t="s">
        <v>165</v>
      </c>
      <c r="C6" s="1" t="s">
        <v>308</v>
      </c>
    </row>
    <row r="7" spans="1:5" hidden="1" x14ac:dyDescent="0.25">
      <c r="A7" s="53" t="s">
        <v>180</v>
      </c>
      <c r="B7" s="53" t="s">
        <v>182</v>
      </c>
    </row>
    <row r="8" spans="1:5" hidden="1" x14ac:dyDescent="0.25">
      <c r="A8" s="53" t="s">
        <v>174</v>
      </c>
      <c r="B8" s="53" t="s">
        <v>176</v>
      </c>
      <c r="C8" s="1" t="s">
        <v>231</v>
      </c>
      <c r="E8" t="s">
        <v>317</v>
      </c>
    </row>
    <row r="9" spans="1:5" ht="30" x14ac:dyDescent="0.25">
      <c r="A9" s="53" t="s">
        <v>127</v>
      </c>
      <c r="B9" s="53" t="s">
        <v>160</v>
      </c>
      <c r="C9" s="1" t="s">
        <v>307</v>
      </c>
      <c r="E9" t="s">
        <v>365</v>
      </c>
    </row>
    <row r="10" spans="1:5" ht="45" x14ac:dyDescent="0.25">
      <c r="A10" s="53" t="s">
        <v>228</v>
      </c>
      <c r="B10" s="53" t="s">
        <v>162</v>
      </c>
      <c r="C10" s="1" t="s">
        <v>309</v>
      </c>
    </row>
    <row r="11" spans="1:5" ht="30" x14ac:dyDescent="0.25">
      <c r="A11" s="53" t="s">
        <v>157</v>
      </c>
      <c r="B11" s="53" t="s">
        <v>158</v>
      </c>
      <c r="C11" s="1" t="s">
        <v>306</v>
      </c>
    </row>
    <row r="12" spans="1:5" ht="30" x14ac:dyDescent="0.25">
      <c r="A12" s="53" t="s">
        <v>229</v>
      </c>
      <c r="B12" s="53" t="s">
        <v>145</v>
      </c>
      <c r="C12" s="1" t="s">
        <v>366</v>
      </c>
    </row>
    <row r="13" spans="1:5" ht="30" x14ac:dyDescent="0.25">
      <c r="A13" s="53" t="s">
        <v>144</v>
      </c>
      <c r="B13" s="53" t="s">
        <v>142</v>
      </c>
      <c r="C13" s="1" t="s">
        <v>310</v>
      </c>
    </row>
    <row r="14" spans="1:5" hidden="1" x14ac:dyDescent="0.25">
      <c r="A14" s="53" t="s">
        <v>164</v>
      </c>
      <c r="B14" s="53" t="s">
        <v>189</v>
      </c>
    </row>
    <row r="15" spans="1:5" ht="30" x14ac:dyDescent="0.25">
      <c r="A15" s="53" t="s">
        <v>140</v>
      </c>
      <c r="B15" s="53" t="s">
        <v>138</v>
      </c>
      <c r="C15" s="1" t="s">
        <v>226</v>
      </c>
    </row>
    <row r="16" spans="1:5" ht="45" x14ac:dyDescent="0.25">
      <c r="A16" s="53" t="s">
        <v>136</v>
      </c>
      <c r="B16" s="53" t="s">
        <v>172</v>
      </c>
      <c r="C16" s="1" t="s">
        <v>367</v>
      </c>
      <c r="E16" t="s">
        <v>318</v>
      </c>
    </row>
    <row r="17" spans="1:3" ht="30" x14ac:dyDescent="0.25">
      <c r="A17" s="53" t="s">
        <v>127</v>
      </c>
      <c r="B17" s="53" t="s">
        <v>170</v>
      </c>
      <c r="C17" s="1" t="s">
        <v>305</v>
      </c>
    </row>
    <row r="18" spans="1:3" ht="30" x14ac:dyDescent="0.25">
      <c r="A18" s="53" t="s">
        <v>184</v>
      </c>
      <c r="B18" s="53" t="s">
        <v>186</v>
      </c>
      <c r="C18" s="1" t="s">
        <v>368</v>
      </c>
    </row>
    <row r="19" spans="1:3" hidden="1" x14ac:dyDescent="0.25">
      <c r="A19" s="53" t="s">
        <v>131</v>
      </c>
      <c r="B19" s="53" t="s">
        <v>167</v>
      </c>
    </row>
    <row r="20" spans="1:3" x14ac:dyDescent="0.25">
      <c r="A20" s="53" t="s">
        <v>134</v>
      </c>
      <c r="B20" s="53" t="s">
        <v>133</v>
      </c>
      <c r="C20" t="s">
        <v>227</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96" t="s">
        <v>346</v>
      </c>
      <c r="B1" s="96"/>
    </row>
    <row r="2" spans="1:2" x14ac:dyDescent="0.25">
      <c r="A2" t="s">
        <v>345</v>
      </c>
    </row>
    <row r="3" spans="1:2" x14ac:dyDescent="0.25">
      <c r="A3" t="s">
        <v>349</v>
      </c>
    </row>
    <row r="4" spans="1:2" x14ac:dyDescent="0.25">
      <c r="A4" t="s">
        <v>343</v>
      </c>
    </row>
    <row r="5" spans="1:2" x14ac:dyDescent="0.25">
      <c r="A5" t="s">
        <v>344</v>
      </c>
    </row>
    <row r="7" spans="1:2" s="81" customFormat="1" ht="21" x14ac:dyDescent="0.35">
      <c r="A7" s="96" t="s">
        <v>347</v>
      </c>
      <c r="B7" s="96"/>
    </row>
    <row r="8" spans="1:2" ht="15.75" x14ac:dyDescent="0.25">
      <c r="A8" s="94" t="s">
        <v>338</v>
      </c>
      <c r="B8" s="94"/>
    </row>
    <row r="9" spans="1:2" x14ac:dyDescent="0.25">
      <c r="A9" t="s">
        <v>339</v>
      </c>
    </row>
    <row r="11" spans="1:2" ht="15.75" x14ac:dyDescent="0.25">
      <c r="A11" s="95" t="s">
        <v>335</v>
      </c>
      <c r="B11" s="95"/>
    </row>
    <row r="12" spans="1:2" ht="30" x14ac:dyDescent="0.25">
      <c r="A12" s="75" t="s">
        <v>322</v>
      </c>
      <c r="B12" s="79" t="s">
        <v>336</v>
      </c>
    </row>
    <row r="13" spans="1:2" ht="30" x14ac:dyDescent="0.25">
      <c r="A13" s="75" t="s">
        <v>323</v>
      </c>
      <c r="B13" s="79" t="s">
        <v>324</v>
      </c>
    </row>
    <row r="14" spans="1:2" ht="30" x14ac:dyDescent="0.25">
      <c r="A14" s="79" t="s">
        <v>342</v>
      </c>
      <c r="B14" s="75" t="s">
        <v>325</v>
      </c>
    </row>
    <row r="15" spans="1:2" x14ac:dyDescent="0.25">
      <c r="A15" s="75" t="s">
        <v>326</v>
      </c>
      <c r="B15" s="75" t="s">
        <v>327</v>
      </c>
    </row>
    <row r="16" spans="1:2" x14ac:dyDescent="0.25">
      <c r="A16" s="75"/>
      <c r="B16" s="75"/>
    </row>
    <row r="17" spans="1:2" x14ac:dyDescent="0.25">
      <c r="A17" s="75" t="s">
        <v>328</v>
      </c>
      <c r="B17" s="75" t="s">
        <v>329</v>
      </c>
    </row>
    <row r="18" spans="1:2" ht="30" x14ac:dyDescent="0.25">
      <c r="A18" s="79" t="s">
        <v>330</v>
      </c>
      <c r="B18" s="79" t="s">
        <v>331</v>
      </c>
    </row>
    <row r="19" spans="1:2" ht="30" x14ac:dyDescent="0.25">
      <c r="A19" s="79" t="s">
        <v>332</v>
      </c>
      <c r="B19" s="75" t="s">
        <v>333</v>
      </c>
    </row>
    <row r="20" spans="1:2" x14ac:dyDescent="0.25">
      <c r="A20" s="75"/>
      <c r="B20" s="75"/>
    </row>
    <row r="21" spans="1:2" ht="45" x14ac:dyDescent="0.25">
      <c r="A21" s="75" t="s">
        <v>334</v>
      </c>
      <c r="B21" s="79" t="s">
        <v>337</v>
      </c>
    </row>
    <row r="23" spans="1:2" ht="36" customHeight="1" x14ac:dyDescent="0.25">
      <c r="A23" s="93" t="s">
        <v>348</v>
      </c>
      <c r="B23" s="93"/>
    </row>
    <row r="25" spans="1:2" ht="15.75" x14ac:dyDescent="0.25">
      <c r="A25" s="94" t="s">
        <v>340</v>
      </c>
      <c r="B25" s="94"/>
    </row>
    <row r="26" spans="1:2" x14ac:dyDescent="0.25">
      <c r="A26" t="s">
        <v>341</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290</v>
      </c>
    </row>
    <row r="2" spans="1:70" x14ac:dyDescent="0.25">
      <c r="A2" s="2" t="s">
        <v>0</v>
      </c>
    </row>
    <row r="3" spans="1:70" x14ac:dyDescent="0.25">
      <c r="A3" t="s">
        <v>214</v>
      </c>
    </row>
    <row r="4" spans="1:70" x14ac:dyDescent="0.25">
      <c r="B4" s="2" t="s">
        <v>1</v>
      </c>
    </row>
    <row r="5" spans="1:70" ht="60.75" customHeight="1" x14ac:dyDescent="0.25">
      <c r="B5" s="97" t="s">
        <v>301</v>
      </c>
      <c r="C5" s="98"/>
      <c r="D5" s="98"/>
      <c r="E5" s="98"/>
      <c r="F5" s="98"/>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98"/>
      <c r="BI5" s="98"/>
      <c r="BJ5" s="98"/>
      <c r="BK5" s="98"/>
      <c r="BL5" s="98"/>
      <c r="BM5" s="98"/>
      <c r="BN5" s="98"/>
      <c r="BO5" s="98"/>
      <c r="BP5" s="98"/>
      <c r="BQ5" s="98"/>
      <c r="BR5" s="98"/>
    </row>
    <row r="6" spans="1:70" x14ac:dyDescent="0.25">
      <c r="C6" s="2" t="s">
        <v>3</v>
      </c>
    </row>
    <row r="7" spans="1:70" ht="45" customHeight="1" x14ac:dyDescent="0.25">
      <c r="C7" s="97" t="s">
        <v>285</v>
      </c>
      <c r="D7" s="98"/>
      <c r="E7" s="98"/>
      <c r="F7" s="98"/>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c r="BD7" s="98"/>
      <c r="BE7" s="98"/>
      <c r="BF7" s="98"/>
      <c r="BG7" s="98"/>
      <c r="BH7" s="98"/>
      <c r="BI7" s="98"/>
      <c r="BJ7" s="98"/>
      <c r="BK7" s="98"/>
      <c r="BL7" s="98"/>
      <c r="BM7" s="98"/>
      <c r="BN7" s="98"/>
      <c r="BO7" s="98"/>
      <c r="BP7" s="98"/>
      <c r="BQ7" s="98"/>
      <c r="BR7" s="98"/>
    </row>
    <row r="8" spans="1:70" x14ac:dyDescent="0.25">
      <c r="C8" s="2" t="s">
        <v>4</v>
      </c>
    </row>
    <row r="9" spans="1:70" ht="75" customHeight="1" x14ac:dyDescent="0.25">
      <c r="C9" s="97" t="s">
        <v>278</v>
      </c>
      <c r="D9" s="98"/>
      <c r="E9" s="98"/>
      <c r="F9" s="98"/>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98"/>
      <c r="BI9" s="98"/>
      <c r="BJ9" s="98"/>
      <c r="BK9" s="98"/>
      <c r="BL9" s="98"/>
      <c r="BM9" s="98"/>
      <c r="BN9" s="98"/>
      <c r="BO9" s="98"/>
      <c r="BP9" s="98"/>
      <c r="BQ9" s="98"/>
      <c r="BR9" s="98"/>
    </row>
    <row r="10" spans="1:70" x14ac:dyDescent="0.25">
      <c r="C10" s="2" t="s">
        <v>5</v>
      </c>
    </row>
    <row r="11" spans="1:70" ht="75" customHeight="1" x14ac:dyDescent="0.25">
      <c r="C11" s="97" t="s">
        <v>302</v>
      </c>
      <c r="D11" s="98"/>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c r="BD11" s="98"/>
      <c r="BE11" s="98"/>
      <c r="BF11" s="98"/>
      <c r="BG11" s="98"/>
      <c r="BH11" s="98"/>
      <c r="BI11" s="98"/>
      <c r="BJ11" s="98"/>
      <c r="BK11" s="98"/>
      <c r="BL11" s="98"/>
      <c r="BM11" s="98"/>
      <c r="BN11" s="98"/>
      <c r="BO11" s="98"/>
      <c r="BP11" s="98"/>
      <c r="BQ11" s="98"/>
      <c r="BR11" s="98"/>
    </row>
    <row r="12" spans="1:70" x14ac:dyDescent="0.25">
      <c r="C12" s="2" t="s">
        <v>6</v>
      </c>
    </row>
    <row r="13" spans="1:70" ht="90.75" customHeight="1" x14ac:dyDescent="0.25">
      <c r="C13" s="97" t="s">
        <v>289</v>
      </c>
      <c r="D13" s="98"/>
      <c r="E13" s="98"/>
      <c r="F13" s="98"/>
      <c r="G13" s="98"/>
      <c r="H13" s="98"/>
      <c r="I13" s="98"/>
      <c r="J13" s="98"/>
      <c r="K13" s="98"/>
      <c r="L13" s="98"/>
      <c r="M13" s="98"/>
      <c r="N13" s="98"/>
      <c r="O13" s="98"/>
      <c r="P13" s="98"/>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c r="BD13" s="98"/>
      <c r="BE13" s="98"/>
      <c r="BF13" s="98"/>
      <c r="BG13" s="98"/>
      <c r="BH13" s="98"/>
      <c r="BI13" s="98"/>
      <c r="BJ13" s="98"/>
      <c r="BK13" s="98"/>
      <c r="BL13" s="98"/>
      <c r="BM13" s="98"/>
      <c r="BN13" s="98"/>
      <c r="BO13" s="98"/>
      <c r="BP13" s="98"/>
      <c r="BQ13" s="98"/>
      <c r="BR13" s="98"/>
    </row>
    <row r="14" spans="1:70" x14ac:dyDescent="0.25">
      <c r="D14" s="2" t="s">
        <v>288</v>
      </c>
    </row>
    <row r="15" spans="1:70" ht="62.25" customHeight="1" x14ac:dyDescent="0.25">
      <c r="D15" s="97" t="s">
        <v>291</v>
      </c>
      <c r="E15" s="97"/>
      <c r="F15" s="97"/>
      <c r="G15" s="97"/>
      <c r="H15" s="97"/>
      <c r="I15" s="97"/>
      <c r="J15" s="97"/>
      <c r="K15" s="97"/>
      <c r="L15" s="97"/>
      <c r="M15" s="97"/>
      <c r="N15" s="97"/>
      <c r="O15" s="97"/>
      <c r="P15" s="97"/>
      <c r="Q15" s="97"/>
      <c r="R15" s="97"/>
      <c r="S15" s="97"/>
      <c r="T15" s="97"/>
      <c r="U15" s="97"/>
      <c r="V15" s="97"/>
      <c r="W15" s="97"/>
      <c r="X15" s="97"/>
      <c r="Y15" s="97"/>
      <c r="Z15" s="97"/>
      <c r="AA15" s="97"/>
      <c r="AB15" s="97"/>
      <c r="AC15" s="97"/>
      <c r="AD15" s="97"/>
      <c r="AE15" s="97"/>
      <c r="AF15" s="97"/>
      <c r="AG15" s="97"/>
      <c r="AH15" s="97"/>
      <c r="AI15" s="97"/>
      <c r="AJ15" s="97"/>
      <c r="AK15" s="97"/>
      <c r="AL15" s="97"/>
      <c r="AM15" s="97"/>
      <c r="AN15" s="97"/>
      <c r="AO15" s="97"/>
      <c r="AP15" s="97"/>
      <c r="AQ15" s="97"/>
      <c r="AR15" s="97"/>
      <c r="AS15" s="97"/>
      <c r="AT15" s="97"/>
      <c r="AU15" s="97"/>
      <c r="AV15" s="97"/>
      <c r="AW15" s="97"/>
      <c r="AX15" s="97"/>
      <c r="AY15" s="97"/>
      <c r="AZ15" s="97"/>
      <c r="BA15" s="97"/>
      <c r="BB15" s="97"/>
      <c r="BC15" s="97"/>
      <c r="BD15" s="97"/>
      <c r="BE15" s="97"/>
      <c r="BF15" s="97"/>
      <c r="BG15" s="97"/>
      <c r="BH15" s="97"/>
      <c r="BI15" s="97"/>
      <c r="BJ15" s="97"/>
      <c r="BK15" s="97"/>
      <c r="BL15" s="97"/>
      <c r="BM15" s="97"/>
      <c r="BN15" s="97"/>
      <c r="BO15" s="97"/>
      <c r="BP15" s="97"/>
      <c r="BQ15" s="97"/>
      <c r="BR15" s="97"/>
    </row>
    <row r="16" spans="1:70" x14ac:dyDescent="0.25">
      <c r="D16" s="2" t="s">
        <v>198</v>
      </c>
    </row>
    <row r="17" spans="1:70" ht="47.25" customHeight="1" x14ac:dyDescent="0.25">
      <c r="D17" s="97" t="s">
        <v>271</v>
      </c>
      <c r="E17" s="97"/>
      <c r="F17" s="97"/>
      <c r="G17" s="97"/>
      <c r="H17" s="97"/>
      <c r="I17" s="97"/>
      <c r="J17" s="97"/>
      <c r="K17" s="97"/>
      <c r="L17" s="97"/>
      <c r="M17" s="97"/>
      <c r="N17" s="97"/>
      <c r="O17" s="97"/>
      <c r="P17" s="97"/>
      <c r="Q17" s="97"/>
      <c r="R17" s="97"/>
      <c r="S17" s="97"/>
      <c r="T17" s="97"/>
      <c r="U17" s="97"/>
      <c r="V17" s="97"/>
      <c r="W17" s="97"/>
      <c r="X17" s="97"/>
      <c r="Y17" s="97"/>
      <c r="Z17" s="97"/>
      <c r="AA17" s="97"/>
      <c r="AB17" s="97"/>
      <c r="AC17" s="97"/>
      <c r="AD17" s="97"/>
      <c r="AE17" s="97"/>
      <c r="AF17" s="97"/>
      <c r="AG17" s="97"/>
      <c r="AH17" s="97"/>
      <c r="AI17" s="97"/>
      <c r="AJ17" s="97"/>
      <c r="AK17" s="97"/>
      <c r="AL17" s="97"/>
      <c r="AM17" s="97"/>
      <c r="AN17" s="97"/>
      <c r="AO17" s="97"/>
      <c r="AP17" s="97"/>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row>
    <row r="18" spans="1:70" ht="15.75" customHeight="1" x14ac:dyDescent="0.25">
      <c r="D18" s="99" t="s">
        <v>270</v>
      </c>
      <c r="E18" s="99"/>
      <c r="F18" s="99"/>
      <c r="G18" s="99"/>
      <c r="H18" s="99"/>
      <c r="I18" s="99"/>
      <c r="J18" s="99"/>
      <c r="K18" s="99"/>
      <c r="L18" s="99"/>
      <c r="M18" s="99"/>
      <c r="N18" s="99"/>
      <c r="O18" s="99"/>
      <c r="P18" s="99"/>
      <c r="Q18" s="99"/>
      <c r="R18" s="99"/>
      <c r="S18" s="99"/>
      <c r="T18" s="99"/>
      <c r="U18" s="99"/>
      <c r="V18" s="99"/>
      <c r="W18" s="99"/>
      <c r="X18" s="99"/>
      <c r="Y18" s="99"/>
      <c r="Z18" s="99"/>
      <c r="AA18" s="99"/>
      <c r="AB18" s="99"/>
      <c r="AC18" s="99"/>
      <c r="AD18" s="99"/>
      <c r="AE18" s="99"/>
      <c r="AF18" s="99"/>
      <c r="AG18" s="99"/>
      <c r="AH18" s="99"/>
      <c r="AI18" s="99"/>
      <c r="AJ18" s="99"/>
      <c r="AK18" s="99"/>
      <c r="AL18" s="99"/>
      <c r="AM18" s="99"/>
      <c r="AN18" s="99"/>
      <c r="AO18" s="99"/>
      <c r="AP18" s="99"/>
      <c r="AQ18" s="99"/>
      <c r="AR18" s="99"/>
      <c r="AS18" s="99"/>
      <c r="AT18" s="99"/>
      <c r="AU18" s="99"/>
      <c r="AV18" s="99"/>
      <c r="AW18" s="99"/>
      <c r="AX18" s="99"/>
      <c r="AY18" s="99"/>
      <c r="AZ18" s="99"/>
      <c r="BA18" s="99"/>
      <c r="BB18" s="99"/>
      <c r="BC18" s="99"/>
      <c r="BD18" s="99"/>
      <c r="BE18" s="99"/>
      <c r="BF18" s="99"/>
      <c r="BG18" s="99"/>
      <c r="BH18" s="99"/>
      <c r="BI18" s="99"/>
      <c r="BJ18" s="99"/>
      <c r="BK18" s="99"/>
      <c r="BL18" s="99"/>
      <c r="BM18" s="99"/>
      <c r="BN18" s="99"/>
      <c r="BO18" s="99"/>
      <c r="BP18" s="99"/>
      <c r="BQ18" s="99"/>
      <c r="BR18" s="99"/>
    </row>
    <row r="19" spans="1:70" ht="45.75" customHeight="1" x14ac:dyDescent="0.25">
      <c r="D19" s="97" t="s">
        <v>279</v>
      </c>
      <c r="E19" s="97"/>
      <c r="F19" s="97"/>
      <c r="G19" s="97"/>
      <c r="H19" s="97"/>
      <c r="I19" s="97"/>
      <c r="J19" s="97"/>
      <c r="K19" s="97"/>
      <c r="L19" s="97"/>
      <c r="M19" s="97"/>
      <c r="N19" s="97"/>
      <c r="O19" s="97"/>
      <c r="P19" s="97"/>
      <c r="Q19" s="97"/>
      <c r="R19" s="97"/>
      <c r="S19" s="97"/>
      <c r="T19" s="97"/>
      <c r="U19" s="97"/>
      <c r="V19" s="97"/>
      <c r="W19" s="97"/>
      <c r="X19" s="97"/>
      <c r="Y19" s="97"/>
      <c r="Z19" s="97"/>
      <c r="AA19" s="97"/>
      <c r="AB19" s="97"/>
      <c r="AC19" s="97"/>
      <c r="AD19" s="97"/>
      <c r="AE19" s="97"/>
      <c r="AF19" s="97"/>
      <c r="AG19" s="97"/>
      <c r="AH19" s="97"/>
      <c r="AI19" s="97"/>
      <c r="AJ19" s="97"/>
      <c r="AK19" s="97"/>
      <c r="AL19" s="97"/>
      <c r="AM19" s="97"/>
      <c r="AN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row>
    <row r="20" spans="1:70" ht="15.75" customHeight="1" x14ac:dyDescent="0.25">
      <c r="D20" s="99" t="s">
        <v>287</v>
      </c>
      <c r="E20" s="99"/>
      <c r="F20" s="99"/>
      <c r="G20" s="99"/>
      <c r="H20" s="99"/>
      <c r="I20" s="99"/>
      <c r="J20" s="99"/>
      <c r="K20" s="99"/>
      <c r="L20" s="99"/>
      <c r="M20" s="99"/>
      <c r="N20" s="99"/>
      <c r="O20" s="99"/>
      <c r="P20" s="99"/>
      <c r="Q20" s="99"/>
      <c r="R20" s="99"/>
      <c r="S20" s="99"/>
      <c r="T20" s="99"/>
      <c r="U20" s="99"/>
      <c r="V20" s="99"/>
      <c r="W20" s="99"/>
      <c r="X20" s="99"/>
      <c r="Y20" s="99"/>
      <c r="Z20" s="99"/>
      <c r="AA20" s="99"/>
      <c r="AB20" s="99"/>
      <c r="AC20" s="99"/>
      <c r="AD20" s="99"/>
      <c r="AE20" s="99"/>
      <c r="AF20" s="99"/>
      <c r="AG20" s="99"/>
      <c r="AH20" s="99"/>
      <c r="AI20" s="99"/>
      <c r="AJ20" s="99"/>
      <c r="AK20" s="99"/>
      <c r="AL20" s="99"/>
      <c r="AM20" s="99"/>
      <c r="AN20" s="99"/>
      <c r="AO20" s="99"/>
      <c r="AP20" s="99"/>
      <c r="AQ20" s="99"/>
      <c r="AR20" s="99"/>
      <c r="AS20" s="99"/>
      <c r="AT20" s="99"/>
      <c r="AU20" s="99"/>
      <c r="AV20" s="99"/>
      <c r="AW20" s="99"/>
      <c r="AX20" s="99"/>
      <c r="AY20" s="99"/>
      <c r="AZ20" s="99"/>
      <c r="BA20" s="99"/>
      <c r="BB20" s="99"/>
      <c r="BC20" s="99"/>
      <c r="BD20" s="99"/>
      <c r="BE20" s="99"/>
      <c r="BF20" s="99"/>
      <c r="BG20" s="99"/>
      <c r="BH20" s="99"/>
      <c r="BI20" s="99"/>
      <c r="BJ20" s="99"/>
      <c r="BK20" s="99"/>
      <c r="BL20" s="99"/>
      <c r="BM20" s="99"/>
      <c r="BN20" s="99"/>
      <c r="BO20" s="99"/>
      <c r="BP20" s="99"/>
      <c r="BQ20" s="99"/>
      <c r="BR20" s="99"/>
    </row>
    <row r="21" spans="1:70" ht="44.25" customHeight="1" x14ac:dyDescent="0.25">
      <c r="D21" s="97" t="s">
        <v>280</v>
      </c>
      <c r="E21" s="97"/>
      <c r="F21" s="97"/>
      <c r="G21" s="97"/>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c r="AH21" s="97"/>
      <c r="AI21" s="97"/>
      <c r="AJ21" s="97"/>
      <c r="AK21" s="97"/>
      <c r="AL21" s="97"/>
      <c r="AM21" s="97"/>
      <c r="AN21" s="97"/>
      <c r="AO21" s="97"/>
      <c r="AP21" s="97"/>
      <c r="AQ21" s="97"/>
      <c r="AR21" s="97"/>
      <c r="AS21" s="97"/>
      <c r="AT21" s="97"/>
      <c r="AU21" s="97"/>
      <c r="AV21" s="97"/>
      <c r="AW21" s="97"/>
      <c r="AX21" s="97"/>
      <c r="AY21" s="97"/>
      <c r="AZ21" s="97"/>
      <c r="BA21" s="97"/>
      <c r="BB21" s="97"/>
      <c r="BC21" s="97"/>
      <c r="BD21" s="97"/>
      <c r="BE21" s="97"/>
      <c r="BF21" s="97"/>
      <c r="BG21" s="97"/>
      <c r="BH21" s="97"/>
      <c r="BI21" s="97"/>
      <c r="BJ21" s="97"/>
      <c r="BK21" s="97"/>
      <c r="BL21" s="97"/>
      <c r="BM21" s="97"/>
      <c r="BN21" s="97"/>
      <c r="BO21" s="97"/>
      <c r="BP21" s="97"/>
      <c r="BQ21" s="97"/>
      <c r="BR21" s="97"/>
    </row>
    <row r="22" spans="1:70" x14ac:dyDescent="0.25">
      <c r="B22" s="2" t="s">
        <v>194</v>
      </c>
      <c r="C22" s="2"/>
    </row>
    <row r="23" spans="1:70" ht="69.75" customHeight="1" x14ac:dyDescent="0.25">
      <c r="B23" s="97" t="s">
        <v>272</v>
      </c>
      <c r="C23" s="97"/>
      <c r="D23" s="97"/>
      <c r="E23" s="97"/>
      <c r="F23" s="97"/>
      <c r="G23" s="97"/>
      <c r="H23" s="97"/>
      <c r="I23" s="97"/>
      <c r="J23" s="97"/>
      <c r="K23" s="97"/>
      <c r="L23" s="97"/>
      <c r="M23" s="97"/>
      <c r="N23" s="97"/>
      <c r="O23" s="97"/>
      <c r="P23" s="97"/>
      <c r="Q23" s="97"/>
      <c r="R23" s="97"/>
      <c r="S23" s="97"/>
      <c r="T23" s="97"/>
      <c r="U23" s="97"/>
      <c r="V23" s="97"/>
      <c r="W23" s="97"/>
      <c r="X23" s="97"/>
      <c r="Y23" s="97"/>
      <c r="Z23" s="97"/>
      <c r="AA23" s="97"/>
      <c r="AB23" s="97"/>
      <c r="AC23" s="97"/>
      <c r="AD23" s="97"/>
      <c r="AE23" s="97"/>
      <c r="AF23" s="97"/>
      <c r="AG23" s="97"/>
      <c r="AH23" s="97"/>
      <c r="AI23" s="97"/>
      <c r="AJ23" s="97"/>
      <c r="AK23" s="97"/>
      <c r="AL23" s="97"/>
      <c r="AM23" s="97"/>
      <c r="AN23" s="97"/>
      <c r="AO23" s="97"/>
      <c r="AP23" s="97"/>
      <c r="AQ23" s="97"/>
      <c r="AR23" s="97"/>
      <c r="AS23" s="97"/>
      <c r="AT23" s="97"/>
      <c r="AU23" s="97"/>
      <c r="AV23" s="97"/>
      <c r="AW23" s="97"/>
      <c r="AX23" s="97"/>
      <c r="AY23" s="97"/>
      <c r="AZ23" s="97"/>
      <c r="BA23" s="97"/>
      <c r="BB23" s="97"/>
      <c r="BC23" s="97"/>
      <c r="BD23" s="97"/>
      <c r="BE23" s="97"/>
      <c r="BF23" s="97"/>
      <c r="BG23" s="97"/>
      <c r="BH23" s="97"/>
      <c r="BI23" s="97"/>
      <c r="BJ23" s="97"/>
      <c r="BK23" s="97"/>
      <c r="BL23" s="97"/>
      <c r="BM23" s="97"/>
      <c r="BN23" s="97"/>
      <c r="BO23" s="97"/>
      <c r="BP23" s="97"/>
      <c r="BQ23" s="97"/>
      <c r="BR23" s="97"/>
    </row>
    <row r="24" spans="1:70" x14ac:dyDescent="0.25">
      <c r="C24" s="2" t="s">
        <v>195</v>
      </c>
    </row>
    <row r="25" spans="1:70" ht="204.75" customHeight="1" x14ac:dyDescent="0.25">
      <c r="C25" s="100" t="s">
        <v>213</v>
      </c>
      <c r="D25" s="100"/>
      <c r="E25" s="100"/>
      <c r="F25" s="100"/>
      <c r="G25" s="100"/>
      <c r="H25" s="100"/>
      <c r="I25" s="100"/>
      <c r="J25" s="100"/>
      <c r="K25" s="100"/>
      <c r="L25" s="100"/>
      <c r="M25" s="100"/>
      <c r="N25" s="100"/>
      <c r="O25" s="100"/>
      <c r="P25" s="100"/>
      <c r="Q25" s="100"/>
      <c r="R25" s="100"/>
      <c r="S25" s="100"/>
      <c r="T25" s="100"/>
      <c r="U25" s="100"/>
      <c r="V25" s="100"/>
      <c r="W25" s="100"/>
      <c r="X25" s="100"/>
      <c r="Y25" s="100"/>
      <c r="Z25" s="100"/>
      <c r="AA25" s="100"/>
      <c r="AB25" s="100"/>
      <c r="AC25" s="100"/>
      <c r="AD25" s="100"/>
      <c r="AE25" s="100"/>
      <c r="AF25" s="100"/>
      <c r="AG25" s="100"/>
      <c r="AH25" s="100"/>
      <c r="AI25" s="100"/>
      <c r="AJ25" s="100"/>
      <c r="AK25" s="100"/>
      <c r="AL25" s="100"/>
      <c r="AM25" s="100"/>
      <c r="AN25" s="100"/>
      <c r="AO25" s="100"/>
      <c r="AP25" s="100"/>
      <c r="AQ25" s="100"/>
      <c r="AR25" s="100"/>
      <c r="AS25" s="100"/>
      <c r="AT25" s="100"/>
      <c r="AU25" s="100"/>
      <c r="AV25" s="100"/>
      <c r="AW25" s="100"/>
      <c r="AX25" s="100"/>
      <c r="AY25" s="100"/>
      <c r="AZ25" s="100"/>
      <c r="BA25" s="100"/>
      <c r="BB25" s="100"/>
      <c r="BC25" s="100"/>
      <c r="BD25" s="100"/>
      <c r="BE25" s="100"/>
      <c r="BF25" s="100"/>
      <c r="BG25" s="100"/>
      <c r="BH25" s="100"/>
      <c r="BI25" s="100"/>
      <c r="BJ25" s="100"/>
      <c r="BK25" s="100"/>
      <c r="BL25" s="100"/>
      <c r="BM25" s="100"/>
      <c r="BN25" s="100"/>
      <c r="BO25" s="100"/>
      <c r="BP25" s="100"/>
      <c r="BQ25" s="100"/>
      <c r="BR25" s="100"/>
    </row>
    <row r="26" spans="1:70" x14ac:dyDescent="0.25">
      <c r="C26" s="2" t="s">
        <v>196</v>
      </c>
    </row>
    <row r="27" spans="1:70" ht="244.5" customHeight="1" x14ac:dyDescent="0.25">
      <c r="A27" s="1"/>
      <c r="C27" s="100" t="s">
        <v>197</v>
      </c>
      <c r="D27" s="100"/>
      <c r="E27" s="100"/>
      <c r="F27" s="100"/>
      <c r="G27" s="100"/>
      <c r="H27" s="100"/>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100"/>
      <c r="AG27" s="100"/>
      <c r="AH27" s="100"/>
      <c r="AI27" s="100"/>
      <c r="AJ27" s="100"/>
      <c r="AK27" s="100"/>
      <c r="AL27" s="100"/>
      <c r="AM27" s="100"/>
      <c r="AN27" s="100"/>
      <c r="AO27" s="100"/>
      <c r="AP27" s="100"/>
      <c r="AQ27" s="100"/>
      <c r="AR27" s="100"/>
      <c r="AS27" s="100"/>
      <c r="AT27" s="100"/>
      <c r="AU27" s="100"/>
      <c r="AV27" s="100"/>
      <c r="AW27" s="100"/>
      <c r="AX27" s="100"/>
      <c r="AY27" s="100"/>
      <c r="AZ27" s="100"/>
      <c r="BA27" s="100"/>
      <c r="BB27" s="100"/>
      <c r="BC27" s="100"/>
      <c r="BD27" s="100"/>
      <c r="BE27" s="100"/>
      <c r="BF27" s="100"/>
      <c r="BG27" s="100"/>
      <c r="BH27" s="100"/>
      <c r="BI27" s="100"/>
      <c r="BJ27" s="100"/>
      <c r="BK27" s="100"/>
      <c r="BL27" s="100"/>
      <c r="BM27" s="100"/>
      <c r="BN27" s="100"/>
      <c r="BO27" s="100"/>
      <c r="BP27" s="100"/>
      <c r="BQ27" s="100"/>
      <c r="BR27" s="100"/>
    </row>
    <row r="28" spans="1:70" x14ac:dyDescent="0.25">
      <c r="B28" s="2" t="s">
        <v>273</v>
      </c>
      <c r="C28" s="44"/>
    </row>
    <row r="29" spans="1:70" ht="75" customHeight="1" x14ac:dyDescent="0.25">
      <c r="A29" s="1"/>
      <c r="B29" s="97" t="s">
        <v>284</v>
      </c>
      <c r="C29" s="97"/>
      <c r="D29" s="97"/>
      <c r="E29" s="97"/>
      <c r="F29" s="97"/>
      <c r="G29" s="97"/>
      <c r="H29" s="97"/>
      <c r="I29" s="97"/>
      <c r="J29" s="97"/>
      <c r="K29" s="97"/>
      <c r="L29" s="97"/>
      <c r="M29" s="97"/>
      <c r="N29" s="97"/>
      <c r="O29" s="97"/>
      <c r="P29" s="97"/>
      <c r="Q29" s="97"/>
      <c r="R29" s="97"/>
      <c r="S29" s="97"/>
      <c r="T29" s="97"/>
      <c r="U29" s="97"/>
      <c r="V29" s="97"/>
      <c r="W29" s="97"/>
      <c r="X29" s="97"/>
      <c r="Y29" s="97"/>
      <c r="Z29" s="97"/>
      <c r="AA29" s="97"/>
      <c r="AB29" s="97"/>
      <c r="AC29" s="97"/>
      <c r="AD29" s="97"/>
      <c r="AE29" s="97"/>
      <c r="AF29" s="97"/>
      <c r="AG29" s="97"/>
      <c r="AH29" s="97"/>
      <c r="AI29" s="97"/>
      <c r="AJ29" s="97"/>
      <c r="AK29" s="97"/>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row>
    <row r="30" spans="1:70" x14ac:dyDescent="0.25">
      <c r="C30" s="2" t="s">
        <v>277</v>
      </c>
    </row>
    <row r="31" spans="1:70" ht="46.5" customHeight="1" x14ac:dyDescent="0.25">
      <c r="A31" s="1"/>
      <c r="C31" s="100" t="s">
        <v>283</v>
      </c>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c r="AB31" s="100"/>
      <c r="AC31" s="100"/>
      <c r="AD31" s="100"/>
      <c r="AE31" s="100"/>
      <c r="AF31" s="100"/>
      <c r="AG31" s="100"/>
      <c r="AH31" s="100"/>
      <c r="AI31" s="100"/>
      <c r="AJ31" s="100"/>
      <c r="AK31" s="100"/>
      <c r="AL31" s="100"/>
      <c r="AM31" s="100"/>
      <c r="AN31" s="100"/>
      <c r="AO31" s="100"/>
      <c r="AP31" s="100"/>
      <c r="AQ31" s="100"/>
      <c r="AR31" s="100"/>
      <c r="AS31" s="100"/>
      <c r="AT31" s="100"/>
      <c r="AU31" s="100"/>
      <c r="AV31" s="100"/>
      <c r="AW31" s="100"/>
      <c r="AX31" s="100"/>
      <c r="AY31" s="100"/>
      <c r="AZ31" s="100"/>
      <c r="BA31" s="100"/>
      <c r="BB31" s="100"/>
      <c r="BC31" s="100"/>
      <c r="BD31" s="100"/>
      <c r="BE31" s="100"/>
      <c r="BF31" s="100"/>
      <c r="BG31" s="100"/>
      <c r="BH31" s="100"/>
      <c r="BI31" s="100"/>
      <c r="BJ31" s="100"/>
      <c r="BK31" s="100"/>
      <c r="BL31" s="100"/>
      <c r="BM31" s="100"/>
      <c r="BN31" s="100"/>
      <c r="BO31" s="100"/>
      <c r="BP31" s="100"/>
      <c r="BQ31" s="100"/>
      <c r="BR31" s="100"/>
    </row>
    <row r="32" spans="1:70" ht="15.75" customHeight="1" x14ac:dyDescent="0.25">
      <c r="C32" s="99" t="s">
        <v>274</v>
      </c>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99"/>
      <c r="AL32" s="99"/>
      <c r="AM32" s="99"/>
      <c r="AN32" s="99"/>
      <c r="AO32" s="99"/>
      <c r="AP32" s="99"/>
      <c r="AQ32" s="99"/>
      <c r="AR32" s="99"/>
      <c r="AS32" s="99"/>
      <c r="AT32" s="99"/>
      <c r="AU32" s="99"/>
      <c r="AV32" s="99"/>
      <c r="AW32" s="99"/>
      <c r="AX32" s="99"/>
      <c r="AY32" s="99"/>
      <c r="AZ32" s="99"/>
      <c r="BA32" s="99"/>
      <c r="BB32" s="99"/>
      <c r="BC32" s="99"/>
      <c r="BD32" s="99"/>
      <c r="BE32" s="99"/>
      <c r="BF32" s="99"/>
      <c r="BG32" s="99"/>
      <c r="BH32" s="99"/>
      <c r="BI32" s="99"/>
      <c r="BJ32" s="99"/>
      <c r="BK32" s="99"/>
      <c r="BL32" s="99"/>
      <c r="BM32" s="99"/>
      <c r="BN32" s="99"/>
      <c r="BO32" s="99"/>
      <c r="BP32" s="99"/>
      <c r="BQ32" s="99"/>
      <c r="BR32" s="99"/>
    </row>
    <row r="33" spans="1:70" ht="120" customHeight="1" x14ac:dyDescent="0.25">
      <c r="A33" s="44"/>
      <c r="C33" s="97" t="s">
        <v>276</v>
      </c>
      <c r="D33" s="97"/>
      <c r="E33" s="97"/>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c r="AG33" s="97"/>
      <c r="AH33" s="97"/>
      <c r="AI33" s="97"/>
      <c r="AJ33" s="97"/>
      <c r="AK33" s="97"/>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row>
    <row r="34" spans="1:70" ht="15.75" customHeight="1" x14ac:dyDescent="0.25">
      <c r="C34" s="99" t="s">
        <v>275</v>
      </c>
      <c r="D34" s="99"/>
      <c r="E34" s="99"/>
      <c r="F34" s="99"/>
      <c r="G34" s="99"/>
      <c r="H34" s="99"/>
      <c r="I34" s="99"/>
      <c r="J34" s="99"/>
      <c r="K34" s="99"/>
      <c r="L34" s="99"/>
      <c r="M34" s="99"/>
      <c r="N34" s="99"/>
      <c r="O34" s="99"/>
      <c r="P34" s="99"/>
      <c r="Q34" s="99"/>
      <c r="R34" s="99"/>
      <c r="S34" s="99"/>
      <c r="T34" s="99"/>
      <c r="U34" s="99"/>
      <c r="V34" s="99"/>
      <c r="W34" s="99"/>
      <c r="X34" s="99"/>
      <c r="Y34" s="99"/>
      <c r="Z34" s="99"/>
      <c r="AA34" s="99"/>
      <c r="AB34" s="99"/>
      <c r="AC34" s="99"/>
      <c r="AD34" s="99"/>
      <c r="AE34" s="99"/>
      <c r="AF34" s="99"/>
      <c r="AG34" s="99"/>
      <c r="AH34" s="99"/>
      <c r="AI34" s="99"/>
      <c r="AJ34" s="99"/>
      <c r="AK34" s="99"/>
      <c r="AL34" s="99"/>
      <c r="AM34" s="99"/>
      <c r="AN34" s="99"/>
      <c r="AO34" s="99"/>
      <c r="AP34" s="99"/>
      <c r="AQ34" s="99"/>
      <c r="AR34" s="99"/>
      <c r="AS34" s="99"/>
      <c r="AT34" s="99"/>
      <c r="AU34" s="99"/>
      <c r="AV34" s="99"/>
      <c r="AW34" s="99"/>
      <c r="AX34" s="99"/>
      <c r="AY34" s="99"/>
      <c r="AZ34" s="99"/>
      <c r="BA34" s="99"/>
      <c r="BB34" s="99"/>
      <c r="BC34" s="99"/>
      <c r="BD34" s="99"/>
      <c r="BE34" s="99"/>
      <c r="BF34" s="99"/>
      <c r="BG34" s="99"/>
      <c r="BH34" s="99"/>
      <c r="BI34" s="99"/>
      <c r="BJ34" s="99"/>
      <c r="BK34" s="99"/>
      <c r="BL34" s="99"/>
      <c r="BM34" s="99"/>
      <c r="BN34" s="99"/>
      <c r="BO34" s="99"/>
      <c r="BP34" s="99"/>
      <c r="BQ34" s="99"/>
      <c r="BR34" s="99"/>
    </row>
    <row r="35" spans="1:70" ht="47.25" customHeight="1" x14ac:dyDescent="0.25">
      <c r="C35" s="100" t="s">
        <v>282</v>
      </c>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c r="AB35" s="100"/>
      <c r="AC35" s="100"/>
      <c r="AD35" s="100"/>
      <c r="AE35" s="100"/>
      <c r="AF35" s="100"/>
      <c r="AG35" s="100"/>
      <c r="AH35" s="100"/>
      <c r="AI35" s="100"/>
      <c r="AJ35" s="100"/>
      <c r="AK35" s="100"/>
      <c r="AL35" s="100"/>
      <c r="AM35" s="100"/>
      <c r="AN35" s="100"/>
      <c r="AO35" s="100"/>
      <c r="AP35" s="100"/>
      <c r="AQ35" s="100"/>
      <c r="AR35" s="100"/>
      <c r="AS35" s="100"/>
      <c r="AT35" s="100"/>
      <c r="AU35" s="100"/>
      <c r="AV35" s="100"/>
      <c r="AW35" s="100"/>
      <c r="AX35" s="100"/>
      <c r="AY35" s="100"/>
      <c r="AZ35" s="100"/>
      <c r="BA35" s="100"/>
      <c r="BB35" s="100"/>
      <c r="BC35" s="100"/>
      <c r="BD35" s="100"/>
      <c r="BE35" s="100"/>
      <c r="BF35" s="100"/>
      <c r="BG35" s="100"/>
      <c r="BH35" s="100"/>
      <c r="BI35" s="100"/>
      <c r="BJ35" s="100"/>
      <c r="BK35" s="100"/>
      <c r="BL35" s="100"/>
      <c r="BM35" s="100"/>
      <c r="BN35" s="100"/>
      <c r="BO35" s="100"/>
      <c r="BP35" s="100"/>
      <c r="BQ35" s="100"/>
      <c r="BR35" s="100"/>
    </row>
    <row r="36" spans="1:70" x14ac:dyDescent="0.25">
      <c r="B36" s="2" t="s">
        <v>2</v>
      </c>
    </row>
    <row r="37" spans="1:70" x14ac:dyDescent="0.25">
      <c r="B37" s="98" t="s">
        <v>12</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98"/>
      <c r="BJ37" s="98"/>
      <c r="BK37" s="98"/>
      <c r="BL37" s="98"/>
      <c r="BM37" s="98"/>
      <c r="BN37" s="98"/>
      <c r="BO37" s="98"/>
      <c r="BP37" s="98"/>
      <c r="BQ37" s="98"/>
      <c r="BR37" s="98"/>
    </row>
    <row r="38" spans="1:70" x14ac:dyDescent="0.25">
      <c r="C38" s="2" t="s">
        <v>7</v>
      </c>
    </row>
    <row r="39" spans="1:70" ht="45.75" customHeight="1" x14ac:dyDescent="0.25">
      <c r="C39" s="97" t="s">
        <v>8</v>
      </c>
      <c r="D39" s="97"/>
      <c r="E39" s="97"/>
      <c r="F39" s="97"/>
      <c r="G39" s="97"/>
      <c r="H39" s="97"/>
      <c r="I39" s="97"/>
      <c r="J39" s="97"/>
      <c r="K39" s="97"/>
      <c r="L39" s="97"/>
      <c r="M39" s="97"/>
      <c r="N39" s="97"/>
      <c r="O39" s="97"/>
      <c r="P39" s="97"/>
      <c r="Q39" s="97"/>
      <c r="R39" s="97"/>
      <c r="S39" s="97"/>
      <c r="T39" s="97"/>
      <c r="U39" s="97"/>
      <c r="V39" s="97"/>
      <c r="W39" s="97"/>
      <c r="X39" s="97"/>
      <c r="Y39" s="97"/>
      <c r="Z39" s="97"/>
      <c r="AA39" s="97"/>
      <c r="AB39" s="97"/>
      <c r="AC39" s="97"/>
      <c r="AD39" s="97"/>
      <c r="AE39" s="97"/>
      <c r="AF39" s="97"/>
      <c r="AG39" s="97"/>
      <c r="AH39" s="97"/>
      <c r="AI39" s="97"/>
      <c r="AJ39" s="97"/>
      <c r="AK39" s="97"/>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BM39" s="97"/>
      <c r="BN39" s="97"/>
      <c r="BO39" s="97"/>
      <c r="BP39" s="97"/>
      <c r="BQ39" s="97"/>
      <c r="BR39" s="97"/>
    </row>
    <row r="40" spans="1:70" x14ac:dyDescent="0.25">
      <c r="D40" s="2" t="s">
        <v>9</v>
      </c>
    </row>
    <row r="41" spans="1:70" x14ac:dyDescent="0.25">
      <c r="D41" t="s">
        <v>211</v>
      </c>
    </row>
    <row r="42" spans="1:70" x14ac:dyDescent="0.25">
      <c r="E42" s="2" t="s">
        <v>10</v>
      </c>
    </row>
    <row r="44" spans="1:70" x14ac:dyDescent="0.25">
      <c r="D44" s="2" t="s">
        <v>11</v>
      </c>
    </row>
    <row r="45" spans="1:70" x14ac:dyDescent="0.25">
      <c r="D45" t="s">
        <v>212</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290</v>
      </c>
    </row>
    <row r="2" spans="1:4" x14ac:dyDescent="0.25">
      <c r="A2" s="2" t="s">
        <v>0</v>
      </c>
    </row>
    <row r="3" spans="1:4" x14ac:dyDescent="0.25">
      <c r="A3" t="s">
        <v>214</v>
      </c>
    </row>
    <row r="4" spans="1:4" x14ac:dyDescent="0.25">
      <c r="B4" s="2" t="s">
        <v>1</v>
      </c>
    </row>
    <row r="5" spans="1:4" ht="90" x14ac:dyDescent="0.25">
      <c r="B5" s="1" t="s">
        <v>281</v>
      </c>
    </row>
    <row r="6" spans="1:4" x14ac:dyDescent="0.25">
      <c r="C6" s="2" t="s">
        <v>3</v>
      </c>
    </row>
    <row r="7" spans="1:4" ht="45" x14ac:dyDescent="0.25">
      <c r="C7" s="1" t="s">
        <v>285</v>
      </c>
    </row>
    <row r="8" spans="1:4" x14ac:dyDescent="0.25">
      <c r="C8" s="2" t="s">
        <v>4</v>
      </c>
    </row>
    <row r="9" spans="1:4" ht="75" x14ac:dyDescent="0.25">
      <c r="C9" s="1" t="s">
        <v>278</v>
      </c>
    </row>
    <row r="10" spans="1:4" x14ac:dyDescent="0.25">
      <c r="C10" s="2" t="s">
        <v>5</v>
      </c>
    </row>
    <row r="11" spans="1:4" ht="90" x14ac:dyDescent="0.25">
      <c r="C11" s="1" t="s">
        <v>286</v>
      </c>
    </row>
    <row r="12" spans="1:4" x14ac:dyDescent="0.25">
      <c r="C12" s="2" t="s">
        <v>6</v>
      </c>
    </row>
    <row r="13" spans="1:4" ht="105" x14ac:dyDescent="0.25">
      <c r="C13" s="44" t="s">
        <v>289</v>
      </c>
    </row>
    <row r="14" spans="1:4" x14ac:dyDescent="0.25">
      <c r="C14" s="44"/>
      <c r="D14" s="2" t="s">
        <v>288</v>
      </c>
    </row>
    <row r="15" spans="1:4" ht="90" x14ac:dyDescent="0.25">
      <c r="C15" s="44"/>
      <c r="D15" s="1" t="s">
        <v>291</v>
      </c>
    </row>
    <row r="16" spans="1:4" x14ac:dyDescent="0.25">
      <c r="C16" s="45"/>
      <c r="D16" s="2" t="s">
        <v>198</v>
      </c>
    </row>
    <row r="17" spans="2:4" ht="45" x14ac:dyDescent="0.25">
      <c r="C17" s="45"/>
      <c r="D17" s="1" t="s">
        <v>271</v>
      </c>
    </row>
    <row r="18" spans="2:4" x14ac:dyDescent="0.25">
      <c r="C18" s="45"/>
      <c r="D18" s="80" t="s">
        <v>270</v>
      </c>
    </row>
    <row r="19" spans="2:4" ht="45" x14ac:dyDescent="0.25">
      <c r="C19" s="45"/>
      <c r="D19" s="1" t="s">
        <v>279</v>
      </c>
    </row>
    <row r="20" spans="2:4" x14ac:dyDescent="0.25">
      <c r="C20" s="45"/>
      <c r="D20" s="80" t="s">
        <v>287</v>
      </c>
    </row>
    <row r="21" spans="2:4" ht="45" x14ac:dyDescent="0.25">
      <c r="C21" s="45"/>
      <c r="D21" s="1" t="s">
        <v>280</v>
      </c>
    </row>
    <row r="22" spans="2:4" x14ac:dyDescent="0.25">
      <c r="B22" s="2" t="s">
        <v>194</v>
      </c>
      <c r="C22" s="2"/>
    </row>
    <row r="23" spans="2:4" ht="60" x14ac:dyDescent="0.25">
      <c r="B23" s="1" t="s">
        <v>272</v>
      </c>
      <c r="C23" s="2"/>
    </row>
    <row r="24" spans="2:4" x14ac:dyDescent="0.25">
      <c r="C24" s="2" t="s">
        <v>195</v>
      </c>
    </row>
    <row r="25" spans="2:4" ht="210" x14ac:dyDescent="0.25">
      <c r="C25" s="44" t="s">
        <v>213</v>
      </c>
    </row>
    <row r="26" spans="2:4" x14ac:dyDescent="0.25">
      <c r="C26" s="2" t="s">
        <v>196</v>
      </c>
    </row>
    <row r="27" spans="2:4" ht="240" x14ac:dyDescent="0.25">
      <c r="C27" s="44" t="s">
        <v>197</v>
      </c>
    </row>
    <row r="28" spans="2:4" x14ac:dyDescent="0.25">
      <c r="B28" s="2" t="s">
        <v>273</v>
      </c>
      <c r="C28" s="44"/>
    </row>
    <row r="29" spans="2:4" ht="75" x14ac:dyDescent="0.25">
      <c r="B29" s="1" t="s">
        <v>284</v>
      </c>
      <c r="C29" s="44"/>
    </row>
    <row r="30" spans="2:4" x14ac:dyDescent="0.25">
      <c r="C30" s="2" t="s">
        <v>277</v>
      </c>
    </row>
    <row r="31" spans="2:4" ht="45" x14ac:dyDescent="0.25">
      <c r="C31" s="44" t="s">
        <v>283</v>
      </c>
    </row>
    <row r="32" spans="2:4" x14ac:dyDescent="0.25">
      <c r="C32" s="80" t="s">
        <v>274</v>
      </c>
    </row>
    <row r="33" spans="2:5" ht="165" x14ac:dyDescent="0.25">
      <c r="C33" s="1" t="s">
        <v>276</v>
      </c>
    </row>
    <row r="34" spans="2:5" x14ac:dyDescent="0.25">
      <c r="C34" s="80" t="s">
        <v>275</v>
      </c>
    </row>
    <row r="35" spans="2:5" ht="75" x14ac:dyDescent="0.25">
      <c r="C35" s="44" t="s">
        <v>282</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211</v>
      </c>
    </row>
    <row r="42" spans="2:5" x14ac:dyDescent="0.25">
      <c r="E42" s="2" t="s">
        <v>10</v>
      </c>
    </row>
    <row r="44" spans="2:5" x14ac:dyDescent="0.25">
      <c r="D44" s="2" t="s">
        <v>11</v>
      </c>
    </row>
    <row r="45" spans="2:5" x14ac:dyDescent="0.25">
      <c r="D45" t="s">
        <v>212</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2020-07-24T15:07:29Z</dcterms:modified>
</cp:coreProperties>
</file>