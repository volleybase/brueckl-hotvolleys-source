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A1B7FAF-7E05-42FB-8D62-C037C10BF139}" xr6:coauthVersionLast="45" xr6:coauthVersionMax="45" xr10:uidLastSave="{00000000-0000-0000-0000-000000000000}"/>
  <bookViews>
    <workbookView xWindow="-120" yWindow="-120" windowWidth="29040" windowHeight="16440" activeTab="1"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22" i="10" l="1"/>
  <c r="B19" i="12" l="1"/>
  <c r="M45" i="10" l="1"/>
  <c r="N45" i="10" s="1"/>
  <c r="D45" i="10" l="1"/>
  <c r="E45" i="10" s="1"/>
  <c r="F45" i="10" s="1"/>
  <c r="G45" i="10" s="1"/>
  <c r="H45" i="10" s="1"/>
  <c r="I45" i="10" s="1"/>
  <c r="J45" i="10" s="1"/>
  <c r="K45" i="10" s="1"/>
  <c r="L45" i="10" s="1"/>
  <c r="C45" i="10"/>
  <c r="C36" i="10"/>
  <c r="I23" i="10" l="1"/>
  <c r="I22" i="10"/>
  <c r="JG23" i="10" l="1"/>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JG22" i="10"/>
  <c r="JF22" i="10"/>
  <c r="JE22" i="10"/>
  <c r="JD22" i="10"/>
  <c r="JC22" i="10"/>
  <c r="JB22" i="10"/>
  <c r="JA22" i="10"/>
  <c r="IZ22" i="10"/>
  <c r="IY22" i="10"/>
  <c r="IX22" i="10"/>
  <c r="IW22" i="10"/>
  <c r="IV22" i="10"/>
  <c r="IU22" i="10"/>
  <c r="IT22" i="10"/>
  <c r="IS22" i="10"/>
  <c r="IR22" i="10"/>
  <c r="IQ22" i="10"/>
  <c r="IP22" i="10"/>
  <c r="IO22" i="10"/>
  <c r="IN22" i="10"/>
  <c r="IM22" i="10"/>
  <c r="IL22" i="10"/>
  <c r="IK22" i="10"/>
  <c r="IJ22" i="10"/>
  <c r="II22" i="10"/>
  <c r="IH22" i="10"/>
  <c r="IG22" i="10"/>
  <c r="IF22" i="10"/>
  <c r="IE22" i="10"/>
  <c r="ID22" i="10"/>
  <c r="IC22" i="10"/>
  <c r="IB22" i="10"/>
  <c r="IA22" i="10"/>
  <c r="HZ22" i="10"/>
  <c r="HY22" i="10"/>
  <c r="HX22" i="10"/>
  <c r="HW22" i="10"/>
  <c r="HV22" i="10"/>
  <c r="HU22" i="10"/>
  <c r="HT22" i="10"/>
  <c r="HS22" i="10"/>
  <c r="HR22" i="10"/>
  <c r="HQ22" i="10"/>
  <c r="HP22" i="10"/>
  <c r="HO22" i="10"/>
  <c r="HN22" i="10"/>
  <c r="HM22" i="10"/>
  <c r="HL22" i="10"/>
  <c r="HK22" i="10"/>
  <c r="HJ22" i="10"/>
  <c r="HI22" i="10"/>
  <c r="HH22" i="10"/>
  <c r="HG22" i="10"/>
  <c r="HF22" i="10"/>
  <c r="HE22" i="10"/>
  <c r="HD22" i="10"/>
  <c r="HC22" i="10"/>
  <c r="HB22" i="10"/>
  <c r="HA22" i="10"/>
  <c r="GZ22" i="10"/>
  <c r="GY22" i="10"/>
  <c r="GX22" i="10"/>
  <c r="GW22" i="10"/>
  <c r="GV22" i="10"/>
  <c r="GU22" i="10"/>
  <c r="GT22" i="10"/>
  <c r="GS22" i="10"/>
  <c r="GR22" i="10"/>
  <c r="GQ22" i="10"/>
  <c r="GP22" i="10"/>
  <c r="GO22" i="10"/>
  <c r="GN22" i="10"/>
  <c r="GM22" i="10"/>
  <c r="GL22" i="10"/>
  <c r="GK22" i="10"/>
  <c r="GJ22" i="10"/>
  <c r="GI22" i="10"/>
  <c r="GH22" i="10"/>
  <c r="GG22" i="10"/>
  <c r="GF22" i="10"/>
  <c r="GE22" i="10"/>
  <c r="GD22" i="10"/>
  <c r="GC22" i="10"/>
  <c r="GB22" i="10"/>
  <c r="GA22" i="10"/>
  <c r="FZ22" i="10"/>
  <c r="FY22" i="10"/>
  <c r="FX22" i="10"/>
  <c r="FW22" i="10"/>
  <c r="FV22" i="10"/>
  <c r="FU22" i="10"/>
  <c r="FT22" i="10"/>
  <c r="FS22" i="10"/>
  <c r="FR22" i="10"/>
  <c r="FQ22" i="10"/>
  <c r="FP22" i="10"/>
  <c r="FO22" i="10"/>
  <c r="FN22" i="10"/>
  <c r="FM22" i="10"/>
  <c r="FL22" i="10"/>
  <c r="FK22" i="10"/>
  <c r="FJ22" i="10"/>
  <c r="FI22" i="10"/>
  <c r="FH22" i="10"/>
  <c r="FG22" i="10"/>
  <c r="FF22" i="10"/>
  <c r="FE22" i="10"/>
  <c r="FD22" i="10"/>
  <c r="FC22" i="10"/>
  <c r="FB22" i="10"/>
  <c r="FA22" i="10"/>
  <c r="EZ22" i="10"/>
  <c r="EY22" i="10"/>
  <c r="EX22" i="10"/>
  <c r="EW22" i="10"/>
  <c r="EV22" i="10"/>
  <c r="EU22" i="10"/>
  <c r="ET22" i="10"/>
  <c r="ES22" i="10"/>
  <c r="ER22" i="10"/>
  <c r="EQ22" i="10"/>
  <c r="EP22" i="10"/>
  <c r="EO22" i="10"/>
  <c r="EN22" i="10"/>
  <c r="EM22" i="10"/>
  <c r="EL22"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EK22" i="10"/>
  <c r="EJ22" i="10"/>
  <c r="EI22" i="10"/>
  <c r="EH22" i="10"/>
  <c r="EG22" i="10"/>
  <c r="EF22" i="10"/>
  <c r="EE22" i="10"/>
  <c r="ED22" i="10"/>
  <c r="EC22" i="10"/>
  <c r="EB22" i="10"/>
  <c r="EA22" i="10"/>
  <c r="DZ22" i="10"/>
  <c r="DY22" i="10"/>
  <c r="DX22" i="10"/>
  <c r="DW22" i="10"/>
  <c r="DV22" i="10"/>
  <c r="DU22" i="10"/>
  <c r="DT22" i="10"/>
  <c r="DS22" i="10"/>
  <c r="DR22" i="10"/>
  <c r="DQ22" i="10"/>
  <c r="DP22" i="10"/>
  <c r="DO22" i="10"/>
  <c r="DN22" i="10"/>
  <c r="DM22" i="10"/>
  <c r="DL22" i="10"/>
  <c r="DK22"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3" i="10"/>
  <c r="AW23" i="10"/>
  <c r="AV23" i="10"/>
  <c r="AU23" i="10"/>
  <c r="AT23" i="10"/>
  <c r="AS23" i="10"/>
  <c r="AR23" i="10"/>
  <c r="AQ23" i="10"/>
  <c r="AP23" i="10"/>
  <c r="AO23" i="10"/>
  <c r="AN23" i="10"/>
  <c r="AM23" i="10"/>
  <c r="AL23" i="10"/>
  <c r="AK23" i="10"/>
  <c r="AX22" i="10"/>
  <c r="AW22" i="10"/>
  <c r="AV22" i="10"/>
  <c r="AU22" i="10"/>
  <c r="AT22" i="10"/>
  <c r="AS22" i="10"/>
  <c r="AR22" i="10"/>
  <c r="AQ22" i="10"/>
  <c r="AP22" i="10"/>
  <c r="AO22" i="10"/>
  <c r="AN22" i="10"/>
  <c r="AM22" i="10"/>
  <c r="AK22" i="10"/>
  <c r="V23" i="10"/>
  <c r="U23" i="10"/>
  <c r="T23" i="10"/>
  <c r="S23" i="10"/>
  <c r="R23" i="10"/>
  <c r="Q23" i="10"/>
  <c r="P23" i="10"/>
  <c r="V22" i="10"/>
  <c r="U22" i="10"/>
  <c r="T22" i="10"/>
  <c r="S22" i="10"/>
  <c r="R22" i="10"/>
  <c r="Q22" i="10"/>
  <c r="P22" i="10"/>
  <c r="AJ23" i="10"/>
  <c r="AI23" i="10"/>
  <c r="AH23" i="10"/>
  <c r="AG23" i="10"/>
  <c r="AF23" i="10"/>
  <c r="AE23" i="10"/>
  <c r="AD23" i="10"/>
  <c r="AJ22" i="10"/>
  <c r="AI22" i="10"/>
  <c r="AH22" i="10"/>
  <c r="AG22" i="10"/>
  <c r="AF22" i="10"/>
  <c r="AE22" i="10"/>
  <c r="AD22" i="10"/>
  <c r="AC23" i="10"/>
  <c r="AB23" i="10"/>
  <c r="AA23" i="10"/>
  <c r="Z23" i="10"/>
  <c r="Y23" i="10"/>
  <c r="X23" i="10"/>
  <c r="W23" i="10"/>
  <c r="AC22" i="10"/>
  <c r="AB22" i="10"/>
  <c r="AA22" i="10"/>
  <c r="Z22" i="10"/>
  <c r="Y22" i="10"/>
  <c r="X22" i="10"/>
  <c r="W22" i="10"/>
  <c r="E41" i="10"/>
  <c r="F41" i="10" s="1"/>
  <c r="G41" i="10" s="1"/>
  <c r="I41" i="10" s="1"/>
  <c r="E40" i="10"/>
  <c r="F40" i="10" s="1"/>
  <c r="G40" i="10" s="1"/>
  <c r="I40" i="10" s="1"/>
  <c r="D39" i="10"/>
  <c r="E39" i="10" s="1"/>
  <c r="F39" i="10" s="1"/>
  <c r="G39" i="10" s="1"/>
  <c r="H39" i="10" s="1"/>
  <c r="I39" i="10" s="1"/>
  <c r="J39" i="10" s="1"/>
  <c r="K39" i="10" s="1"/>
  <c r="L39" i="10" s="1"/>
  <c r="M39" i="10" s="1"/>
  <c r="N39" i="10" s="1"/>
  <c r="D37" i="10" l="1"/>
  <c r="C37" i="10"/>
  <c r="E21" i="10"/>
  <c r="E20" i="10"/>
  <c r="E19" i="10"/>
  <c r="E18" i="10"/>
  <c r="E17" i="10"/>
  <c r="E16" i="10"/>
  <c r="E15" i="10"/>
  <c r="E14" i="10"/>
  <c r="E13" i="10"/>
  <c r="E12" i="10"/>
  <c r="E11" i="10"/>
  <c r="E10" i="10"/>
  <c r="E9" i="10"/>
  <c r="E8" i="10"/>
  <c r="E7" i="10"/>
  <c r="E6" i="10"/>
  <c r="E5" i="10"/>
  <c r="E4" i="10"/>
  <c r="E3" i="10"/>
  <c r="I21" i="10"/>
  <c r="I20" i="10"/>
  <c r="I19" i="10"/>
  <c r="I18" i="10"/>
  <c r="I17" i="10"/>
  <c r="I16" i="10"/>
  <c r="I15" i="10"/>
  <c r="I14" i="10"/>
  <c r="I13" i="10"/>
  <c r="I12" i="10"/>
  <c r="I11" i="10"/>
  <c r="I10" i="10"/>
  <c r="I9" i="10"/>
  <c r="I8" i="10"/>
  <c r="I7" i="10"/>
  <c r="I6" i="10"/>
  <c r="I5" i="10"/>
  <c r="I4" i="10"/>
  <c r="I3" i="10"/>
  <c r="I1" i="10"/>
  <c r="D47" i="10"/>
  <c r="H47" i="10" s="1"/>
  <c r="J47" i="10" s="1"/>
  <c r="K47" i="10" s="1"/>
  <c r="L47" i="10" s="1"/>
  <c r="M47" i="10" s="1"/>
  <c r="N47" i="10" s="1"/>
  <c r="D46" i="10"/>
  <c r="H46" i="10" s="1"/>
  <c r="J46" i="10" s="1"/>
  <c r="K46" i="10" s="1"/>
  <c r="L46" i="10" s="1"/>
  <c r="M46" i="10" s="1"/>
  <c r="N46" i="10" s="1"/>
  <c r="C44" i="10"/>
  <c r="D44" i="10" s="1"/>
  <c r="H44" i="10" s="1"/>
  <c r="J44" i="10" s="1"/>
  <c r="K44" i="10" s="1"/>
  <c r="L44" i="10" s="1"/>
  <c r="M44" i="10" s="1"/>
  <c r="N44" i="10" s="1"/>
  <c r="C43" i="10"/>
  <c r="D43" i="10" s="1"/>
  <c r="H43" i="10" s="1"/>
  <c r="J43" i="10" s="1"/>
  <c r="K43" i="10" s="1"/>
  <c r="L43" i="10" s="1"/>
  <c r="M43" i="10" s="1"/>
  <c r="N43" i="10" s="1"/>
  <c r="D36" i="10"/>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C33" i="10"/>
  <c r="D33" i="10" s="1"/>
  <c r="H33" i="10" s="1"/>
  <c r="J33" i="10" s="1"/>
  <c r="K33" i="10" s="1"/>
  <c r="L33" i="10" s="1"/>
  <c r="M33" i="10" s="1"/>
  <c r="N33" i="10" s="1"/>
  <c r="B42" i="10"/>
  <c r="H37" i="10" l="1"/>
  <c r="J37" i="10" s="1"/>
  <c r="K37" i="10" s="1"/>
  <c r="L37" i="10" s="1"/>
  <c r="M37" i="10" s="1"/>
  <c r="N37" i="10" s="1"/>
  <c r="K24" i="10"/>
  <c r="K21"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3" i="10" l="1"/>
  <c r="L23" i="10" s="1"/>
  <c r="K22" i="10"/>
  <c r="L22" i="10" s="1"/>
  <c r="L21"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<sst xmlns="http://schemas.openxmlformats.org/spreadsheetml/2006/main" count="2460" uniqueCount="788">
  <si>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</si>
  <si>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</si>
  <si>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</si>
  <si>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</si>
  <si>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</si>
  <si>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</si>
  <si>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</si>
  <si>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</si>
  <si>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</si>
  <si>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</si>
  <si>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</si>
  <si>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</si>
  <si>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</si>
  <si>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</si>
  <si>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</si>
  <si>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</si>
  <si>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</si>
  <si>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</si>
  <si>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</si>
  <si>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</si>
  <si>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</si>
  <si>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</si>
  <si>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</si>
  <si>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</si>
  <si>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</si>
  <si>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</si>
  <si>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</si>
  <si>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</si>
  <si>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</si>
  <si>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</si>
  <si>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</si>
  <si>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</si>
  <si>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</si>
  <si>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</si>
  <si>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</si>
  <si>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</si>
  <si>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</si>
  <si>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</si>
  <si>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</si>
  <si>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</si>
  <si>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</si>
  <si>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</si>
  <si>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</si>
  <si>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</si>
  <si>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</si>
  <si>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</si>
  <si>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</si>
  <si>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</si>
  <si>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</si>
  <si>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</si>
  <si>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</si>
  <si>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</si>
  <si>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</si>
  <si>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</si>
  <si>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</si>
  <si>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</si>
  <si>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</si>
  <si>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</si>
  <si>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</si>
  <si>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</si>
  <si>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</si>
  <si>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</si>
  <si>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</si>
  <si>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</si>
  <si>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</si>
  <si>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</si>
  <si>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</si>
  <si>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</si>
  <si>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</si>
  <si>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</si>
  <si>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</si>
  <si>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</si>
  <si>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</si>
  <si>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</si>
  <si>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</si>
  <si>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</si>
  <si>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</si>
  <si>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</si>
  <si>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</si>
  <si>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</si>
  <si>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</si>
  <si>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</si>
  <si>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</si>
  <si>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</si>
  <si>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</si>
  <si>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</si>
  <si>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</si>
  <si>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</si>
  <si>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</si>
  <si>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</si>
  <si>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</si>
  <si>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</si>
  <si>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</si>
  <si>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</si>
  <si>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</si>
  <si>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</si>
  <si>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</si>
  <si>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</si>
  <si>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</si>
  <si>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</si>
  <si>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</si>
  <si>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</si>
  <si>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</si>
  <si>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</si>
  <si>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</si>
  <si>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</si>
  <si>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</si>
  <si>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</si>
  <si>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</si>
  <si>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</si>
  <si>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</si>
  <si>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</si>
  <si>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</si>
  <si>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</si>
  <si>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</si>
  <si>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</si>
  <si>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</si>
  <si>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</si>
  <si>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</si>
  <si>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</si>
  <si>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</si>
  <si>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</si>
  <si>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</si>
  <si>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</si>
  <si>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</si>
  <si>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</si>
  <si>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</si>
  <si>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</si>
  <si>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</si>
  <si>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</si>
  <si>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</si>
  <si>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</si>
  <si>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</si>
  <si>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</si>
  <si>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</si>
  <si>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</si>
  <si>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</si>
  <si>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</si>
  <si>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</si>
  <si>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</si>
  <si>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</si>
  <si>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</si>
  <si>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</si>
  <si>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</si>
  <si>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</si>
  <si>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</si>
  <si>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</si>
  <si>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</si>
  <si>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</si>
  <si>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</si>
  <si>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</si>
  <si>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</si>
  <si>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</si>
  <si>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</si>
  <si>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</si>
  <si>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</si>
  <si>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</si>
  <si>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</si>
  <si>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</si>
  <si>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</si>
  <si>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</si>
  <si>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</si>
  <si>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</si>
  <si>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</si>
  <si>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</si>
  <si>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</si>
  <si>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</si>
  <si>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</si>
  <si>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</si>
  <si>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</si>
  <si>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</si>
  <si>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</si>
  <si>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</si>
  <si>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</si>
  <si>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</si>
  <si>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</si>
  <si>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</si>
  <si>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</si>
  <si>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</si>
  <si>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</si>
  <si>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</si>
  <si>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</si>
  <si>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</si>
  <si>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</si>
  <si>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</si>
  <si>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</si>
  <si>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</si>
  <si>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</si>
  <si>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</si>
  <si>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</si>
  <si>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</si>
  <si>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</si>
  <si>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</si>
  <si>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</si>
  <si>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</si>
  <si>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</si>
  <si>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</si>
  <si>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</si>
  <si>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</si>
  <si>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</si>
  <si>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</si>
  <si>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</si>
  <si>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</si>
  <si>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</si>
  <si>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</si>
  <si>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</si>
  <si>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</si>
  <si>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</si>
  <si>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</si>
  <si>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</si>
  <si>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</si>
  <si>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</si>
  <si>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</si>
  <si>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</si>
  <si>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</si>
  <si>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</si>
  <si>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</si>
  <si>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</si>
  <si>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</si>
  <si>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</si>
  <si>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</si>
  <si>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</si>
  <si>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</si>
  <si>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</si>
  <si>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</si>
  <si>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</si>
  <si>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</si>
  <si>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</si>
  <si>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</si>
  <si>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</si>
  <si>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</si>
  <si>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</si>
  <si>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</si>
  <si>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</si>
  <si>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</si>
  <si>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</si>
  <si>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</si>
  <si>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</si>
  <si>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</si>
  <si>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</si>
  <si>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</si>
  <si>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</si>
  <si>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</si>
  <si>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</si>
  <si>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</si>
  <si>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</si>
  <si>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</si>
  <si>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</si>
  <si>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</si>
  <si>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</si>
  <si>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</si>
  <si>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</si>
  <si>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</si>
  <si>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</si>
  <si>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</si>
  <si>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</si>
  <si>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</si>
  <si>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</si>
  <si>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</si>
  <si>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</si>
  <si>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</si>
  <si>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</si>
  <si>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</si>
  <si>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</si>
  <si>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</si>
  <si>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</si>
  <si>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</si>
  <si>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</si>
  <si>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</si>
  <si>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</si>
  <si>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</si>
  <si>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</si>
  <si>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</si>
  <si>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</si>
  <si>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</si>
  <si>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</si>
  <si>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</si>
  <si>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</si>
  <si>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</si>
  <si>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</si>
  <si>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</si>
  <si>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</si>
  <si>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</si>
  <si>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</si>
  <si>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</si>
  <si>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</si>
  <si>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</si>
  <si>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</si>
  <si>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</si>
  <si>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</si>
  <si>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</si>
  <si>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</si>
  <si>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</si>
  <si>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</si>
  <si>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</si>
  <si>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</si>
  <si>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</si>
  <si>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</si>
  <si>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</si>
  <si>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</si>
  <si>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</si>
  <si>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</si>
  <si>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</si>
  <si>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</si>
  <si>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</si>
  <si>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</si>
  <si>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</si>
  <si>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</si>
  <si>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</si>
  <si>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</si>
  <si>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</si>
  <si>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</si>
  <si>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</si>
  <si>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</si>
  <si>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</si>
  <si>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</si>
  <si>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</si>
  <si>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</si>
  <si>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</si>
  <si>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</si>
  <si>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</si>
  <si>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</si>
  <si>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</si>
  <si>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</si>
  <si>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</si>
  <si>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</si>
  <si>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</si>
  <si>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</si>
  <si>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</si>
  <si>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</si>
  <si>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</si>
  <si>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</si>
  <si>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</si>
  <si>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</si>
  <si>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</si>
  <si>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</si>
  <si>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</si>
  <si>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</si>
  <si>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</si>
  <si>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</si>
  <si>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</si>
  <si>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</si>
  <si>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</si>
  <si>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</si>
  <si>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</si>
  <si>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</si>
  <si>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</si>
  <si>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</si>
  <si>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</si>
  <si>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</si>
  <si>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</si>
  <si>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</si>
  <si>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</si>
  <si>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</si>
  <si>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</si>
  <si>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</si>
  <si>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</si>
  <si>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</si>
  <si>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</si>
  <si>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</si>
  <si>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</si>
  <si>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</si>
  <si>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</si>
  <si>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</si>
  <si>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</si>
  <si>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</si>
  <si>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</si>
  <si>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</si>
  <si>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</si>
  <si>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</si>
  <si>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</si>
  <si>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</si>
  <si>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</si>
  <si>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</si>
  <si>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</si>
  <si>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</si>
  <si>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</si>
  <si>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</si>
  <si>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</si>
  <si>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</si>
  <si>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</si>
  <si>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</si>
  <si>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</si>
  <si>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</si>
  <si>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</si>
  <si>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</si>
  <si>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</si>
  <si>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</si>
  <si>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</si>
  <si>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</si>
  <si>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</si>
  <si>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</si>
  <si>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</si>
  <si>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</si>
  <si>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</si>
  <si>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</si>
  <si>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</si>
  <si>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</si>
  <si>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</si>
  <si>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</si>
  <si>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</si>
  <si>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</si>
  <si>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</si>
  <si>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</si>
  <si>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</si>
  <si>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</si>
  <si>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</si>
  <si>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</si>
  <si>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</si>
  <si>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</si>
  <si>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</si>
  <si>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</si>
  <si>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</si>
  <si>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</si>
  <si>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</si>
  <si>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</si>
  <si>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</si>
  <si>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</si>
  <si>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</si>
  <si>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</si>
  <si>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</si>
  <si>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</si>
  <si>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</si>
  <si>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</si>
  <si>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</si>
  <si>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</si>
  <si>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</si>
  <si>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</si>
  <si>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</si>
  <si>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</si>
  <si>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</si>
  <si>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</si>
  <si>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</si>
  <si>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</si>
  <si>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</si>
  <si>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</si>
  <si>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</si>
  <si>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</si>
  <si>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</si>
  <si>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</si>
  <si>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</si>
  <si>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</si>
  <si>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</si>
  <si>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</si>
  <si>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</si>
  <si>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</si>
  <si>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</si>
  <si>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</si>
  <si>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</si>
  <si>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</si>
  <si>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</si>
  <si>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</si>
  <si>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</si>
  <si>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</si>
  <si>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</si>
  <si>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</si>
  <si>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</si>
  <si>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</si>
  <si>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</si>
  <si>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</si>
  <si>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</si>
  <si>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</si>
  <si>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</si>
  <si>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</si>
  <si>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</si>
  <si>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</si>
  <si>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</si>
  <si>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</si>
  <si>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</si>
  <si>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</si>
  <si>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</si>
  <si>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</si>
  <si>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</si>
  <si>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</si>
  <si>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</si>
  <si>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</si>
  <si>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</si>
  <si>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</si>
  <si>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</si>
  <si>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</si>
  <si>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</si>
  <si>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</si>
  <si>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</si>
  <si>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</si>
  <si>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</si>
  <si>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</si>
  <si>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</si>
  <si>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</si>
  <si>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</si>
  <si>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</si>
  <si>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</si>
  <si>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</si>
  <si>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</si>
  <si>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</si>
  <si>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</si>
  <si>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</si>
  <si>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</si>
  <si>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</si>
  <si>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</si>
  <si>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</si>
  <si>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</si>
  <si>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</si>
  <si>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</si>
  <si>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</si>
  <si>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</si>
  <si>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</si>
  <si>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</si>
  <si>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</si>
  <si>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</si>
  <si>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</si>
  <si>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</si>
  <si>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</si>
  <si>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</si>
  <si>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</si>
  <si>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</si>
  <si>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</si>
  <si>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</si>
  <si>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</si>
  <si>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</si>
  <si>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</si>
  <si>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</si>
  <si>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</si>
  <si>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</si>
  <si>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</si>
  <si>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</si>
  <si>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</si>
  <si>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</si>
  <si>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</si>
  <si>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</si>
  <si>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</si>
  <si>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</si>
  <si>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</si>
  <si>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</si>
  <si>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</si>
  <si>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</si>
  <si>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</si>
  <si>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</si>
  <si>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</si>
  <si>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</si>
  <si>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</si>
  <si>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</si>
  <si>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</si>
  <si>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</si>
  <si>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</si>
  <si>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</si>
  <si>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</si>
  <si>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</si>
  <si>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</si>
  <si>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</si>
  <si>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</si>
  <si>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</si>
  <si>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</si>
  <si>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</si>
  <si>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</si>
  <si>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</si>
  <si>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</si>
  <si>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</si>
  <si>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</si>
  <si>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</si>
  <si>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</si>
  <si>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</si>
  <si>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</si>
  <si>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</si>
  <si>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</si>
  <si>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</si>
  <si>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</si>
  <si>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</si>
  <si>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</si>
  <si>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</si>
  <si>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</si>
  <si>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</si>
  <si>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</si>
  <si>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</si>
  <si>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</si>
  <si>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</si>
  <si>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</si>
  <si>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</si>
  <si>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</si>
  <si>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</si>
  <si>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</si>
  <si>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</si>
  <si>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</si>
  <si>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</si>
  <si>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</si>
  <si>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</si>
  <si>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</si>
  <si>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</si>
  <si>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</si>
  <si>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</si>
  <si>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</si>
  <si>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</si>
  <si>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</si>
  <si>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</si>
  <si>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</si>
  <si>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</si>
  <si>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</si>
  <si>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</si>
  <si>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</si>
  <si>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</si>
  <si>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</si>
  <si>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</si>
  <si>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</si>
  <si>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</si>
  <si>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</si>
  <si>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</si>
  <si>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</si>
  <si>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</si>
  <si>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</si>
  <si>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</si>
  <si>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</si>
  <si>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</si>
  <si>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</si>
  <si>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</si>
  <si>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</si>
  <si>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</si>
  <si>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</si>
  <si>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</si>
  <si>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</si>
  <si>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</si>
  <si>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</si>
  <si>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</si>
  <si>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</si>
  <si>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</si>
  <si>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</si>
  <si>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</si>
  <si>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</si>
  <si>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</si>
  <si>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</si>
  <si>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</si>
  <si>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</si>
  <si>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</si>
  <si>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</si>
  <si>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</si>
  <si>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</si>
  <si>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</si>
  <si>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</si>
  <si>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</si>
  <si>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</si>
  <si>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</si>
  <si>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</si>
  <si>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</si>
  <si>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</si>
  <si>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</si>
  <si>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</si>
  <si>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</si>
  <si>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</si>
  <si>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</si>
  <si>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</si>
  <si>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</si>
  <si>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</si>
  <si>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</si>
  <si>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</si>
  <si>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</si>
  <si>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</si>
  <si>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</si>
  <si>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</si>
  <si>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</si>
  <si>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</si>
  <si>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</si>
  <si>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</si>
  <si>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</si>
  <si>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</si>
  <si>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</si>
  <si>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</si>
  <si>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</si>
  <si>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</si>
  <si>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</si>
  <si>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</si>
  <si>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</si>
  <si>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</si>
  <si>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</si>
  <si>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</si>
  <si>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</si>
  <si>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</si>
  <si>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</si>
  <si>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</si>
  <si>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</si>
  <si>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</si>
  <si>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</si>
  <si>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</si>
  <si>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</si>
  <si>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</si>
  <si>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</si>
  <si>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</si>
  <si>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</si>
  <si>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</si>
  <si>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</si>
  <si>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</si>
  <si>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</si>
  <si>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</si>
  <si>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</si>
  <si>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</si>
  <si>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</si>
  <si>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</si>
  <si>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</si>
  <si>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</si>
  <si>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</si>
  <si>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</si>
  <si>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</si>
  <si>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</si>
  <si>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</si>
  <si>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</si>
  <si>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</si>
  <si>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</si>
  <si>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</si>
  <si>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</si>
  <si>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</si>
  <si>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</si>
  <si>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</si>
  <si>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</si>
  <si>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</si>
  <si>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</si>
  <si>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</si>
  <si>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</si>
  <si>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</si>
  <si>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</si>
  <si>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</si>
  <si>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</si>
  <si>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</si>
  <si>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</si>
  <si>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</si>
  <si>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</si>
  <si>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</si>
  <si>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</si>
  <si>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</si>
  <si>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</si>
  <si>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</si>
  <si>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</si>
  <si>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K24</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</si>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</sst>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11"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3" xfId="0" applyNumberFormat="1"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3"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30</xdr:row>
      <xdr:rowOff>180974</xdr:rowOff>
    </xdr:from>
    <xdr:to>
      <xdr:col>1</xdr:col>
      <xdr:colOff>295275</xdr:colOff>
      <xdr:row>31</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47</xdr:row>
      <xdr:rowOff>0</xdr:rowOff>
    </xdr:from>
    <xdr:to>
      <xdr:col>3</xdr:col>
      <xdr:colOff>0</xdr:colOff>
      <xdr:row>48</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47</xdr:row>
      <xdr:rowOff>0</xdr:rowOff>
    </xdr:from>
    <xdr:to>
      <xdr:col>3</xdr:col>
      <xdr:colOff>771525</xdr:colOff>
      <xdr:row>48</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49</xdr:row>
      <xdr:rowOff>0</xdr:rowOff>
    </xdr:from>
    <xdr:to>
      <xdr:col>0</xdr:col>
      <xdr:colOff>739050</xdr:colOff>
      <xdr:row>50</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47</xdr:row>
      <xdr:rowOff>0</xdr:rowOff>
    </xdr:from>
    <xdr:to>
      <xdr:col>7</xdr:col>
      <xdr:colOff>695325</xdr:colOff>
      <xdr:row>48</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47</xdr:row>
      <xdr:rowOff>0</xdr:rowOff>
    </xdr:from>
    <xdr:to>
      <xdr:col>11</xdr:col>
      <xdr:colOff>171450</xdr:colOff>
      <xdr:row>48</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48</xdr:row>
      <xdr:rowOff>19050</xdr:rowOff>
    </xdr:from>
    <xdr:to>
      <xdr:col>3</xdr:col>
      <xdr:colOff>28576</xdr:colOff>
      <xdr:row>49</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48</xdr:row>
      <xdr:rowOff>19050</xdr:rowOff>
    </xdr:from>
    <xdr:to>
      <xdr:col>3</xdr:col>
      <xdr:colOff>742950</xdr:colOff>
      <xdr:row>49</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48</xdr:row>
      <xdr:rowOff>9525</xdr:rowOff>
    </xdr:from>
    <xdr:to>
      <xdr:col>7</xdr:col>
      <xdr:colOff>666750</xdr:colOff>
      <xdr:row>48</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48</xdr:row>
      <xdr:rowOff>19050</xdr:rowOff>
    </xdr:from>
    <xdr:to>
      <xdr:col>11</xdr:col>
      <xdr:colOff>142875</xdr:colOff>
      <xdr:row>49</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5"/>
  <sheetViews>
    <sheetView topLeftCell="A10" workbookViewId="0">
      <pane xSplit="12" topLeftCell="M1" activePane="topRight" state="frozen"/>
      <selection pane="topRight" activeCell="AW22" sqref="AW22"/>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1.42578125" hidden="1" customWidth="1"/>
    <col min="10" max="12" width="3.7109375" style="44" customWidth="1"/>
    <col min="13" max="255" width="3.7109375" customWidth="1"/>
  </cols>
  <sheetData>
    <row r="1" spans="1:262" ht="15" customHeight="1" x14ac:dyDescent="0.25">
      <c r="A1" s="211" t="s">
        <v>46</v>
      </c>
      <c r="B1" s="212"/>
      <c r="C1" s="212"/>
      <c r="D1" s="212"/>
      <c r="E1" s="212"/>
      <c r="F1" s="212"/>
      <c r="G1" s="212"/>
      <c r="H1" s="213"/>
      <c r="I1" s="203" t="str">
        <f>A1</f>
        <v>BL</v>
      </c>
      <c r="J1" s="217" t="s">
        <v>38</v>
      </c>
      <c r="K1" s="199" t="s">
        <v>49</v>
      </c>
      <c r="L1" s="201"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5"/>
      <c r="IW1" s="163"/>
      <c r="IX1" s="163"/>
      <c r="IY1" s="163"/>
      <c r="IZ1" s="163"/>
      <c r="JA1" s="163"/>
      <c r="JB1" s="163"/>
    </row>
    <row r="2" spans="1:262" ht="15" customHeight="1" x14ac:dyDescent="0.25">
      <c r="A2" s="214"/>
      <c r="B2" s="215"/>
      <c r="C2" s="215"/>
      <c r="D2" s="215"/>
      <c r="E2" s="215"/>
      <c r="F2" s="215"/>
      <c r="G2" s="215"/>
      <c r="H2" s="216"/>
      <c r="I2" s="204"/>
      <c r="J2" s="218"/>
      <c r="K2" s="200"/>
      <c r="L2" s="202"/>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760</v>
      </c>
      <c r="AK2" s="131" t="s">
        <v>38</v>
      </c>
      <c r="AL2" s="131" t="s">
        <v>38</v>
      </c>
      <c r="AM2" s="131"/>
      <c r="AN2" s="131" t="s">
        <v>38</v>
      </c>
      <c r="AO2" s="131" t="s">
        <v>38</v>
      </c>
      <c r="AP2" s="131" t="s">
        <v>649</v>
      </c>
      <c r="AQ2" s="164" t="s">
        <v>759</v>
      </c>
      <c r="AR2" s="131" t="s">
        <v>38</v>
      </c>
      <c r="AS2" s="131" t="s">
        <v>38</v>
      </c>
      <c r="AT2" s="131"/>
      <c r="AU2" s="131" t="s">
        <v>38</v>
      </c>
      <c r="AV2" s="131" t="s">
        <v>38</v>
      </c>
      <c r="AW2" s="131" t="s">
        <v>778</v>
      </c>
      <c r="AX2" s="164"/>
      <c r="AY2" s="131" t="s">
        <v>38</v>
      </c>
      <c r="AZ2" s="131" t="s">
        <v>38</v>
      </c>
      <c r="BA2" s="131"/>
      <c r="BB2" s="131" t="s">
        <v>38</v>
      </c>
      <c r="BC2" s="131" t="s">
        <v>38</v>
      </c>
      <c r="BD2" s="131"/>
      <c r="BE2" s="164"/>
      <c r="BF2" s="131"/>
      <c r="BG2" s="131"/>
      <c r="BH2" s="131"/>
      <c r="BI2" s="131"/>
      <c r="BJ2" s="131"/>
      <c r="BK2" s="131" t="s">
        <v>779</v>
      </c>
      <c r="BL2" s="164"/>
      <c r="BM2" s="131"/>
      <c r="BN2" s="131"/>
      <c r="BO2" s="131"/>
      <c r="BP2" s="131"/>
      <c r="BQ2" s="131"/>
      <c r="BR2" s="131" t="s">
        <v>779</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4" t="s">
        <v>705</v>
      </c>
      <c r="H3" s="56">
        <v>38532</v>
      </c>
      <c r="I3" s="177" t="str">
        <f t="shared" ref="I3:I21" si="4">C3</f>
        <v>CA</v>
      </c>
      <c r="J3" s="170">
        <v>1</v>
      </c>
      <c r="K3" s="170">
        <f>SUM(M3:IU3)</f>
        <v>20</v>
      </c>
      <c r="L3" s="193">
        <f>K3/K$24 * 100</f>
        <v>100</v>
      </c>
      <c r="M3" s="142" t="s">
        <v>758</v>
      </c>
      <c r="N3" s="142" t="s">
        <v>758</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1" si="5">A4 &amp; " " &amp; D4</f>
        <v>Dragana Brcin</v>
      </c>
      <c r="F4" s="19" t="s">
        <v>683</v>
      </c>
      <c r="G4" s="184" t="s">
        <v>700</v>
      </c>
      <c r="H4" s="56">
        <v>36859</v>
      </c>
      <c r="I4" s="177" t="str">
        <f t="shared" si="4"/>
        <v>DB</v>
      </c>
      <c r="J4" s="10">
        <v>1</v>
      </c>
      <c r="K4" s="10">
        <f t="shared" ref="K4:K21" si="6">SUM(M4:IU4)</f>
        <v>20</v>
      </c>
      <c r="L4" s="194">
        <f t="shared" ref="L4:L23" si="7">K4/K$24 * 100</f>
        <v>100</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5"/>
        <v>Bojana Despotovic</v>
      </c>
      <c r="F5" s="19" t="s">
        <v>685</v>
      </c>
      <c r="G5" s="184" t="s">
        <v>699</v>
      </c>
      <c r="H5" s="56">
        <v>37414</v>
      </c>
      <c r="I5" s="177" t="str">
        <f t="shared" si="4"/>
        <v>BD</v>
      </c>
      <c r="J5" s="10">
        <v>1</v>
      </c>
      <c r="K5" s="10">
        <f t="shared" si="6"/>
        <v>20</v>
      </c>
      <c r="L5" s="194">
        <f t="shared" si="7"/>
        <v>100</v>
      </c>
      <c r="M5" s="142" t="s">
        <v>758</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5"/>
        <v>Nicole Dreier</v>
      </c>
      <c r="F6" s="19" t="s">
        <v>691</v>
      </c>
      <c r="G6" s="184" t="s">
        <v>715</v>
      </c>
      <c r="H6" s="56">
        <v>37608</v>
      </c>
      <c r="I6" s="177" t="str">
        <f t="shared" si="4"/>
        <v>ND</v>
      </c>
      <c r="J6" s="10">
        <v>1</v>
      </c>
      <c r="K6" s="10">
        <f t="shared" si="6"/>
        <v>17</v>
      </c>
      <c r="L6" s="194">
        <f t="shared" si="7"/>
        <v>85</v>
      </c>
      <c r="M6" s="142" t="s">
        <v>758</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5"/>
        <v>Jennifer Grojer</v>
      </c>
      <c r="F7" s="19" t="s">
        <v>687</v>
      </c>
      <c r="G7" s="184" t="s">
        <v>714</v>
      </c>
      <c r="H7" s="56">
        <v>36672</v>
      </c>
      <c r="I7" s="177" t="str">
        <f t="shared" si="4"/>
        <v>JG</v>
      </c>
      <c r="J7" s="10">
        <v>1</v>
      </c>
      <c r="K7" s="10">
        <f t="shared" si="6"/>
        <v>19</v>
      </c>
      <c r="L7" s="194">
        <f t="shared" si="7"/>
        <v>95</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5"/>
        <v>Sabrina Grojer</v>
      </c>
      <c r="F8" s="19" t="s">
        <v>698</v>
      </c>
      <c r="G8" s="184" t="s">
        <v>701</v>
      </c>
      <c r="H8" s="56">
        <v>37133</v>
      </c>
      <c r="I8" s="177" t="str">
        <f t="shared" si="4"/>
        <v>SG</v>
      </c>
      <c r="J8" s="10">
        <v>1</v>
      </c>
      <c r="K8" s="10">
        <f t="shared" si="6"/>
        <v>14</v>
      </c>
      <c r="L8" s="194">
        <f t="shared" si="7"/>
        <v>70</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5"/>
        <v>Alexandra Jordan</v>
      </c>
      <c r="F9" s="19" t="s">
        <v>688</v>
      </c>
      <c r="G9" s="184" t="s">
        <v>704</v>
      </c>
      <c r="H9" s="56">
        <v>37808</v>
      </c>
      <c r="I9" s="177" t="str">
        <f t="shared" si="4"/>
        <v>AJ</v>
      </c>
      <c r="J9" s="10">
        <v>1</v>
      </c>
      <c r="K9" s="10">
        <f t="shared" si="6"/>
        <v>20</v>
      </c>
      <c r="L9" s="194">
        <f t="shared" si="7"/>
        <v>100</v>
      </c>
      <c r="M9" s="142" t="s">
        <v>758</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124</v>
      </c>
      <c r="C10" s="19" t="s">
        <v>158</v>
      </c>
      <c r="D10" s="19" t="s">
        <v>123</v>
      </c>
      <c r="E10" s="19" t="str">
        <f t="shared" si="5"/>
        <v>Stefanie Marbek</v>
      </c>
      <c r="F10" s="19" t="s">
        <v>697</v>
      </c>
      <c r="G10" s="184" t="s">
        <v>709</v>
      </c>
      <c r="H10" s="56">
        <v>38491</v>
      </c>
      <c r="I10" s="177" t="str">
        <f t="shared" si="4"/>
        <v>SM</v>
      </c>
      <c r="J10" s="10">
        <v>1</v>
      </c>
      <c r="K10" s="10">
        <f t="shared" si="6"/>
        <v>18</v>
      </c>
      <c r="L10" s="194">
        <f t="shared" si="7"/>
        <v>90</v>
      </c>
      <c r="M10" s="142" t="s">
        <v>758</v>
      </c>
      <c r="N10" s="142" t="s">
        <v>758</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c r="C11" s="19" t="s">
        <v>160</v>
      </c>
      <c r="D11" s="19" t="s">
        <v>122</v>
      </c>
      <c r="E11" s="19" t="str">
        <f t="shared" si="5"/>
        <v>Lea Mehringer</v>
      </c>
      <c r="F11" s="19" t="s">
        <v>684</v>
      </c>
      <c r="G11" s="184" t="s">
        <v>707</v>
      </c>
      <c r="H11" s="56">
        <v>38655</v>
      </c>
      <c r="I11" s="177" t="str">
        <f t="shared" si="4"/>
        <v>LE</v>
      </c>
      <c r="J11" s="10">
        <v>1</v>
      </c>
      <c r="K11" s="10">
        <f t="shared" si="6"/>
        <v>16</v>
      </c>
      <c r="L11" s="194">
        <f t="shared" si="7"/>
        <v>80</v>
      </c>
      <c r="M11" s="142" t="s">
        <v>758</v>
      </c>
      <c r="N11" s="142" t="s">
        <v>758</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5"/>
        <v>Celine Murnig</v>
      </c>
      <c r="F12" s="19"/>
      <c r="G12" s="184" t="s">
        <v>706</v>
      </c>
      <c r="H12" s="56">
        <v>37863</v>
      </c>
      <c r="I12" s="177" t="str">
        <f t="shared" si="4"/>
        <v>CM</v>
      </c>
      <c r="J12" s="10">
        <v>1</v>
      </c>
      <c r="K12" s="10">
        <f t="shared" si="6"/>
        <v>17</v>
      </c>
      <c r="L12" s="194">
        <f t="shared" si="7"/>
        <v>85</v>
      </c>
      <c r="M12" s="142" t="s">
        <v>758</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c r="C13" s="19" t="s">
        <v>143</v>
      </c>
      <c r="D13" s="19" t="s">
        <v>139</v>
      </c>
      <c r="E13" s="19" t="str">
        <f t="shared" si="5"/>
        <v>Lea Murnig</v>
      </c>
      <c r="F13" s="19" t="s">
        <v>690</v>
      </c>
      <c r="G13" s="184" t="s">
        <v>710</v>
      </c>
      <c r="H13" s="56">
        <v>37863</v>
      </c>
      <c r="I13" s="177" t="str">
        <f t="shared" si="4"/>
        <v>LM</v>
      </c>
      <c r="J13" s="10">
        <v>1</v>
      </c>
      <c r="K13" s="10">
        <f t="shared" si="6"/>
        <v>15</v>
      </c>
      <c r="L13" s="194">
        <f t="shared" si="7"/>
        <v>75</v>
      </c>
      <c r="M13" s="142" t="s">
        <v>758</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5"/>
        <v>Yasmin Murnig</v>
      </c>
      <c r="F14" s="19" t="s">
        <v>693</v>
      </c>
      <c r="G14" s="184" t="s">
        <v>712</v>
      </c>
      <c r="H14" s="56">
        <v>38954</v>
      </c>
      <c r="I14" s="177" t="str">
        <f t="shared" si="4"/>
        <v>YM</v>
      </c>
      <c r="J14" s="10">
        <v>1</v>
      </c>
      <c r="K14" s="10">
        <f t="shared" si="6"/>
        <v>16</v>
      </c>
      <c r="L14" s="194">
        <f t="shared" si="7"/>
        <v>80</v>
      </c>
      <c r="M14" s="142" t="s">
        <v>758</v>
      </c>
      <c r="N14" s="142" t="s">
        <v>758</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5"/>
        <v>Selina Popaj</v>
      </c>
      <c r="F15" s="19"/>
      <c r="G15" s="184" t="s">
        <v>708</v>
      </c>
      <c r="H15" s="56">
        <v>39155</v>
      </c>
      <c r="I15" s="177" t="str">
        <f t="shared" si="4"/>
        <v>SP</v>
      </c>
      <c r="J15" s="10">
        <v>1</v>
      </c>
      <c r="K15" s="10">
        <f t="shared" si="6"/>
        <v>16</v>
      </c>
      <c r="L15" s="194">
        <f t="shared" si="7"/>
        <v>80</v>
      </c>
      <c r="M15" s="142" t="s">
        <v>758</v>
      </c>
      <c r="N15" s="142" t="s">
        <v>758</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5"/>
        <v>Valentina Probst</v>
      </c>
      <c r="F16" s="19" t="s">
        <v>694</v>
      </c>
      <c r="G16" s="184" t="s">
        <v>703</v>
      </c>
      <c r="H16" s="56">
        <v>37177</v>
      </c>
      <c r="I16" s="177" t="str">
        <f t="shared" si="4"/>
        <v>VP</v>
      </c>
      <c r="J16" s="10">
        <v>1</v>
      </c>
      <c r="K16" s="10">
        <f t="shared" si="6"/>
        <v>20</v>
      </c>
      <c r="L16" s="194">
        <f t="shared" si="7"/>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124</v>
      </c>
      <c r="C17" s="19" t="s">
        <v>167</v>
      </c>
      <c r="D17" s="19" t="s">
        <v>168</v>
      </c>
      <c r="E17" s="19" t="str">
        <f t="shared" si="5"/>
        <v>Stefanie Rückenbaum</v>
      </c>
      <c r="F17" s="19" t="s">
        <v>696</v>
      </c>
      <c r="G17" s="184" t="s">
        <v>702</v>
      </c>
      <c r="H17" s="56">
        <v>36870</v>
      </c>
      <c r="I17" s="177" t="str">
        <f t="shared" si="4"/>
        <v>SR</v>
      </c>
      <c r="J17" s="10">
        <v>1</v>
      </c>
      <c r="K17" s="10">
        <f t="shared" si="6"/>
        <v>20</v>
      </c>
      <c r="L17" s="194">
        <f t="shared" si="7"/>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182</v>
      </c>
      <c r="C18" s="19" t="s">
        <v>183</v>
      </c>
      <c r="D18" s="19" t="s">
        <v>81</v>
      </c>
      <c r="E18" s="19" t="str">
        <f t="shared" si="5"/>
        <v>Theresa Scheitz</v>
      </c>
      <c r="F18" s="19" t="s">
        <v>695</v>
      </c>
      <c r="G18" s="184" t="s">
        <v>711</v>
      </c>
      <c r="H18" s="56">
        <v>38054</v>
      </c>
      <c r="I18" s="177" t="str">
        <f t="shared" si="4"/>
        <v>TS</v>
      </c>
      <c r="J18" s="10">
        <v>1</v>
      </c>
      <c r="K18" s="10">
        <f t="shared" si="6"/>
        <v>20</v>
      </c>
      <c r="L18" s="194">
        <f t="shared" si="7"/>
        <v>100</v>
      </c>
      <c r="M18" s="142" t="s">
        <v>758</v>
      </c>
      <c r="N18" s="142" t="s">
        <v>758</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5"/>
        <v>Ylva Völker</v>
      </c>
      <c r="F19" s="88" t="s">
        <v>692</v>
      </c>
      <c r="G19" s="185" t="s">
        <v>713</v>
      </c>
      <c r="H19" s="162">
        <v>39280</v>
      </c>
      <c r="I19" s="181" t="str">
        <f t="shared" si="4"/>
        <v>YV</v>
      </c>
      <c r="J19" s="90">
        <v>1</v>
      </c>
      <c r="K19" s="90">
        <f t="shared" si="6"/>
        <v>12</v>
      </c>
      <c r="L19" s="195">
        <f t="shared" si="7"/>
        <v>60</v>
      </c>
      <c r="M19" s="142" t="s">
        <v>758</v>
      </c>
      <c r="N19" s="142" t="s">
        <v>758</v>
      </c>
      <c r="O19" s="7"/>
      <c r="U19">
        <v>1</v>
      </c>
      <c r="V19" s="7"/>
      <c r="W19">
        <v>1</v>
      </c>
      <c r="X19">
        <v>1</v>
      </c>
      <c r="AC19" s="7"/>
      <c r="AD19">
        <v>1</v>
      </c>
      <c r="AH19">
        <v>1</v>
      </c>
      <c r="AI19">
        <v>1</v>
      </c>
      <c r="AJ19" s="7">
        <v>1</v>
      </c>
      <c r="AK19" s="148"/>
      <c r="AL19" s="148">
        <v>1</v>
      </c>
      <c r="AP19">
        <v>1</v>
      </c>
      <c r="AQ19" s="7"/>
      <c r="AR19" s="148">
        <v>1</v>
      </c>
      <c r="AS19" s="148">
        <v>1</v>
      </c>
      <c r="AU19">
        <v>1</v>
      </c>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5"/>
        <v>Michael Witschnig</v>
      </c>
      <c r="F20" s="19"/>
      <c r="G20" s="184" t="s">
        <v>552</v>
      </c>
      <c r="H20" s="56"/>
      <c r="I20" s="177" t="str">
        <f t="shared" si="4"/>
        <v>MW</v>
      </c>
      <c r="J20" s="10">
        <v>1</v>
      </c>
      <c r="K20" s="10">
        <f t="shared" si="6"/>
        <v>17</v>
      </c>
      <c r="L20" s="194">
        <f t="shared" si="7"/>
        <v>85</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ht="15.75" thickBot="1" x14ac:dyDescent="0.3">
      <c r="A21" s="10" t="s">
        <v>644</v>
      </c>
      <c r="B21" s="19" t="s">
        <v>23</v>
      </c>
      <c r="C21" s="19" t="s">
        <v>645</v>
      </c>
      <c r="D21" s="19" t="s">
        <v>646</v>
      </c>
      <c r="E21" s="19" t="str">
        <f t="shared" si="5"/>
        <v>Karl Gorton</v>
      </c>
      <c r="F21" s="19" t="s">
        <v>689</v>
      </c>
      <c r="G21" s="184" t="s">
        <v>716</v>
      </c>
      <c r="H21" s="56"/>
      <c r="I21" s="182" t="str">
        <f t="shared" si="4"/>
        <v>BG</v>
      </c>
      <c r="J21" s="10">
        <v>1</v>
      </c>
      <c r="K21" s="169">
        <f t="shared" si="6"/>
        <v>20</v>
      </c>
      <c r="L21" s="196">
        <f t="shared" si="7"/>
        <v>100</v>
      </c>
      <c r="M21" s="34"/>
      <c r="N21" s="34"/>
      <c r="O21" s="7"/>
      <c r="P21" s="34"/>
      <c r="Q21" s="34"/>
      <c r="R21" s="34"/>
      <c r="S21" s="34"/>
      <c r="T21" s="160"/>
      <c r="U21" s="172">
        <v>1</v>
      </c>
      <c r="V21" s="167"/>
      <c r="W21" s="172">
        <v>1</v>
      </c>
      <c r="X21" s="172">
        <v>1</v>
      </c>
      <c r="Y21" s="160"/>
      <c r="Z21" s="160">
        <v>1</v>
      </c>
      <c r="AA21" s="160">
        <v>1</v>
      </c>
      <c r="AB21" s="160"/>
      <c r="AC21" s="167"/>
      <c r="AD21" s="187">
        <v>1</v>
      </c>
      <c r="AE21" s="148">
        <v>1</v>
      </c>
      <c r="AF21" s="34"/>
      <c r="AG21" s="148">
        <v>1</v>
      </c>
      <c r="AH21" s="148">
        <v>1</v>
      </c>
      <c r="AI21" s="148">
        <v>1</v>
      </c>
      <c r="AJ21" s="7">
        <v>1</v>
      </c>
      <c r="AK21" s="148">
        <v>1</v>
      </c>
      <c r="AL21" s="148">
        <v>1</v>
      </c>
      <c r="AM21" s="34"/>
      <c r="AN21" s="148">
        <v>1</v>
      </c>
      <c r="AO21" s="148">
        <v>1</v>
      </c>
      <c r="AP21" s="148">
        <v>1</v>
      </c>
      <c r="AQ21" s="7">
        <v>1</v>
      </c>
      <c r="AR21" s="148">
        <v>1</v>
      </c>
      <c r="AS21" s="148">
        <v>1</v>
      </c>
      <c r="AT21" s="34"/>
      <c r="AU21" s="148">
        <v>1</v>
      </c>
      <c r="AV21" s="34"/>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205" t="s">
        <v>647</v>
      </c>
      <c r="B22" s="206"/>
      <c r="C22" s="206"/>
      <c r="D22" s="206"/>
      <c r="E22" s="206"/>
      <c r="F22" s="206"/>
      <c r="G22" s="206"/>
      <c r="H22" s="207"/>
      <c r="I22" s="183" t="str">
        <f>"#1|" &amp; A22</f>
        <v>#1|Spielerinnen</v>
      </c>
      <c r="J22" s="178"/>
      <c r="K22" s="190">
        <f>SUM(K3:K19) / (17)</f>
        <v>17.647058823529413</v>
      </c>
      <c r="L22" s="189">
        <f t="shared" si="7"/>
        <v>88.235294117647072</v>
      </c>
      <c r="M22" s="150">
        <v>12</v>
      </c>
      <c r="N22" s="150">
        <v>7</v>
      </c>
      <c r="O22" s="166"/>
      <c r="P22" s="188" t="str">
        <f>IF(SUM(P3:P19) &gt; 0, SUM(P3:P19), "")</f>
        <v/>
      </c>
      <c r="Q22" s="150" t="str">
        <f t="shared" ref="Q22:V22" si="8">IF(SUM(Q3:Q19) &gt; 0, SUM(Q3:Q19), "")</f>
        <v/>
      </c>
      <c r="R22" s="150" t="str">
        <f t="shared" si="8"/>
        <v/>
      </c>
      <c r="S22" s="150" t="str">
        <f t="shared" si="8"/>
        <v/>
      </c>
      <c r="T22" s="150" t="str">
        <f t="shared" si="8"/>
        <v/>
      </c>
      <c r="U22" s="150">
        <f t="shared" si="8"/>
        <v>15</v>
      </c>
      <c r="V22" s="166" t="str">
        <f t="shared" si="8"/>
        <v/>
      </c>
      <c r="W22" s="188">
        <f>IF(SUM(W3:W19) &gt; 0, SUM(W3:W19), "")</f>
        <v>12</v>
      </c>
      <c r="X22" s="150">
        <f t="shared" ref="X22:AC22" si="9">IF(SUM(X3:X19) &gt; 0, SUM(X3:X19), "")</f>
        <v>14</v>
      </c>
      <c r="Y22" s="150" t="str">
        <f t="shared" si="9"/>
        <v/>
      </c>
      <c r="Z22" s="150">
        <f t="shared" si="9"/>
        <v>13</v>
      </c>
      <c r="AA22" s="150">
        <f t="shared" si="9"/>
        <v>15</v>
      </c>
      <c r="AB22" s="150" t="str">
        <f t="shared" si="9"/>
        <v/>
      </c>
      <c r="AC22" s="166" t="str">
        <f t="shared" si="9"/>
        <v/>
      </c>
      <c r="AD22" s="188">
        <f>IF(SUM(AD3:AD19) &gt; 0, SUM(AD3:AD19), "")</f>
        <v>17</v>
      </c>
      <c r="AE22" s="150">
        <f t="shared" ref="AE22:AJ22" si="10">IF(SUM(AE3:AE19) &gt; 0, SUM(AE3:AE19), "")</f>
        <v>14</v>
      </c>
      <c r="AF22" s="150" t="str">
        <f t="shared" si="10"/>
        <v/>
      </c>
      <c r="AG22" s="150">
        <f t="shared" si="10"/>
        <v>13</v>
      </c>
      <c r="AH22" s="150">
        <f t="shared" si="10"/>
        <v>15</v>
      </c>
      <c r="AI22" s="150">
        <f t="shared" si="10"/>
        <v>17</v>
      </c>
      <c r="AJ22" s="166">
        <f t="shared" si="10"/>
        <v>17</v>
      </c>
      <c r="AK22" s="188">
        <f>IF(SUM(AK3:AK19) &gt; 0, SUM(AK3:AK19), "")</f>
        <v>16</v>
      </c>
      <c r="AL22" s="150">
        <f t="shared" ref="AL22:AQ22" si="11">IF(SUM(AL3:AL19) &gt; 0, SUM(AL3:AL19), "")</f>
        <v>17</v>
      </c>
      <c r="AM22" s="150" t="str">
        <f t="shared" si="11"/>
        <v/>
      </c>
      <c r="AN22" s="150">
        <f t="shared" si="11"/>
        <v>15</v>
      </c>
      <c r="AO22" s="150">
        <f t="shared" si="11"/>
        <v>13</v>
      </c>
      <c r="AP22" s="150">
        <f t="shared" si="11"/>
        <v>17</v>
      </c>
      <c r="AQ22" s="166">
        <f t="shared" si="11"/>
        <v>14</v>
      </c>
      <c r="AR22" s="188">
        <f>IF(SUM(AR3:AR19) &gt; 0, SUM(AR3:AR19), "")</f>
        <v>14</v>
      </c>
      <c r="AS22" s="150">
        <f t="shared" ref="AS22:AX22" si="12">IF(SUM(AS3:AS19) &gt; 0, SUM(AS3:AS19), "")</f>
        <v>16</v>
      </c>
      <c r="AT22" s="150" t="str">
        <f t="shared" si="12"/>
        <v/>
      </c>
      <c r="AU22" s="150">
        <f t="shared" si="12"/>
        <v>16</v>
      </c>
      <c r="AV22" s="150" t="str">
        <f t="shared" si="12"/>
        <v/>
      </c>
      <c r="AW22" s="150" t="str">
        <f t="shared" si="12"/>
        <v/>
      </c>
      <c r="AX22" s="166" t="str">
        <f t="shared" si="12"/>
        <v/>
      </c>
      <c r="AY22" s="188" t="str">
        <f>IF(SUM(AY3:AY19) &gt; 0, SUM(AY3:AY19), "")</f>
        <v/>
      </c>
      <c r="AZ22" s="150" t="str">
        <f t="shared" ref="AZ22:BE22" si="13">IF(SUM(AZ3:AZ19) &gt; 0, SUM(AZ3:AZ19), "")</f>
        <v/>
      </c>
      <c r="BA22" s="150" t="str">
        <f t="shared" si="13"/>
        <v/>
      </c>
      <c r="BB22" s="150" t="str">
        <f t="shared" si="13"/>
        <v/>
      </c>
      <c r="BC22" s="150" t="str">
        <f t="shared" si="13"/>
        <v/>
      </c>
      <c r="BD22" s="150" t="str">
        <f t="shared" si="13"/>
        <v/>
      </c>
      <c r="BE22" s="166" t="str">
        <f t="shared" si="13"/>
        <v/>
      </c>
      <c r="BF22" s="188" t="str">
        <f>IF(SUM(BF3:BF19) &gt; 0, SUM(BF3:BF19), "")</f>
        <v/>
      </c>
      <c r="BG22" s="150" t="str">
        <f t="shared" ref="BG22:BL22" si="14">IF(SUM(BG3:BG19) &gt; 0, SUM(BG3:BG19), "")</f>
        <v/>
      </c>
      <c r="BH22" s="150" t="str">
        <f t="shared" si="14"/>
        <v/>
      </c>
      <c r="BI22" s="150" t="str">
        <f t="shared" si="14"/>
        <v/>
      </c>
      <c r="BJ22" s="150" t="str">
        <f t="shared" si="14"/>
        <v/>
      </c>
      <c r="BK22" s="150" t="str">
        <f t="shared" si="14"/>
        <v/>
      </c>
      <c r="BL22" s="166" t="str">
        <f t="shared" si="14"/>
        <v/>
      </c>
      <c r="BM22" s="188" t="str">
        <f>IF(SUM(BM3:BM19) &gt; 0, SUM(BM3:BM19), "")</f>
        <v/>
      </c>
      <c r="BN22" s="150" t="str">
        <f t="shared" ref="BN22:BS22" si="15">IF(SUM(BN3:BN19) &gt; 0, SUM(BN3:BN19), "")</f>
        <v/>
      </c>
      <c r="BO22" s="150" t="str">
        <f t="shared" si="15"/>
        <v/>
      </c>
      <c r="BP22" s="150" t="str">
        <f t="shared" si="15"/>
        <v/>
      </c>
      <c r="BQ22" s="150" t="str">
        <f t="shared" si="15"/>
        <v/>
      </c>
      <c r="BR22" s="150" t="str">
        <f t="shared" si="15"/>
        <v/>
      </c>
      <c r="BS22" s="166" t="str">
        <f t="shared" si="15"/>
        <v/>
      </c>
      <c r="BT22" s="188" t="str">
        <f>IF(SUM(BT3:BT19) &gt; 0, SUM(BT3:BT19), "")</f>
        <v/>
      </c>
      <c r="BU22" s="150" t="str">
        <f t="shared" ref="BU22:BZ22" si="16">IF(SUM(BU3:BU19) &gt; 0, SUM(BU3:BU19), "")</f>
        <v/>
      </c>
      <c r="BV22" s="150" t="str">
        <f t="shared" si="16"/>
        <v/>
      </c>
      <c r="BW22" s="150" t="str">
        <f t="shared" si="16"/>
        <v/>
      </c>
      <c r="BX22" s="150" t="str">
        <f t="shared" si="16"/>
        <v/>
      </c>
      <c r="BY22" s="150" t="str">
        <f t="shared" si="16"/>
        <v/>
      </c>
      <c r="BZ22" s="166" t="str">
        <f t="shared" si="16"/>
        <v/>
      </c>
      <c r="CA22" s="188" t="str">
        <f>IF(SUM(CA3:CA19) &gt; 0, SUM(CA3:CA19), "")</f>
        <v/>
      </c>
      <c r="CB22" s="150" t="str">
        <f t="shared" ref="CB22:CG22" si="17">IF(SUM(CB3:CB19) &gt; 0, SUM(CB3:CB19), "")</f>
        <v/>
      </c>
      <c r="CC22" s="150" t="str">
        <f t="shared" si="17"/>
        <v/>
      </c>
      <c r="CD22" s="150" t="str">
        <f t="shared" si="17"/>
        <v/>
      </c>
      <c r="CE22" s="150" t="str">
        <f t="shared" si="17"/>
        <v/>
      </c>
      <c r="CF22" s="150" t="str">
        <f t="shared" si="17"/>
        <v/>
      </c>
      <c r="CG22" s="166" t="str">
        <f t="shared" si="17"/>
        <v/>
      </c>
      <c r="CH22" s="188" t="str">
        <f>IF(SUM(CH3:CH19) &gt; 0, SUM(CH3:CH19), "")</f>
        <v/>
      </c>
      <c r="CI22" s="150" t="str">
        <f t="shared" ref="CI22:CN22" si="18">IF(SUM(CI3:CI19) &gt; 0, SUM(CI3:CI19), "")</f>
        <v/>
      </c>
      <c r="CJ22" s="150" t="str">
        <f t="shared" si="18"/>
        <v/>
      </c>
      <c r="CK22" s="150" t="str">
        <f t="shared" si="18"/>
        <v/>
      </c>
      <c r="CL22" s="150" t="str">
        <f t="shared" si="18"/>
        <v/>
      </c>
      <c r="CM22" s="150" t="str">
        <f t="shared" si="18"/>
        <v/>
      </c>
      <c r="CN22" s="166" t="str">
        <f t="shared" si="18"/>
        <v/>
      </c>
      <c r="CO22" s="188" t="str">
        <f>IF(SUM(CO3:CO19) &gt; 0, SUM(CO3:CO19), "")</f>
        <v/>
      </c>
      <c r="CP22" s="150" t="str">
        <f t="shared" ref="CP22:CU22" si="19">IF(SUM(CP3:CP19) &gt; 0, SUM(CP3:CP19), "")</f>
        <v/>
      </c>
      <c r="CQ22" s="150" t="str">
        <f t="shared" si="19"/>
        <v/>
      </c>
      <c r="CR22" s="150" t="str">
        <f t="shared" si="19"/>
        <v/>
      </c>
      <c r="CS22" s="150" t="str">
        <f t="shared" si="19"/>
        <v/>
      </c>
      <c r="CT22" s="150" t="str">
        <f t="shared" si="19"/>
        <v/>
      </c>
      <c r="CU22" s="166" t="str">
        <f t="shared" si="19"/>
        <v/>
      </c>
      <c r="CV22" s="188" t="str">
        <f>IF(SUM(CV3:CV19) &gt; 0, SUM(CV3:CV19), "")</f>
        <v/>
      </c>
      <c r="CW22" s="150" t="str">
        <f t="shared" ref="CW22:DB22" si="20">IF(SUM(CW3:CW19) &gt; 0, SUM(CW3:CW19), "")</f>
        <v/>
      </c>
      <c r="CX22" s="150" t="str">
        <f t="shared" si="20"/>
        <v/>
      </c>
      <c r="CY22" s="150" t="str">
        <f t="shared" si="20"/>
        <v/>
      </c>
      <c r="CZ22" s="150" t="str">
        <f t="shared" si="20"/>
        <v/>
      </c>
      <c r="DA22" s="150" t="str">
        <f t="shared" si="20"/>
        <v/>
      </c>
      <c r="DB22" s="166" t="str">
        <f t="shared" si="20"/>
        <v/>
      </c>
      <c r="DC22" s="188" t="str">
        <f>IF(SUM(DC3:DC19) &gt; 0, SUM(DC3:DC19), "")</f>
        <v/>
      </c>
      <c r="DD22" s="150" t="str">
        <f t="shared" ref="DD22:DI22" si="21">IF(SUM(DD3:DD19) &gt; 0, SUM(DD3:DD19), "")</f>
        <v/>
      </c>
      <c r="DE22" s="150" t="str">
        <f t="shared" si="21"/>
        <v/>
      </c>
      <c r="DF22" s="150" t="str">
        <f t="shared" si="21"/>
        <v/>
      </c>
      <c r="DG22" s="150" t="str">
        <f t="shared" si="21"/>
        <v/>
      </c>
      <c r="DH22" s="150" t="str">
        <f t="shared" si="21"/>
        <v/>
      </c>
      <c r="DI22" s="166" t="str">
        <f t="shared" si="21"/>
        <v/>
      </c>
      <c r="DJ22" s="188" t="str">
        <f>IF(SUM(DJ3:DJ19) &gt; 0, SUM(DJ3:DJ19), "")</f>
        <v/>
      </c>
      <c r="DK22" s="150" t="str">
        <f t="shared" ref="DK22:DP22" si="22">IF(SUM(DK3:DK19) &gt; 0, SUM(DK3:DK19), "")</f>
        <v/>
      </c>
      <c r="DL22" s="150" t="str">
        <f t="shared" si="22"/>
        <v/>
      </c>
      <c r="DM22" s="150" t="str">
        <f t="shared" si="22"/>
        <v/>
      </c>
      <c r="DN22" s="150" t="str">
        <f t="shared" si="22"/>
        <v/>
      </c>
      <c r="DO22" s="150" t="str">
        <f t="shared" si="22"/>
        <v/>
      </c>
      <c r="DP22" s="166" t="str">
        <f t="shared" si="22"/>
        <v/>
      </c>
      <c r="DQ22" s="188" t="str">
        <f>IF(SUM(DQ3:DQ19) &gt; 0, SUM(DQ3:DQ19), "")</f>
        <v/>
      </c>
      <c r="DR22" s="150" t="str">
        <f t="shared" ref="DR22:DW22" si="23">IF(SUM(DR3:DR19) &gt; 0, SUM(DR3:DR19), "")</f>
        <v/>
      </c>
      <c r="DS22" s="150" t="str">
        <f t="shared" si="23"/>
        <v/>
      </c>
      <c r="DT22" s="150" t="str">
        <f t="shared" si="23"/>
        <v/>
      </c>
      <c r="DU22" s="150" t="str">
        <f t="shared" si="23"/>
        <v/>
      </c>
      <c r="DV22" s="150" t="str">
        <f t="shared" si="23"/>
        <v/>
      </c>
      <c r="DW22" s="166" t="str">
        <f t="shared" si="23"/>
        <v/>
      </c>
      <c r="DX22" s="188" t="str">
        <f>IF(SUM(DX3:DX19) &gt; 0, SUM(DX3:DX19), "")</f>
        <v/>
      </c>
      <c r="DY22" s="150" t="str">
        <f t="shared" ref="DY22:ED22" si="24">IF(SUM(DY3:DY19) &gt; 0, SUM(DY3:DY19), "")</f>
        <v/>
      </c>
      <c r="DZ22" s="150" t="str">
        <f t="shared" si="24"/>
        <v/>
      </c>
      <c r="EA22" s="150" t="str">
        <f t="shared" si="24"/>
        <v/>
      </c>
      <c r="EB22" s="150" t="str">
        <f t="shared" si="24"/>
        <v/>
      </c>
      <c r="EC22" s="150" t="str">
        <f t="shared" si="24"/>
        <v/>
      </c>
      <c r="ED22" s="166" t="str">
        <f t="shared" si="24"/>
        <v/>
      </c>
      <c r="EE22" s="188" t="str">
        <f>IF(SUM(EE3:EE19) &gt; 0, SUM(EE3:EE19), "")</f>
        <v/>
      </c>
      <c r="EF22" s="150" t="str">
        <f t="shared" ref="EF22:EK22" si="25">IF(SUM(EF3:EF19) &gt; 0, SUM(EF3:EF19), "")</f>
        <v/>
      </c>
      <c r="EG22" s="150" t="str">
        <f t="shared" si="25"/>
        <v/>
      </c>
      <c r="EH22" s="150" t="str">
        <f t="shared" si="25"/>
        <v/>
      </c>
      <c r="EI22" s="150" t="str">
        <f t="shared" si="25"/>
        <v/>
      </c>
      <c r="EJ22" s="150" t="str">
        <f t="shared" si="25"/>
        <v/>
      </c>
      <c r="EK22" s="166" t="str">
        <f t="shared" si="25"/>
        <v/>
      </c>
      <c r="EL22" s="188" t="str">
        <f>IF(SUM(EL3:EL19) &gt; 0, SUM(EL3:EL19), "")</f>
        <v/>
      </c>
      <c r="EM22" s="150" t="str">
        <f t="shared" ref="EM22:ER22" si="26">IF(SUM(EM3:EM19) &gt; 0, SUM(EM3:EM19), "")</f>
        <v/>
      </c>
      <c r="EN22" s="150" t="str">
        <f t="shared" si="26"/>
        <v/>
      </c>
      <c r="EO22" s="150" t="str">
        <f t="shared" si="26"/>
        <v/>
      </c>
      <c r="EP22" s="150" t="str">
        <f t="shared" si="26"/>
        <v/>
      </c>
      <c r="EQ22" s="150" t="str">
        <f t="shared" si="26"/>
        <v/>
      </c>
      <c r="ER22" s="166" t="str">
        <f t="shared" si="26"/>
        <v/>
      </c>
      <c r="ES22" s="188" t="str">
        <f>IF(SUM(ES3:ES19) &gt; 0, SUM(ES3:ES19), "")</f>
        <v/>
      </c>
      <c r="ET22" s="150" t="str">
        <f t="shared" ref="ET22:EY22" si="27">IF(SUM(ET3:ET19) &gt; 0, SUM(ET3:ET19), "")</f>
        <v/>
      </c>
      <c r="EU22" s="150" t="str">
        <f t="shared" si="27"/>
        <v/>
      </c>
      <c r="EV22" s="150" t="str">
        <f t="shared" si="27"/>
        <v/>
      </c>
      <c r="EW22" s="150" t="str">
        <f t="shared" si="27"/>
        <v/>
      </c>
      <c r="EX22" s="150" t="str">
        <f t="shared" si="27"/>
        <v/>
      </c>
      <c r="EY22" s="166" t="str">
        <f t="shared" si="27"/>
        <v/>
      </c>
      <c r="EZ22" s="188" t="str">
        <f>IF(SUM(EZ3:EZ19) &gt; 0, SUM(EZ3:EZ19), "")</f>
        <v/>
      </c>
      <c r="FA22" s="150" t="str">
        <f t="shared" ref="FA22:FF22" si="28">IF(SUM(FA3:FA19) &gt; 0, SUM(FA3:FA19), "")</f>
        <v/>
      </c>
      <c r="FB22" s="150" t="str">
        <f t="shared" si="28"/>
        <v/>
      </c>
      <c r="FC22" s="150" t="str">
        <f t="shared" si="28"/>
        <v/>
      </c>
      <c r="FD22" s="150" t="str">
        <f t="shared" si="28"/>
        <v/>
      </c>
      <c r="FE22" s="150" t="str">
        <f t="shared" si="28"/>
        <v/>
      </c>
      <c r="FF22" s="166" t="str">
        <f t="shared" si="28"/>
        <v/>
      </c>
      <c r="FG22" s="188" t="str">
        <f>IF(SUM(FG3:FG19) &gt; 0, SUM(FG3:FG19), "")</f>
        <v/>
      </c>
      <c r="FH22" s="150" t="str">
        <f t="shared" ref="FH22:FM22" si="29">IF(SUM(FH3:FH19) &gt; 0, SUM(FH3:FH19), "")</f>
        <v/>
      </c>
      <c r="FI22" s="150" t="str">
        <f t="shared" si="29"/>
        <v/>
      </c>
      <c r="FJ22" s="150" t="str">
        <f t="shared" si="29"/>
        <v/>
      </c>
      <c r="FK22" s="150" t="str">
        <f t="shared" si="29"/>
        <v/>
      </c>
      <c r="FL22" s="150" t="str">
        <f t="shared" si="29"/>
        <v/>
      </c>
      <c r="FM22" s="166" t="str">
        <f t="shared" si="29"/>
        <v/>
      </c>
      <c r="FN22" s="188" t="str">
        <f>IF(SUM(FN3:FN19) &gt; 0, SUM(FN3:FN19), "")</f>
        <v/>
      </c>
      <c r="FO22" s="150" t="str">
        <f t="shared" ref="FO22:FT22" si="30">IF(SUM(FO3:FO19) &gt; 0, SUM(FO3:FO19), "")</f>
        <v/>
      </c>
      <c r="FP22" s="150" t="str">
        <f t="shared" si="30"/>
        <v/>
      </c>
      <c r="FQ22" s="150" t="str">
        <f t="shared" si="30"/>
        <v/>
      </c>
      <c r="FR22" s="150" t="str">
        <f t="shared" si="30"/>
        <v/>
      </c>
      <c r="FS22" s="150" t="str">
        <f t="shared" si="30"/>
        <v/>
      </c>
      <c r="FT22" s="166" t="str">
        <f t="shared" si="30"/>
        <v/>
      </c>
      <c r="FU22" s="188" t="str">
        <f>IF(SUM(FU3:FU19) &gt; 0, SUM(FU3:FU19), "")</f>
        <v/>
      </c>
      <c r="FV22" s="150" t="str">
        <f t="shared" ref="FV22:GA22" si="31">IF(SUM(FV3:FV19) &gt; 0, SUM(FV3:FV19), "")</f>
        <v/>
      </c>
      <c r="FW22" s="150" t="str">
        <f t="shared" si="31"/>
        <v/>
      </c>
      <c r="FX22" s="150" t="str">
        <f t="shared" si="31"/>
        <v/>
      </c>
      <c r="FY22" s="150" t="str">
        <f t="shared" si="31"/>
        <v/>
      </c>
      <c r="FZ22" s="150" t="str">
        <f t="shared" si="31"/>
        <v/>
      </c>
      <c r="GA22" s="166" t="str">
        <f t="shared" si="31"/>
        <v/>
      </c>
      <c r="GB22" s="188" t="str">
        <f>IF(SUM(GB3:GB19) &gt; 0, SUM(GB3:GB19), "")</f>
        <v/>
      </c>
      <c r="GC22" s="150" t="str">
        <f t="shared" ref="GC22:GH22" si="32">IF(SUM(GC3:GC19) &gt; 0, SUM(GC3:GC19), "")</f>
        <v/>
      </c>
      <c r="GD22" s="150" t="str">
        <f t="shared" si="32"/>
        <v/>
      </c>
      <c r="GE22" s="150" t="str">
        <f t="shared" si="32"/>
        <v/>
      </c>
      <c r="GF22" s="150" t="str">
        <f t="shared" si="32"/>
        <v/>
      </c>
      <c r="GG22" s="150" t="str">
        <f t="shared" si="32"/>
        <v/>
      </c>
      <c r="GH22" s="166" t="str">
        <f t="shared" si="32"/>
        <v/>
      </c>
      <c r="GI22" s="188" t="str">
        <f>IF(SUM(GI3:GI19) &gt; 0, SUM(GI3:GI19), "")</f>
        <v/>
      </c>
      <c r="GJ22" s="150" t="str">
        <f t="shared" ref="GJ22:GO22" si="33">IF(SUM(GJ3:GJ19) &gt; 0, SUM(GJ3:GJ19), "")</f>
        <v/>
      </c>
      <c r="GK22" s="150" t="str">
        <f t="shared" si="33"/>
        <v/>
      </c>
      <c r="GL22" s="150" t="str">
        <f t="shared" si="33"/>
        <v/>
      </c>
      <c r="GM22" s="150" t="str">
        <f t="shared" si="33"/>
        <v/>
      </c>
      <c r="GN22" s="150" t="str">
        <f t="shared" si="33"/>
        <v/>
      </c>
      <c r="GO22" s="166" t="str">
        <f t="shared" si="33"/>
        <v/>
      </c>
      <c r="GP22" s="188" t="str">
        <f>IF(SUM(GP3:GP19) &gt; 0, SUM(GP3:GP19), "")</f>
        <v/>
      </c>
      <c r="GQ22" s="150" t="str">
        <f t="shared" ref="GQ22:GV22" si="34">IF(SUM(GQ3:GQ19) &gt; 0, SUM(GQ3:GQ19), "")</f>
        <v/>
      </c>
      <c r="GR22" s="150" t="str">
        <f t="shared" si="34"/>
        <v/>
      </c>
      <c r="GS22" s="150" t="str">
        <f t="shared" si="34"/>
        <v/>
      </c>
      <c r="GT22" s="150" t="str">
        <f t="shared" si="34"/>
        <v/>
      </c>
      <c r="GU22" s="150" t="str">
        <f t="shared" si="34"/>
        <v/>
      </c>
      <c r="GV22" s="166" t="str">
        <f t="shared" si="34"/>
        <v/>
      </c>
      <c r="GW22" s="188" t="str">
        <f>IF(SUM(GW3:GW19) &gt; 0, SUM(GW3:GW19), "")</f>
        <v/>
      </c>
      <c r="GX22" s="150" t="str">
        <f t="shared" ref="GX22:HC22" si="35">IF(SUM(GX3:GX19) &gt; 0, SUM(GX3:GX19), "")</f>
        <v/>
      </c>
      <c r="GY22" s="150" t="str">
        <f t="shared" si="35"/>
        <v/>
      </c>
      <c r="GZ22" s="150" t="str">
        <f t="shared" si="35"/>
        <v/>
      </c>
      <c r="HA22" s="150" t="str">
        <f t="shared" si="35"/>
        <v/>
      </c>
      <c r="HB22" s="150" t="str">
        <f t="shared" si="35"/>
        <v/>
      </c>
      <c r="HC22" s="166" t="str">
        <f t="shared" si="35"/>
        <v/>
      </c>
      <c r="HD22" s="188" t="str">
        <f>IF(SUM(HD3:HD19) &gt; 0, SUM(HD3:HD19), "")</f>
        <v/>
      </c>
      <c r="HE22" s="150" t="str">
        <f t="shared" ref="HE22:HJ22" si="36">IF(SUM(HE3:HE19) &gt; 0, SUM(HE3:HE19), "")</f>
        <v/>
      </c>
      <c r="HF22" s="150" t="str">
        <f t="shared" si="36"/>
        <v/>
      </c>
      <c r="HG22" s="150" t="str">
        <f t="shared" si="36"/>
        <v/>
      </c>
      <c r="HH22" s="150" t="str">
        <f t="shared" si="36"/>
        <v/>
      </c>
      <c r="HI22" s="150" t="str">
        <f t="shared" si="36"/>
        <v/>
      </c>
      <c r="HJ22" s="166" t="str">
        <f t="shared" si="36"/>
        <v/>
      </c>
      <c r="HK22" s="188" t="str">
        <f>IF(SUM(HK3:HK19) &gt; 0, SUM(HK3:HK19), "")</f>
        <v/>
      </c>
      <c r="HL22" s="150" t="str">
        <f t="shared" ref="HL22:HQ22" si="37">IF(SUM(HL3:HL19) &gt; 0, SUM(HL3:HL19), "")</f>
        <v/>
      </c>
      <c r="HM22" s="150" t="str">
        <f t="shared" si="37"/>
        <v/>
      </c>
      <c r="HN22" s="150" t="str">
        <f t="shared" si="37"/>
        <v/>
      </c>
      <c r="HO22" s="150" t="str">
        <f t="shared" si="37"/>
        <v/>
      </c>
      <c r="HP22" s="150" t="str">
        <f t="shared" si="37"/>
        <v/>
      </c>
      <c r="HQ22" s="166" t="str">
        <f t="shared" si="37"/>
        <v/>
      </c>
      <c r="HR22" s="188" t="str">
        <f>IF(SUM(HR3:HR19) &gt; 0, SUM(HR3:HR19), "")</f>
        <v/>
      </c>
      <c r="HS22" s="150" t="str">
        <f t="shared" ref="HS22:HX22" si="38">IF(SUM(HS3:HS19) &gt; 0, SUM(HS3:HS19), "")</f>
        <v/>
      </c>
      <c r="HT22" s="150" t="str">
        <f t="shared" si="38"/>
        <v/>
      </c>
      <c r="HU22" s="150" t="str">
        <f t="shared" si="38"/>
        <v/>
      </c>
      <c r="HV22" s="150" t="str">
        <f t="shared" si="38"/>
        <v/>
      </c>
      <c r="HW22" s="150" t="str">
        <f t="shared" si="38"/>
        <v/>
      </c>
      <c r="HX22" s="166" t="str">
        <f t="shared" si="38"/>
        <v/>
      </c>
      <c r="HY22" s="188" t="str">
        <f>IF(SUM(HY3:HY19) &gt; 0, SUM(HY3:HY19), "")</f>
        <v/>
      </c>
      <c r="HZ22" s="150" t="str">
        <f t="shared" ref="HZ22:IE22" si="39">IF(SUM(HZ3:HZ19) &gt; 0, SUM(HZ3:HZ19), "")</f>
        <v/>
      </c>
      <c r="IA22" s="150" t="str">
        <f t="shared" si="39"/>
        <v/>
      </c>
      <c r="IB22" s="150" t="str">
        <f t="shared" si="39"/>
        <v/>
      </c>
      <c r="IC22" s="150" t="str">
        <f t="shared" si="39"/>
        <v/>
      </c>
      <c r="ID22" s="150" t="str">
        <f t="shared" si="39"/>
        <v/>
      </c>
      <c r="IE22" s="166" t="str">
        <f t="shared" si="39"/>
        <v/>
      </c>
      <c r="IF22" s="188" t="str">
        <f>IF(SUM(IF3:IF19) &gt; 0, SUM(IF3:IF19), "")</f>
        <v/>
      </c>
      <c r="IG22" s="150" t="str">
        <f t="shared" ref="IG22:IL22" si="40">IF(SUM(IG3:IG19) &gt; 0, SUM(IG3:IG19), "")</f>
        <v/>
      </c>
      <c r="IH22" s="150" t="str">
        <f t="shared" si="40"/>
        <v/>
      </c>
      <c r="II22" s="150" t="str">
        <f t="shared" si="40"/>
        <v/>
      </c>
      <c r="IJ22" s="150" t="str">
        <f t="shared" si="40"/>
        <v/>
      </c>
      <c r="IK22" s="150" t="str">
        <f t="shared" si="40"/>
        <v/>
      </c>
      <c r="IL22" s="166" t="str">
        <f t="shared" si="40"/>
        <v/>
      </c>
      <c r="IM22" s="188" t="str">
        <f>IF(SUM(IM3:IM19) &gt; 0, SUM(IM3:IM19), "")</f>
        <v/>
      </c>
      <c r="IN22" s="150" t="str">
        <f t="shared" ref="IN22:IS22" si="41">IF(SUM(IN3:IN19) &gt; 0, SUM(IN3:IN19), "")</f>
        <v/>
      </c>
      <c r="IO22" s="150" t="str">
        <f t="shared" si="41"/>
        <v/>
      </c>
      <c r="IP22" s="150" t="str">
        <f t="shared" si="41"/>
        <v/>
      </c>
      <c r="IQ22" s="150" t="str">
        <f t="shared" si="41"/>
        <v/>
      </c>
      <c r="IR22" s="150" t="str">
        <f t="shared" si="41"/>
        <v/>
      </c>
      <c r="IS22" s="166" t="str">
        <f t="shared" si="41"/>
        <v/>
      </c>
      <c r="IT22" s="188" t="str">
        <f>IF(SUM(IT3:IT19) &gt; 0, SUM(IT3:IT19), "")</f>
        <v/>
      </c>
      <c r="IU22" s="150" t="str">
        <f t="shared" ref="IU22:IZ22" si="42">IF(SUM(IU3:IU19) &gt; 0, SUM(IU3:IU19), "")</f>
        <v/>
      </c>
      <c r="IV22" s="150" t="str">
        <f t="shared" si="42"/>
        <v/>
      </c>
      <c r="IW22" s="150" t="str">
        <f t="shared" si="42"/>
        <v/>
      </c>
      <c r="IX22" s="150" t="str">
        <f t="shared" si="42"/>
        <v/>
      </c>
      <c r="IY22" s="150" t="str">
        <f t="shared" si="42"/>
        <v/>
      </c>
      <c r="IZ22" s="166" t="str">
        <f t="shared" si="42"/>
        <v/>
      </c>
      <c r="JA22" s="188" t="str">
        <f>IF(SUM(JA3:JA19) &gt; 0, SUM(JA3:JA19), "")</f>
        <v/>
      </c>
      <c r="JB22" s="150" t="str">
        <f t="shared" ref="JB22:JG22" si="43">IF(SUM(JB3:JB19) &gt; 0, SUM(JB3:JB19), "")</f>
        <v/>
      </c>
      <c r="JC22" s="150" t="str">
        <f t="shared" si="43"/>
        <v/>
      </c>
      <c r="JD22" s="150" t="str">
        <f t="shared" si="43"/>
        <v/>
      </c>
      <c r="JE22" s="150" t="str">
        <f t="shared" si="43"/>
        <v/>
      </c>
      <c r="JF22" s="150" t="str">
        <f t="shared" si="43"/>
        <v/>
      </c>
      <c r="JG22" s="166" t="str">
        <f t="shared" si="43"/>
        <v/>
      </c>
    </row>
    <row r="23" spans="1:267" ht="15.75" thickBot="1" x14ac:dyDescent="0.3">
      <c r="A23" s="208" t="s">
        <v>729</v>
      </c>
      <c r="B23" s="209"/>
      <c r="C23" s="209"/>
      <c r="D23" s="209"/>
      <c r="E23" s="209"/>
      <c r="F23" s="209"/>
      <c r="G23" s="209"/>
      <c r="H23" s="210"/>
      <c r="I23" s="182" t="str">
        <f>"#2|" &amp; A23</f>
        <v>#2|Alle</v>
      </c>
      <c r="J23" s="179"/>
      <c r="K23" s="191">
        <f>SUM(K3:K21) / 19</f>
        <v>17.736842105263158</v>
      </c>
      <c r="L23" s="192">
        <f t="shared" si="7"/>
        <v>88.68421052631578</v>
      </c>
      <c r="M23" s="160"/>
      <c r="N23" s="160"/>
      <c r="O23" s="167"/>
      <c r="P23" s="174" t="str">
        <f>IF(SUM(P3:P21) &gt; 0, SUM(P3:P21), "")</f>
        <v/>
      </c>
      <c r="Q23" s="160" t="str">
        <f t="shared" ref="Q23:V23" si="44">IF(SUM(Q3:Q21) &gt; 0, SUM(Q3:Q21), "")</f>
        <v/>
      </c>
      <c r="R23" s="160" t="str">
        <f t="shared" si="44"/>
        <v/>
      </c>
      <c r="S23" s="160" t="str">
        <f t="shared" si="44"/>
        <v/>
      </c>
      <c r="T23" s="160" t="str">
        <f t="shared" si="44"/>
        <v/>
      </c>
      <c r="U23" s="160">
        <f t="shared" si="44"/>
        <v>17</v>
      </c>
      <c r="V23" s="167" t="str">
        <f t="shared" si="44"/>
        <v/>
      </c>
      <c r="W23" s="174">
        <f>IF(SUM(W3:W21) &gt; 0, SUM(W3:W21), "")</f>
        <v>14</v>
      </c>
      <c r="X23" s="160">
        <f t="shared" ref="X23:AC23" si="45">IF(SUM(X3:X21) &gt; 0, SUM(X3:X21), "")</f>
        <v>16</v>
      </c>
      <c r="Y23" s="160" t="str">
        <f t="shared" si="45"/>
        <v/>
      </c>
      <c r="Z23" s="160">
        <f t="shared" si="45"/>
        <v>14</v>
      </c>
      <c r="AA23" s="160">
        <f t="shared" si="45"/>
        <v>16</v>
      </c>
      <c r="AB23" s="160" t="str">
        <f t="shared" si="45"/>
        <v/>
      </c>
      <c r="AC23" s="167" t="str">
        <f t="shared" si="45"/>
        <v/>
      </c>
      <c r="AD23" s="174">
        <f>IF(SUM(AD3:AD21) &gt; 0, SUM(AD3:AD21), "")</f>
        <v>19</v>
      </c>
      <c r="AE23" s="160">
        <f t="shared" ref="AE23:AJ23" si="46">IF(SUM(AE3:AE21) &gt; 0, SUM(AE3:AE21), "")</f>
        <v>16</v>
      </c>
      <c r="AF23" s="160" t="str">
        <f t="shared" si="46"/>
        <v/>
      </c>
      <c r="AG23" s="160">
        <f t="shared" si="46"/>
        <v>14</v>
      </c>
      <c r="AH23" s="160">
        <f t="shared" si="46"/>
        <v>17</v>
      </c>
      <c r="AI23" s="160">
        <f t="shared" si="46"/>
        <v>19</v>
      </c>
      <c r="AJ23" s="167">
        <f t="shared" si="46"/>
        <v>19</v>
      </c>
      <c r="AK23" s="174">
        <f>IF(SUM(AK3:AK21) &gt; 0, SUM(AK3:AK21), "")</f>
        <v>18</v>
      </c>
      <c r="AL23" s="160">
        <f t="shared" ref="AL23:AQ23" si="47">IF(SUM(AL3:AL21) &gt; 0, SUM(AL3:AL21), "")</f>
        <v>19</v>
      </c>
      <c r="AM23" s="160" t="str">
        <f t="shared" si="47"/>
        <v/>
      </c>
      <c r="AN23" s="160">
        <f t="shared" si="47"/>
        <v>17</v>
      </c>
      <c r="AO23" s="160">
        <f t="shared" si="47"/>
        <v>15</v>
      </c>
      <c r="AP23" s="160">
        <f t="shared" si="47"/>
        <v>19</v>
      </c>
      <c r="AQ23" s="167">
        <f t="shared" si="47"/>
        <v>16</v>
      </c>
      <c r="AR23" s="174">
        <f>IF(SUM(AR3:AR21) &gt; 0, SUM(AR3:AR21), "")</f>
        <v>16</v>
      </c>
      <c r="AS23" s="160">
        <f t="shared" ref="AS23:AX23" si="48">IF(SUM(AS3:AS21) &gt; 0, SUM(AS3:AS21), "")</f>
        <v>18</v>
      </c>
      <c r="AT23" s="160" t="str">
        <f t="shared" si="48"/>
        <v/>
      </c>
      <c r="AU23" s="160">
        <f t="shared" si="48"/>
        <v>18</v>
      </c>
      <c r="AV23" s="160" t="str">
        <f t="shared" si="48"/>
        <v/>
      </c>
      <c r="AW23" s="160" t="str">
        <f t="shared" si="48"/>
        <v/>
      </c>
      <c r="AX23" s="167" t="str">
        <f t="shared" si="48"/>
        <v/>
      </c>
      <c r="AY23" s="174" t="str">
        <f>IF(SUM(AY3:AY21) &gt; 0, SUM(AY3:AY21), "")</f>
        <v/>
      </c>
      <c r="AZ23" s="160" t="str">
        <f t="shared" ref="AZ23:BE23" si="49">IF(SUM(AZ3:AZ21) &gt; 0, SUM(AZ3:AZ21), "")</f>
        <v/>
      </c>
      <c r="BA23" s="160" t="str">
        <f t="shared" si="49"/>
        <v/>
      </c>
      <c r="BB23" s="160" t="str">
        <f t="shared" si="49"/>
        <v/>
      </c>
      <c r="BC23" s="160" t="str">
        <f t="shared" si="49"/>
        <v/>
      </c>
      <c r="BD23" s="160" t="str">
        <f t="shared" si="49"/>
        <v/>
      </c>
      <c r="BE23" s="167" t="str">
        <f t="shared" si="49"/>
        <v/>
      </c>
      <c r="BF23" s="174" t="str">
        <f>IF(SUM(BF3:BF21) &gt; 0, SUM(BF3:BF21), "")</f>
        <v/>
      </c>
      <c r="BG23" s="160" t="str">
        <f t="shared" ref="BG23:BL23" si="50">IF(SUM(BG3:BG21) &gt; 0, SUM(BG3:BG21), "")</f>
        <v/>
      </c>
      <c r="BH23" s="160" t="str">
        <f t="shared" si="50"/>
        <v/>
      </c>
      <c r="BI23" s="160" t="str">
        <f t="shared" si="50"/>
        <v/>
      </c>
      <c r="BJ23" s="160" t="str">
        <f t="shared" si="50"/>
        <v/>
      </c>
      <c r="BK23" s="160" t="str">
        <f t="shared" si="50"/>
        <v/>
      </c>
      <c r="BL23" s="167" t="str">
        <f t="shared" si="50"/>
        <v/>
      </c>
      <c r="BM23" s="174" t="str">
        <f>IF(SUM(BM3:BM21) &gt; 0, SUM(BM3:BM21), "")</f>
        <v/>
      </c>
      <c r="BN23" s="160" t="str">
        <f t="shared" ref="BN23:BS23" si="51">IF(SUM(BN3:BN21) &gt; 0, SUM(BN3:BN21), "")</f>
        <v/>
      </c>
      <c r="BO23" s="160" t="str">
        <f t="shared" si="51"/>
        <v/>
      </c>
      <c r="BP23" s="160" t="str">
        <f t="shared" si="51"/>
        <v/>
      </c>
      <c r="BQ23" s="160" t="str">
        <f t="shared" si="51"/>
        <v/>
      </c>
      <c r="BR23" s="160" t="str">
        <f t="shared" si="51"/>
        <v/>
      </c>
      <c r="BS23" s="167" t="str">
        <f t="shared" si="51"/>
        <v/>
      </c>
      <c r="BT23" s="174" t="str">
        <f>IF(SUM(BT3:BT21) &gt; 0, SUM(BT3:BT21), "")</f>
        <v/>
      </c>
      <c r="BU23" s="160" t="str">
        <f t="shared" ref="BU23:BZ23" si="52">IF(SUM(BU3:BU21) &gt; 0, SUM(BU3:BU21), "")</f>
        <v/>
      </c>
      <c r="BV23" s="160" t="str">
        <f t="shared" si="52"/>
        <v/>
      </c>
      <c r="BW23" s="160" t="str">
        <f t="shared" si="52"/>
        <v/>
      </c>
      <c r="BX23" s="160" t="str">
        <f t="shared" si="52"/>
        <v/>
      </c>
      <c r="BY23" s="160" t="str">
        <f t="shared" si="52"/>
        <v/>
      </c>
      <c r="BZ23" s="167" t="str">
        <f t="shared" si="52"/>
        <v/>
      </c>
      <c r="CA23" s="174" t="str">
        <f>IF(SUM(CA3:CA21) &gt; 0, SUM(CA3:CA21), "")</f>
        <v/>
      </c>
      <c r="CB23" s="160" t="str">
        <f t="shared" ref="CB23:CG23" si="53">IF(SUM(CB3:CB21) &gt; 0, SUM(CB3:CB21), "")</f>
        <v/>
      </c>
      <c r="CC23" s="160" t="str">
        <f t="shared" si="53"/>
        <v/>
      </c>
      <c r="CD23" s="160" t="str">
        <f t="shared" si="53"/>
        <v/>
      </c>
      <c r="CE23" s="160" t="str">
        <f t="shared" si="53"/>
        <v/>
      </c>
      <c r="CF23" s="160" t="str">
        <f t="shared" si="53"/>
        <v/>
      </c>
      <c r="CG23" s="167" t="str">
        <f t="shared" si="53"/>
        <v/>
      </c>
      <c r="CH23" s="174" t="str">
        <f>IF(SUM(CH3:CH21) &gt; 0, SUM(CH3:CH21), "")</f>
        <v/>
      </c>
      <c r="CI23" s="160" t="str">
        <f t="shared" ref="CI23:CN23" si="54">IF(SUM(CI3:CI21) &gt; 0, SUM(CI3:CI21), "")</f>
        <v/>
      </c>
      <c r="CJ23" s="160" t="str">
        <f t="shared" si="54"/>
        <v/>
      </c>
      <c r="CK23" s="160" t="str">
        <f t="shared" si="54"/>
        <v/>
      </c>
      <c r="CL23" s="160" t="str">
        <f t="shared" si="54"/>
        <v/>
      </c>
      <c r="CM23" s="160" t="str">
        <f t="shared" si="54"/>
        <v/>
      </c>
      <c r="CN23" s="167" t="str">
        <f t="shared" si="54"/>
        <v/>
      </c>
      <c r="CO23" s="174" t="str">
        <f>IF(SUM(CO3:CO21) &gt; 0, SUM(CO3:CO21), "")</f>
        <v/>
      </c>
      <c r="CP23" s="160" t="str">
        <f t="shared" ref="CP23:CU23" si="55">IF(SUM(CP3:CP21) &gt; 0, SUM(CP3:CP21), "")</f>
        <v/>
      </c>
      <c r="CQ23" s="160" t="str">
        <f t="shared" si="55"/>
        <v/>
      </c>
      <c r="CR23" s="160" t="str">
        <f t="shared" si="55"/>
        <v/>
      </c>
      <c r="CS23" s="160" t="str">
        <f t="shared" si="55"/>
        <v/>
      </c>
      <c r="CT23" s="160" t="str">
        <f t="shared" si="55"/>
        <v/>
      </c>
      <c r="CU23" s="167" t="str">
        <f t="shared" si="55"/>
        <v/>
      </c>
      <c r="CV23" s="174" t="str">
        <f>IF(SUM(CV3:CV21) &gt; 0, SUM(CV3:CV21), "")</f>
        <v/>
      </c>
      <c r="CW23" s="160" t="str">
        <f t="shared" ref="CW23:DB23" si="56">IF(SUM(CW3:CW21) &gt; 0, SUM(CW3:CW21), "")</f>
        <v/>
      </c>
      <c r="CX23" s="160" t="str">
        <f t="shared" si="56"/>
        <v/>
      </c>
      <c r="CY23" s="160" t="str">
        <f t="shared" si="56"/>
        <v/>
      </c>
      <c r="CZ23" s="160" t="str">
        <f t="shared" si="56"/>
        <v/>
      </c>
      <c r="DA23" s="160" t="str">
        <f t="shared" si="56"/>
        <v/>
      </c>
      <c r="DB23" s="167" t="str">
        <f t="shared" si="56"/>
        <v/>
      </c>
      <c r="DC23" s="174" t="str">
        <f>IF(SUM(DC3:DC21) &gt; 0, SUM(DC3:DC21), "")</f>
        <v/>
      </c>
      <c r="DD23" s="160" t="str">
        <f t="shared" ref="DD23:DI23" si="57">IF(SUM(DD3:DD21) &gt; 0, SUM(DD3:DD21), "")</f>
        <v/>
      </c>
      <c r="DE23" s="160" t="str">
        <f t="shared" si="57"/>
        <v/>
      </c>
      <c r="DF23" s="160" t="str">
        <f t="shared" si="57"/>
        <v/>
      </c>
      <c r="DG23" s="160" t="str">
        <f t="shared" si="57"/>
        <v/>
      </c>
      <c r="DH23" s="160" t="str">
        <f t="shared" si="57"/>
        <v/>
      </c>
      <c r="DI23" s="167" t="str">
        <f t="shared" si="57"/>
        <v/>
      </c>
      <c r="DJ23" s="174" t="str">
        <f>IF(SUM(DJ3:DJ21) &gt; 0, SUM(DJ3:DJ21), "")</f>
        <v/>
      </c>
      <c r="DK23" s="160" t="str">
        <f t="shared" ref="DK23:DP23" si="58">IF(SUM(DK3:DK21) &gt; 0, SUM(DK3:DK21), "")</f>
        <v/>
      </c>
      <c r="DL23" s="160" t="str">
        <f t="shared" si="58"/>
        <v/>
      </c>
      <c r="DM23" s="160" t="str">
        <f t="shared" si="58"/>
        <v/>
      </c>
      <c r="DN23" s="160" t="str">
        <f t="shared" si="58"/>
        <v/>
      </c>
      <c r="DO23" s="160" t="str">
        <f t="shared" si="58"/>
        <v/>
      </c>
      <c r="DP23" s="167" t="str">
        <f t="shared" si="58"/>
        <v/>
      </c>
      <c r="DQ23" s="174" t="str">
        <f>IF(SUM(DQ3:DQ21) &gt; 0, SUM(DQ3:DQ21), "")</f>
        <v/>
      </c>
      <c r="DR23" s="160" t="str">
        <f t="shared" ref="DR23:DW23" si="59">IF(SUM(DR3:DR21) &gt; 0, SUM(DR3:DR21), "")</f>
        <v/>
      </c>
      <c r="DS23" s="160" t="str">
        <f t="shared" si="59"/>
        <v/>
      </c>
      <c r="DT23" s="160" t="str">
        <f t="shared" si="59"/>
        <v/>
      </c>
      <c r="DU23" s="160" t="str">
        <f t="shared" si="59"/>
        <v/>
      </c>
      <c r="DV23" s="160" t="str">
        <f t="shared" si="59"/>
        <v/>
      </c>
      <c r="DW23" s="167" t="str">
        <f t="shared" si="59"/>
        <v/>
      </c>
      <c r="DX23" s="174" t="str">
        <f>IF(SUM(DX3:DX21) &gt; 0, SUM(DX3:DX21), "")</f>
        <v/>
      </c>
      <c r="DY23" s="160" t="str">
        <f t="shared" ref="DY23:ED23" si="60">IF(SUM(DY3:DY21) &gt; 0, SUM(DY3:DY21), "")</f>
        <v/>
      </c>
      <c r="DZ23" s="160" t="str">
        <f t="shared" si="60"/>
        <v/>
      </c>
      <c r="EA23" s="160" t="str">
        <f t="shared" si="60"/>
        <v/>
      </c>
      <c r="EB23" s="160" t="str">
        <f t="shared" si="60"/>
        <v/>
      </c>
      <c r="EC23" s="160" t="str">
        <f t="shared" si="60"/>
        <v/>
      </c>
      <c r="ED23" s="167" t="str">
        <f t="shared" si="60"/>
        <v/>
      </c>
      <c r="EE23" s="174" t="str">
        <f>IF(SUM(EE3:EE21) &gt; 0, SUM(EE3:EE21), "")</f>
        <v/>
      </c>
      <c r="EF23" s="160" t="str">
        <f t="shared" ref="EF23:EK23" si="61">IF(SUM(EF3:EF21) &gt; 0, SUM(EF3:EF21), "")</f>
        <v/>
      </c>
      <c r="EG23" s="160" t="str">
        <f t="shared" si="61"/>
        <v/>
      </c>
      <c r="EH23" s="160" t="str">
        <f t="shared" si="61"/>
        <v/>
      </c>
      <c r="EI23" s="160" t="str">
        <f t="shared" si="61"/>
        <v/>
      </c>
      <c r="EJ23" s="160" t="str">
        <f t="shared" si="61"/>
        <v/>
      </c>
      <c r="EK23" s="167" t="str">
        <f t="shared" si="61"/>
        <v/>
      </c>
      <c r="EL23" s="174" t="str">
        <f>IF(SUM(EL3:EL21) &gt; 0, SUM(EL3:EL21), "")</f>
        <v/>
      </c>
      <c r="EM23" s="160" t="str">
        <f t="shared" ref="EM23:ER23" si="62">IF(SUM(EM3:EM21) &gt; 0, SUM(EM3:EM21), "")</f>
        <v/>
      </c>
      <c r="EN23" s="160" t="str">
        <f t="shared" si="62"/>
        <v/>
      </c>
      <c r="EO23" s="160" t="str">
        <f t="shared" si="62"/>
        <v/>
      </c>
      <c r="EP23" s="160" t="str">
        <f t="shared" si="62"/>
        <v/>
      </c>
      <c r="EQ23" s="160" t="str">
        <f t="shared" si="62"/>
        <v/>
      </c>
      <c r="ER23" s="167" t="str">
        <f t="shared" si="62"/>
        <v/>
      </c>
      <c r="ES23" s="174" t="str">
        <f>IF(SUM(ES3:ES21) &gt; 0, SUM(ES3:ES21), "")</f>
        <v/>
      </c>
      <c r="ET23" s="160" t="str">
        <f t="shared" ref="ET23:EY23" si="63">IF(SUM(ET3:ET21) &gt; 0, SUM(ET3:ET21), "")</f>
        <v/>
      </c>
      <c r="EU23" s="160" t="str">
        <f t="shared" si="63"/>
        <v/>
      </c>
      <c r="EV23" s="160" t="str">
        <f t="shared" si="63"/>
        <v/>
      </c>
      <c r="EW23" s="160" t="str">
        <f t="shared" si="63"/>
        <v/>
      </c>
      <c r="EX23" s="160" t="str">
        <f t="shared" si="63"/>
        <v/>
      </c>
      <c r="EY23" s="167" t="str">
        <f t="shared" si="63"/>
        <v/>
      </c>
      <c r="EZ23" s="174" t="str">
        <f>IF(SUM(EZ3:EZ21) &gt; 0, SUM(EZ3:EZ21), "")</f>
        <v/>
      </c>
      <c r="FA23" s="160" t="str">
        <f t="shared" ref="FA23:FF23" si="64">IF(SUM(FA3:FA21) &gt; 0, SUM(FA3:FA21), "")</f>
        <v/>
      </c>
      <c r="FB23" s="160" t="str">
        <f t="shared" si="64"/>
        <v/>
      </c>
      <c r="FC23" s="160" t="str">
        <f t="shared" si="64"/>
        <v/>
      </c>
      <c r="FD23" s="160" t="str">
        <f t="shared" si="64"/>
        <v/>
      </c>
      <c r="FE23" s="160" t="str">
        <f t="shared" si="64"/>
        <v/>
      </c>
      <c r="FF23" s="167" t="str">
        <f t="shared" si="64"/>
        <v/>
      </c>
      <c r="FG23" s="174" t="str">
        <f>IF(SUM(FG3:FG21) &gt; 0, SUM(FG3:FG21), "")</f>
        <v/>
      </c>
      <c r="FH23" s="160" t="str">
        <f t="shared" ref="FH23:FM23" si="65">IF(SUM(FH3:FH21) &gt; 0, SUM(FH3:FH21), "")</f>
        <v/>
      </c>
      <c r="FI23" s="160" t="str">
        <f t="shared" si="65"/>
        <v/>
      </c>
      <c r="FJ23" s="160" t="str">
        <f t="shared" si="65"/>
        <v/>
      </c>
      <c r="FK23" s="160" t="str">
        <f t="shared" si="65"/>
        <v/>
      </c>
      <c r="FL23" s="160" t="str">
        <f t="shared" si="65"/>
        <v/>
      </c>
      <c r="FM23" s="167" t="str">
        <f t="shared" si="65"/>
        <v/>
      </c>
      <c r="FN23" s="174" t="str">
        <f>IF(SUM(FN3:FN21) &gt; 0, SUM(FN3:FN21), "")</f>
        <v/>
      </c>
      <c r="FO23" s="160" t="str">
        <f t="shared" ref="FO23:FT23" si="66">IF(SUM(FO3:FO21) &gt; 0, SUM(FO3:FO21), "")</f>
        <v/>
      </c>
      <c r="FP23" s="160" t="str">
        <f t="shared" si="66"/>
        <v/>
      </c>
      <c r="FQ23" s="160" t="str">
        <f t="shared" si="66"/>
        <v/>
      </c>
      <c r="FR23" s="160" t="str">
        <f t="shared" si="66"/>
        <v/>
      </c>
      <c r="FS23" s="160" t="str">
        <f t="shared" si="66"/>
        <v/>
      </c>
      <c r="FT23" s="167" t="str">
        <f t="shared" si="66"/>
        <v/>
      </c>
      <c r="FU23" s="174" t="str">
        <f>IF(SUM(FU3:FU21) &gt; 0, SUM(FU3:FU21), "")</f>
        <v/>
      </c>
      <c r="FV23" s="160" t="str">
        <f t="shared" ref="FV23:GA23" si="67">IF(SUM(FV3:FV21) &gt; 0, SUM(FV3:FV21), "")</f>
        <v/>
      </c>
      <c r="FW23" s="160" t="str">
        <f t="shared" si="67"/>
        <v/>
      </c>
      <c r="FX23" s="160" t="str">
        <f t="shared" si="67"/>
        <v/>
      </c>
      <c r="FY23" s="160" t="str">
        <f t="shared" si="67"/>
        <v/>
      </c>
      <c r="FZ23" s="160" t="str">
        <f t="shared" si="67"/>
        <v/>
      </c>
      <c r="GA23" s="167" t="str">
        <f t="shared" si="67"/>
        <v/>
      </c>
      <c r="GB23" s="174" t="str">
        <f>IF(SUM(GB3:GB21) &gt; 0, SUM(GB3:GB21), "")</f>
        <v/>
      </c>
      <c r="GC23" s="160" t="str">
        <f t="shared" ref="GC23:GH23" si="68">IF(SUM(GC3:GC21) &gt; 0, SUM(GC3:GC21), "")</f>
        <v/>
      </c>
      <c r="GD23" s="160" t="str">
        <f t="shared" si="68"/>
        <v/>
      </c>
      <c r="GE23" s="160" t="str">
        <f t="shared" si="68"/>
        <v/>
      </c>
      <c r="GF23" s="160" t="str">
        <f t="shared" si="68"/>
        <v/>
      </c>
      <c r="GG23" s="160" t="str">
        <f t="shared" si="68"/>
        <v/>
      </c>
      <c r="GH23" s="167" t="str">
        <f t="shared" si="68"/>
        <v/>
      </c>
      <c r="GI23" s="174" t="str">
        <f>IF(SUM(GI3:GI21) &gt; 0, SUM(GI3:GI21), "")</f>
        <v/>
      </c>
      <c r="GJ23" s="160" t="str">
        <f t="shared" ref="GJ23:GO23" si="69">IF(SUM(GJ3:GJ21) &gt; 0, SUM(GJ3:GJ21), "")</f>
        <v/>
      </c>
      <c r="GK23" s="160" t="str">
        <f t="shared" si="69"/>
        <v/>
      </c>
      <c r="GL23" s="160" t="str">
        <f t="shared" si="69"/>
        <v/>
      </c>
      <c r="GM23" s="160" t="str">
        <f t="shared" si="69"/>
        <v/>
      </c>
      <c r="GN23" s="160" t="str">
        <f t="shared" si="69"/>
        <v/>
      </c>
      <c r="GO23" s="167" t="str">
        <f t="shared" si="69"/>
        <v/>
      </c>
      <c r="GP23" s="174" t="str">
        <f>IF(SUM(GP3:GP21) &gt; 0, SUM(GP3:GP21), "")</f>
        <v/>
      </c>
      <c r="GQ23" s="160" t="str">
        <f t="shared" ref="GQ23:GV23" si="70">IF(SUM(GQ3:GQ21) &gt; 0, SUM(GQ3:GQ21), "")</f>
        <v/>
      </c>
      <c r="GR23" s="160" t="str">
        <f t="shared" si="70"/>
        <v/>
      </c>
      <c r="GS23" s="160" t="str">
        <f t="shared" si="70"/>
        <v/>
      </c>
      <c r="GT23" s="160" t="str">
        <f t="shared" si="70"/>
        <v/>
      </c>
      <c r="GU23" s="160" t="str">
        <f t="shared" si="70"/>
        <v/>
      </c>
      <c r="GV23" s="167" t="str">
        <f t="shared" si="70"/>
        <v/>
      </c>
      <c r="GW23" s="174" t="str">
        <f>IF(SUM(GW3:GW21) &gt; 0, SUM(GW3:GW21), "")</f>
        <v/>
      </c>
      <c r="GX23" s="160" t="str">
        <f t="shared" ref="GX23:HC23" si="71">IF(SUM(GX3:GX21) &gt; 0, SUM(GX3:GX21), "")</f>
        <v/>
      </c>
      <c r="GY23" s="160" t="str">
        <f t="shared" si="71"/>
        <v/>
      </c>
      <c r="GZ23" s="160" t="str">
        <f t="shared" si="71"/>
        <v/>
      </c>
      <c r="HA23" s="160" t="str">
        <f t="shared" si="71"/>
        <v/>
      </c>
      <c r="HB23" s="160" t="str">
        <f t="shared" si="71"/>
        <v/>
      </c>
      <c r="HC23" s="167" t="str">
        <f t="shared" si="71"/>
        <v/>
      </c>
      <c r="HD23" s="174" t="str">
        <f>IF(SUM(HD3:HD21) &gt; 0, SUM(HD3:HD21), "")</f>
        <v/>
      </c>
      <c r="HE23" s="160" t="str">
        <f t="shared" ref="HE23:HJ23" si="72">IF(SUM(HE3:HE21) &gt; 0, SUM(HE3:HE21), "")</f>
        <v/>
      </c>
      <c r="HF23" s="160" t="str">
        <f t="shared" si="72"/>
        <v/>
      </c>
      <c r="HG23" s="160" t="str">
        <f t="shared" si="72"/>
        <v/>
      </c>
      <c r="HH23" s="160" t="str">
        <f t="shared" si="72"/>
        <v/>
      </c>
      <c r="HI23" s="160" t="str">
        <f t="shared" si="72"/>
        <v/>
      </c>
      <c r="HJ23" s="167" t="str">
        <f t="shared" si="72"/>
        <v/>
      </c>
      <c r="HK23" s="174" t="str">
        <f>IF(SUM(HK3:HK21) &gt; 0, SUM(HK3:HK21), "")</f>
        <v/>
      </c>
      <c r="HL23" s="160" t="str">
        <f t="shared" ref="HL23:HQ23" si="73">IF(SUM(HL3:HL21) &gt; 0, SUM(HL3:HL21), "")</f>
        <v/>
      </c>
      <c r="HM23" s="160" t="str">
        <f t="shared" si="73"/>
        <v/>
      </c>
      <c r="HN23" s="160" t="str">
        <f t="shared" si="73"/>
        <v/>
      </c>
      <c r="HO23" s="160" t="str">
        <f t="shared" si="73"/>
        <v/>
      </c>
      <c r="HP23" s="160" t="str">
        <f t="shared" si="73"/>
        <v/>
      </c>
      <c r="HQ23" s="167" t="str">
        <f t="shared" si="73"/>
        <v/>
      </c>
      <c r="HR23" s="174" t="str">
        <f>IF(SUM(HR3:HR21) &gt; 0, SUM(HR3:HR21), "")</f>
        <v/>
      </c>
      <c r="HS23" s="160" t="str">
        <f t="shared" ref="HS23:HX23" si="74">IF(SUM(HS3:HS21) &gt; 0, SUM(HS3:HS21), "")</f>
        <v/>
      </c>
      <c r="HT23" s="160" t="str">
        <f t="shared" si="74"/>
        <v/>
      </c>
      <c r="HU23" s="160" t="str">
        <f t="shared" si="74"/>
        <v/>
      </c>
      <c r="HV23" s="160" t="str">
        <f t="shared" si="74"/>
        <v/>
      </c>
      <c r="HW23" s="160" t="str">
        <f t="shared" si="74"/>
        <v/>
      </c>
      <c r="HX23" s="167" t="str">
        <f t="shared" si="74"/>
        <v/>
      </c>
      <c r="HY23" s="174" t="str">
        <f>IF(SUM(HY3:HY21) &gt; 0, SUM(HY3:HY21), "")</f>
        <v/>
      </c>
      <c r="HZ23" s="160" t="str">
        <f t="shared" ref="HZ23:IE23" si="75">IF(SUM(HZ3:HZ21) &gt; 0, SUM(HZ3:HZ21), "")</f>
        <v/>
      </c>
      <c r="IA23" s="160" t="str">
        <f t="shared" si="75"/>
        <v/>
      </c>
      <c r="IB23" s="160" t="str">
        <f t="shared" si="75"/>
        <v/>
      </c>
      <c r="IC23" s="160" t="str">
        <f t="shared" si="75"/>
        <v/>
      </c>
      <c r="ID23" s="160" t="str">
        <f t="shared" si="75"/>
        <v/>
      </c>
      <c r="IE23" s="167" t="str">
        <f t="shared" si="75"/>
        <v/>
      </c>
      <c r="IF23" s="174" t="str">
        <f>IF(SUM(IF3:IF21) &gt; 0, SUM(IF3:IF21), "")</f>
        <v/>
      </c>
      <c r="IG23" s="160" t="str">
        <f t="shared" ref="IG23:IL23" si="76">IF(SUM(IG3:IG21) &gt; 0, SUM(IG3:IG21), "")</f>
        <v/>
      </c>
      <c r="IH23" s="160" t="str">
        <f t="shared" si="76"/>
        <v/>
      </c>
      <c r="II23" s="160" t="str">
        <f t="shared" si="76"/>
        <v/>
      </c>
      <c r="IJ23" s="160" t="str">
        <f t="shared" si="76"/>
        <v/>
      </c>
      <c r="IK23" s="160" t="str">
        <f t="shared" si="76"/>
        <v/>
      </c>
      <c r="IL23" s="167" t="str">
        <f t="shared" si="76"/>
        <v/>
      </c>
      <c r="IM23" s="174" t="str">
        <f>IF(SUM(IM3:IM21) &gt; 0, SUM(IM3:IM21), "")</f>
        <v/>
      </c>
      <c r="IN23" s="160" t="str">
        <f t="shared" ref="IN23:IS23" si="77">IF(SUM(IN3:IN21) &gt; 0, SUM(IN3:IN21), "")</f>
        <v/>
      </c>
      <c r="IO23" s="160" t="str">
        <f t="shared" si="77"/>
        <v/>
      </c>
      <c r="IP23" s="160" t="str">
        <f t="shared" si="77"/>
        <v/>
      </c>
      <c r="IQ23" s="160" t="str">
        <f t="shared" si="77"/>
        <v/>
      </c>
      <c r="IR23" s="160" t="str">
        <f t="shared" si="77"/>
        <v/>
      </c>
      <c r="IS23" s="167" t="str">
        <f t="shared" si="77"/>
        <v/>
      </c>
      <c r="IT23" s="174" t="str">
        <f>IF(SUM(IT3:IT21) &gt; 0, SUM(IT3:IT21), "")</f>
        <v/>
      </c>
      <c r="IU23" s="160" t="str">
        <f t="shared" ref="IU23:IZ23" si="78">IF(SUM(IU3:IU21) &gt; 0, SUM(IU3:IU21), "")</f>
        <v/>
      </c>
      <c r="IV23" s="160" t="str">
        <f t="shared" si="78"/>
        <v/>
      </c>
      <c r="IW23" s="160" t="str">
        <f t="shared" si="78"/>
        <v/>
      </c>
      <c r="IX23" s="160" t="str">
        <f t="shared" si="78"/>
        <v/>
      </c>
      <c r="IY23" s="160" t="str">
        <f t="shared" si="78"/>
        <v/>
      </c>
      <c r="IZ23" s="167" t="str">
        <f t="shared" si="78"/>
        <v/>
      </c>
      <c r="JA23" s="174" t="str">
        <f>IF(SUM(JA3:JA21) &gt; 0, SUM(JA3:JA21), "")</f>
        <v/>
      </c>
      <c r="JB23" s="160" t="str">
        <f t="shared" ref="JB23:JG23" si="79">IF(SUM(JB3:JB21) &gt; 0, SUM(JB3:JB21), "")</f>
        <v/>
      </c>
      <c r="JC23" s="160" t="str">
        <f t="shared" si="79"/>
        <v/>
      </c>
      <c r="JD23" s="160" t="str">
        <f t="shared" si="79"/>
        <v/>
      </c>
      <c r="JE23" s="160" t="str">
        <f t="shared" si="79"/>
        <v/>
      </c>
      <c r="JF23" s="160" t="str">
        <f t="shared" si="79"/>
        <v/>
      </c>
      <c r="JG23" s="167" t="str">
        <f t="shared" si="79"/>
        <v/>
      </c>
    </row>
    <row r="24" spans="1:267" ht="15.75" thickBot="1" x14ac:dyDescent="0.3">
      <c r="A24" s="110" t="s">
        <v>18</v>
      </c>
      <c r="B24" s="16" t="s">
        <v>648</v>
      </c>
      <c r="C24" s="16" t="s">
        <v>648</v>
      </c>
      <c r="D24" s="16" t="s">
        <v>648</v>
      </c>
      <c r="E24" s="16"/>
      <c r="F24" s="16"/>
      <c r="G24" s="16"/>
      <c r="H24" s="17" t="s">
        <v>648</v>
      </c>
      <c r="I24" s="180"/>
      <c r="J24" s="186" t="s">
        <v>648</v>
      </c>
      <c r="K24" s="180">
        <f t="shared" ref="K24" si="80">SUM(M24:IU24)</f>
        <v>20</v>
      </c>
      <c r="L24" s="173" t="s">
        <v>648</v>
      </c>
      <c r="M24" s="171"/>
      <c r="N24" s="171"/>
      <c r="O24" s="173"/>
      <c r="P24" s="171"/>
      <c r="Q24" s="171"/>
      <c r="R24" s="171"/>
      <c r="S24" s="171"/>
      <c r="T24" s="168"/>
      <c r="U24" s="168">
        <v>1</v>
      </c>
      <c r="V24" s="173"/>
      <c r="W24" s="168">
        <v>1</v>
      </c>
      <c r="X24" s="168">
        <v>1</v>
      </c>
      <c r="Y24" s="168"/>
      <c r="Z24" s="168">
        <v>1</v>
      </c>
      <c r="AA24" s="168">
        <v>1</v>
      </c>
      <c r="AB24" s="168"/>
      <c r="AC24" s="173"/>
      <c r="AD24" s="171">
        <v>1</v>
      </c>
      <c r="AE24" s="171">
        <v>1</v>
      </c>
      <c r="AF24" s="171"/>
      <c r="AG24" s="171">
        <v>1</v>
      </c>
      <c r="AH24" s="171">
        <v>1</v>
      </c>
      <c r="AI24" s="171">
        <v>1</v>
      </c>
      <c r="AJ24" s="173">
        <v>1</v>
      </c>
      <c r="AK24" s="171">
        <v>1</v>
      </c>
      <c r="AL24" s="171">
        <v>1</v>
      </c>
      <c r="AM24" s="171"/>
      <c r="AN24" s="171">
        <v>1</v>
      </c>
      <c r="AO24" s="171">
        <v>1</v>
      </c>
      <c r="AP24" s="171">
        <v>1</v>
      </c>
      <c r="AQ24" s="173">
        <v>1</v>
      </c>
      <c r="AR24" s="171">
        <v>1</v>
      </c>
      <c r="AS24" s="171">
        <v>1</v>
      </c>
      <c r="AT24" s="171"/>
      <c r="AU24" s="171">
        <v>1</v>
      </c>
      <c r="AV24" s="171"/>
      <c r="AW24" s="171"/>
      <c r="AX24" s="173"/>
      <c r="AY24" s="171"/>
      <c r="AZ24" s="171"/>
      <c r="BA24" s="171"/>
      <c r="BB24" s="171"/>
      <c r="BC24" s="171"/>
      <c r="BD24" s="171"/>
      <c r="BE24" s="173"/>
      <c r="BF24" s="171"/>
      <c r="BG24" s="171"/>
      <c r="BH24" s="171"/>
      <c r="BI24" s="171"/>
      <c r="BJ24" s="171"/>
      <c r="BK24" s="171"/>
      <c r="BL24" s="173"/>
      <c r="BM24" s="171"/>
      <c r="BN24" s="171"/>
      <c r="BO24" s="171"/>
      <c r="BP24" s="171"/>
      <c r="BQ24" s="171"/>
      <c r="BR24" s="171"/>
      <c r="BS24" s="173"/>
      <c r="BT24" s="171"/>
      <c r="BU24" s="171"/>
      <c r="BV24" s="171"/>
      <c r="BW24" s="171"/>
      <c r="BX24" s="171"/>
      <c r="BY24" s="171"/>
      <c r="BZ24" s="173"/>
      <c r="CA24" s="171"/>
      <c r="CB24" s="171"/>
      <c r="CC24" s="171"/>
      <c r="CD24" s="171"/>
      <c r="CE24" s="171"/>
      <c r="CF24" s="171"/>
      <c r="CG24" s="173"/>
      <c r="CH24" s="171"/>
      <c r="CI24" s="171"/>
      <c r="CJ24" s="171"/>
      <c r="CK24" s="171"/>
      <c r="CL24" s="171"/>
      <c r="CM24" s="171"/>
      <c r="CN24" s="173"/>
      <c r="CO24" s="171"/>
      <c r="CP24" s="171"/>
      <c r="CQ24" s="171"/>
      <c r="CR24" s="171"/>
      <c r="CS24" s="171"/>
      <c r="CT24" s="171"/>
      <c r="CU24" s="173"/>
      <c r="CV24" s="171"/>
      <c r="CW24" s="171"/>
      <c r="CX24" s="171"/>
      <c r="CY24" s="171"/>
      <c r="CZ24" s="171"/>
      <c r="DA24" s="171"/>
      <c r="DB24" s="173"/>
      <c r="DC24" s="171"/>
      <c r="DD24" s="171"/>
      <c r="DE24" s="171"/>
      <c r="DF24" s="171"/>
      <c r="DG24" s="171"/>
      <c r="DH24" s="171"/>
      <c r="DI24" s="173"/>
      <c r="DJ24" s="171"/>
      <c r="DK24" s="171"/>
      <c r="DL24" s="171"/>
      <c r="DM24" s="171"/>
      <c r="DN24" s="171"/>
      <c r="DO24" s="171"/>
      <c r="DP24" s="173"/>
      <c r="DQ24" s="171"/>
      <c r="DR24" s="171"/>
      <c r="DS24" s="171"/>
      <c r="DT24" s="171"/>
      <c r="DU24" s="171"/>
      <c r="DV24" s="171"/>
      <c r="DW24" s="173"/>
      <c r="DX24" s="171"/>
      <c r="DY24" s="171"/>
      <c r="DZ24" s="171"/>
      <c r="EA24" s="171"/>
      <c r="EB24" s="171"/>
      <c r="EC24" s="171"/>
      <c r="ED24" s="173"/>
      <c r="EE24" s="171"/>
      <c r="EF24" s="171"/>
      <c r="EG24" s="171"/>
      <c r="EH24" s="171"/>
      <c r="EI24" s="171"/>
      <c r="EJ24" s="171"/>
      <c r="EK24" s="173"/>
      <c r="EL24" s="171"/>
      <c r="EM24" s="171"/>
      <c r="EN24" s="171"/>
      <c r="EO24" s="171"/>
      <c r="EP24" s="171"/>
      <c r="EQ24" s="171"/>
      <c r="ER24" s="173"/>
      <c r="ES24" s="171"/>
      <c r="ET24" s="171"/>
      <c r="EU24" s="171"/>
      <c r="EV24" s="171"/>
      <c r="EW24" s="171"/>
      <c r="EX24" s="171"/>
      <c r="EY24" s="173"/>
      <c r="EZ24" s="171"/>
      <c r="FA24" s="171"/>
      <c r="FB24" s="171"/>
      <c r="FC24" s="171"/>
      <c r="FD24" s="171"/>
      <c r="FE24" s="171"/>
      <c r="FF24" s="173"/>
      <c r="FG24" s="171"/>
      <c r="FH24" s="171"/>
      <c r="FI24" s="171"/>
      <c r="FJ24" s="171"/>
      <c r="FK24" s="171"/>
      <c r="FL24" s="171"/>
      <c r="FM24" s="173"/>
      <c r="FN24" s="171"/>
      <c r="FO24" s="171"/>
      <c r="FP24" s="171"/>
      <c r="FQ24" s="171"/>
      <c r="FR24" s="171"/>
      <c r="FS24" s="171"/>
      <c r="FT24" s="173"/>
      <c r="FU24" s="171"/>
      <c r="FV24" s="171"/>
      <c r="FW24" s="171"/>
      <c r="FX24" s="171"/>
      <c r="FY24" s="171"/>
      <c r="FZ24" s="171"/>
      <c r="GA24" s="173"/>
      <c r="GB24" s="171"/>
      <c r="GC24" s="171"/>
      <c r="GD24" s="171"/>
      <c r="GE24" s="171"/>
      <c r="GF24" s="171"/>
      <c r="GG24" s="171"/>
      <c r="GH24" s="173"/>
      <c r="GI24" s="171"/>
      <c r="GJ24" s="171"/>
      <c r="GK24" s="171"/>
      <c r="GL24" s="171"/>
      <c r="GM24" s="171"/>
      <c r="GN24" s="171"/>
      <c r="GO24" s="173"/>
      <c r="GP24" s="171"/>
      <c r="GQ24" s="171"/>
      <c r="GR24" s="171"/>
      <c r="GS24" s="171"/>
      <c r="GT24" s="171"/>
      <c r="GU24" s="171"/>
      <c r="GV24" s="173"/>
      <c r="GW24" s="171"/>
      <c r="GX24" s="171"/>
      <c r="GY24" s="171"/>
      <c r="GZ24" s="171"/>
      <c r="HA24" s="171"/>
      <c r="HB24" s="171"/>
      <c r="HC24" s="173"/>
      <c r="HD24" s="171"/>
      <c r="HE24" s="171"/>
      <c r="HF24" s="171"/>
      <c r="HG24" s="171"/>
      <c r="HH24" s="171"/>
      <c r="HI24" s="171"/>
      <c r="HJ24" s="173"/>
      <c r="HK24" s="171"/>
      <c r="HL24" s="171"/>
      <c r="HM24" s="171"/>
      <c r="HN24" s="171"/>
      <c r="HO24" s="171"/>
      <c r="HP24" s="171"/>
      <c r="HQ24" s="173"/>
      <c r="HR24" s="171"/>
      <c r="HS24" s="171"/>
      <c r="HT24" s="171"/>
      <c r="HU24" s="171"/>
      <c r="HV24" s="171"/>
      <c r="HW24" s="171"/>
      <c r="HX24" s="173"/>
      <c r="HY24" s="171"/>
      <c r="HZ24" s="171"/>
      <c r="IA24" s="171"/>
      <c r="IB24" s="171"/>
      <c r="IC24" s="171"/>
      <c r="ID24" s="171"/>
      <c r="IE24" s="173"/>
      <c r="IF24" s="171"/>
      <c r="IG24" s="171"/>
      <c r="IH24" s="171"/>
      <c r="II24" s="171"/>
      <c r="IJ24" s="171"/>
      <c r="IK24" s="171"/>
      <c r="IL24" s="173"/>
      <c r="IM24" s="171"/>
      <c r="IN24" s="171"/>
      <c r="IO24" s="171"/>
      <c r="IP24" s="171"/>
      <c r="IQ24" s="171"/>
      <c r="IR24" s="171"/>
      <c r="IS24" s="173"/>
      <c r="IT24" s="171"/>
      <c r="IU24" s="171"/>
      <c r="IV24" s="34"/>
    </row>
    <row r="26" spans="1:267" x14ac:dyDescent="0.25">
      <c r="C26" t="s">
        <v>722</v>
      </c>
      <c r="D26" t="s">
        <v>723</v>
      </c>
      <c r="H26" t="s">
        <v>751</v>
      </c>
      <c r="M26" t="s">
        <v>754</v>
      </c>
      <c r="U26" t="s">
        <v>650</v>
      </c>
      <c r="AI26" t="s">
        <v>650</v>
      </c>
      <c r="AP26" t="s">
        <v>650</v>
      </c>
      <c r="AV26" t="s">
        <v>784</v>
      </c>
    </row>
    <row r="27" spans="1:267" x14ac:dyDescent="0.25">
      <c r="C27" t="s">
        <v>673</v>
      </c>
      <c r="D27" t="s">
        <v>742</v>
      </c>
      <c r="N27" s="142" t="s">
        <v>780</v>
      </c>
      <c r="X27" t="s">
        <v>651</v>
      </c>
    </row>
    <row r="28" spans="1:267" x14ac:dyDescent="0.25">
      <c r="C28" t="s">
        <v>674</v>
      </c>
      <c r="D28" t="s">
        <v>724</v>
      </c>
      <c r="O28" t="s">
        <v>781</v>
      </c>
      <c r="Z28" t="s">
        <v>655</v>
      </c>
    </row>
    <row r="29" spans="1:267" x14ac:dyDescent="0.25">
      <c r="C29" t="s">
        <v>675</v>
      </c>
      <c r="D29" t="s">
        <v>725</v>
      </c>
      <c r="M29">
        <v>4</v>
      </c>
      <c r="N29">
        <v>3</v>
      </c>
      <c r="O29">
        <v>7</v>
      </c>
    </row>
    <row r="30" spans="1:267" x14ac:dyDescent="0.25">
      <c r="C30" t="s">
        <v>676</v>
      </c>
      <c r="D30" t="s">
        <v>726</v>
      </c>
      <c r="Q30" s="176"/>
      <c r="R30" s="45"/>
      <c r="S30" s="45"/>
      <c r="T30" s="45"/>
      <c r="U30" s="45"/>
    </row>
    <row r="31" spans="1:267" x14ac:dyDescent="0.25">
      <c r="C31" t="s">
        <v>678</v>
      </c>
      <c r="D31" t="s">
        <v>727</v>
      </c>
      <c r="Q31" s="45"/>
      <c r="R31" s="45"/>
      <c r="S31" s="45"/>
    </row>
    <row r="32" spans="1:267" x14ac:dyDescent="0.25">
      <c r="B32" t="s">
        <v>46</v>
      </c>
      <c r="C32" t="s">
        <v>670</v>
      </c>
      <c r="D32" t="s">
        <v>672</v>
      </c>
      <c r="H32" s="44" t="s">
        <v>673</v>
      </c>
      <c r="I32" s="142" t="s">
        <v>680</v>
      </c>
      <c r="J32" s="44" t="s">
        <v>674</v>
      </c>
      <c r="K32" s="44" t="s">
        <v>675</v>
      </c>
      <c r="L32" s="44" t="s">
        <v>676</v>
      </c>
      <c r="M32" s="44" t="s">
        <v>678</v>
      </c>
      <c r="N32" s="44" t="s">
        <v>679</v>
      </c>
    </row>
    <row r="33" spans="1:140" x14ac:dyDescent="0.25">
      <c r="A33" t="s">
        <v>667</v>
      </c>
      <c r="B33">
        <v>1</v>
      </c>
      <c r="C33">
        <f t="shared" ref="C33:D36" si="81">B33</f>
        <v>1</v>
      </c>
      <c r="D33">
        <f t="shared" si="81"/>
        <v>1</v>
      </c>
      <c r="H33">
        <f>D33</f>
        <v>1</v>
      </c>
      <c r="I33" s="142" t="s">
        <v>680</v>
      </c>
      <c r="J33">
        <f>H33</f>
        <v>1</v>
      </c>
      <c r="K33">
        <f t="shared" ref="K33:N37" si="82">J33</f>
        <v>1</v>
      </c>
      <c r="L33">
        <f t="shared" si="82"/>
        <v>1</v>
      </c>
      <c r="M33">
        <f t="shared" si="82"/>
        <v>1</v>
      </c>
      <c r="N33">
        <f t="shared" si="82"/>
        <v>1</v>
      </c>
      <c r="Q33" s="45"/>
    </row>
    <row r="34" spans="1:140" x14ac:dyDescent="0.25">
      <c r="A34" t="s">
        <v>668</v>
      </c>
      <c r="B34">
        <v>2</v>
      </c>
      <c r="C34">
        <f t="shared" si="81"/>
        <v>2</v>
      </c>
      <c r="D34">
        <f t="shared" si="81"/>
        <v>2</v>
      </c>
      <c r="H34">
        <f>D34</f>
        <v>2</v>
      </c>
      <c r="I34" s="142" t="s">
        <v>680</v>
      </c>
      <c r="J34">
        <f>H34</f>
        <v>2</v>
      </c>
      <c r="K34">
        <f t="shared" si="82"/>
        <v>2</v>
      </c>
      <c r="L34">
        <f t="shared" si="82"/>
        <v>2</v>
      </c>
      <c r="M34">
        <f t="shared" si="82"/>
        <v>2</v>
      </c>
      <c r="N34">
        <f t="shared" si="82"/>
        <v>2</v>
      </c>
      <c r="Q34" s="45"/>
    </row>
    <row r="35" spans="1:140" x14ac:dyDescent="0.25">
      <c r="A35" t="s">
        <v>200</v>
      </c>
      <c r="B35">
        <v>3</v>
      </c>
      <c r="C35">
        <f t="shared" si="81"/>
        <v>3</v>
      </c>
      <c r="D35">
        <f t="shared" si="81"/>
        <v>3</v>
      </c>
      <c r="H35">
        <f>D35</f>
        <v>3</v>
      </c>
      <c r="I35" s="142" t="s">
        <v>680</v>
      </c>
      <c r="J35">
        <f>H35</f>
        <v>3</v>
      </c>
      <c r="K35">
        <f t="shared" si="82"/>
        <v>3</v>
      </c>
      <c r="L35">
        <f t="shared" si="82"/>
        <v>3</v>
      </c>
      <c r="M35">
        <f t="shared" si="82"/>
        <v>3</v>
      </c>
      <c r="N35">
        <f t="shared" si="82"/>
        <v>3</v>
      </c>
    </row>
    <row r="36" spans="1:140" x14ac:dyDescent="0.25">
      <c r="A36" t="s">
        <v>201</v>
      </c>
      <c r="B36">
        <v>21</v>
      </c>
      <c r="C36">
        <f t="shared" si="81"/>
        <v>21</v>
      </c>
      <c r="D36">
        <f t="shared" si="81"/>
        <v>21</v>
      </c>
      <c r="H36">
        <f>D36</f>
        <v>21</v>
      </c>
      <c r="I36" s="142" t="s">
        <v>680</v>
      </c>
      <c r="J36">
        <f>H36</f>
        <v>21</v>
      </c>
      <c r="K36">
        <f t="shared" si="82"/>
        <v>21</v>
      </c>
      <c r="L36">
        <f t="shared" si="82"/>
        <v>21</v>
      </c>
      <c r="M36">
        <f t="shared" si="82"/>
        <v>21</v>
      </c>
      <c r="N36">
        <f t="shared" si="82"/>
        <v>21</v>
      </c>
      <c r="Q36" s="45"/>
    </row>
    <row r="37" spans="1:140" x14ac:dyDescent="0.25">
      <c r="A37" t="s">
        <v>717</v>
      </c>
      <c r="B37" t="s">
        <v>671</v>
      </c>
      <c r="C37" t="str">
        <f>$B37</f>
        <v>I</v>
      </c>
      <c r="D37" t="str">
        <f>$B37</f>
        <v>I</v>
      </c>
      <c r="H37" t="str">
        <f>D37</f>
        <v>I</v>
      </c>
      <c r="I37" s="142" t="s">
        <v>680</v>
      </c>
      <c r="J37" t="str">
        <f>H37</f>
        <v>I</v>
      </c>
      <c r="K37" t="str">
        <f t="shared" si="82"/>
        <v>I</v>
      </c>
      <c r="L37" t="str">
        <f t="shared" si="82"/>
        <v>I</v>
      </c>
      <c r="M37" t="str">
        <f t="shared" si="82"/>
        <v>I</v>
      </c>
      <c r="N37" t="str">
        <f t="shared" si="82"/>
        <v>I</v>
      </c>
    </row>
    <row r="38" spans="1:140" x14ac:dyDescent="0.25">
      <c r="A38" t="s">
        <v>205</v>
      </c>
      <c r="B38" t="s">
        <v>625</v>
      </c>
      <c r="C38" t="s">
        <v>625</v>
      </c>
      <c r="D38" t="s">
        <v>43</v>
      </c>
      <c r="H38" t="s">
        <v>741</v>
      </c>
      <c r="I38" s="142" t="s">
        <v>680</v>
      </c>
      <c r="J38" t="s">
        <v>743</v>
      </c>
      <c r="K38" s="44" t="s">
        <v>745</v>
      </c>
      <c r="L38" t="s">
        <v>747</v>
      </c>
      <c r="M38" t="s">
        <v>749</v>
      </c>
      <c r="N38" t="s">
        <v>292</v>
      </c>
      <c r="EJ38" t="s">
        <v>677</v>
      </c>
    </row>
    <row r="39" spans="1:140" x14ac:dyDescent="0.25">
      <c r="A39" t="s">
        <v>733</v>
      </c>
      <c r="C39" t="s">
        <v>57</v>
      </c>
      <c r="D39" t="str">
        <f t="shared" ref="D39:N39" si="83">C39</f>
        <v>J</v>
      </c>
      <c r="E39" t="str">
        <f t="shared" si="83"/>
        <v>J</v>
      </c>
      <c r="F39" t="str">
        <f t="shared" si="83"/>
        <v>J</v>
      </c>
      <c r="G39" t="str">
        <f t="shared" si="83"/>
        <v>J</v>
      </c>
      <c r="H39" t="str">
        <f>G39</f>
        <v>J</v>
      </c>
      <c r="I39" t="str">
        <f t="shared" si="83"/>
        <v>J</v>
      </c>
      <c r="J39" t="str">
        <f t="shared" si="83"/>
        <v>J</v>
      </c>
      <c r="K39" t="str">
        <f t="shared" si="83"/>
        <v>J</v>
      </c>
      <c r="L39" t="str">
        <f t="shared" si="83"/>
        <v>J</v>
      </c>
      <c r="M39" t="str">
        <f t="shared" si="83"/>
        <v>J</v>
      </c>
      <c r="N39" t="str">
        <f t="shared" si="83"/>
        <v>J</v>
      </c>
    </row>
    <row r="40" spans="1:140" x14ac:dyDescent="0.25">
      <c r="A40" t="s">
        <v>734</v>
      </c>
      <c r="B40" t="s">
        <v>404</v>
      </c>
      <c r="E40">
        <f t="shared" ref="E40:I40" si="84">D40</f>
        <v>0</v>
      </c>
      <c r="F40">
        <f t="shared" si="84"/>
        <v>0</v>
      </c>
      <c r="G40">
        <f t="shared" si="84"/>
        <v>0</v>
      </c>
      <c r="I40">
        <f t="shared" si="84"/>
        <v>0</v>
      </c>
      <c r="J40"/>
      <c r="K40"/>
      <c r="L40"/>
    </row>
    <row r="41" spans="1:140" x14ac:dyDescent="0.25">
      <c r="A41" t="s">
        <v>735</v>
      </c>
      <c r="B41" t="s">
        <v>52</v>
      </c>
      <c r="E41">
        <f t="shared" ref="E41:I41" si="85">D41</f>
        <v>0</v>
      </c>
      <c r="F41">
        <f t="shared" si="85"/>
        <v>0</v>
      </c>
      <c r="G41">
        <f t="shared" si="85"/>
        <v>0</v>
      </c>
      <c r="I41">
        <f t="shared" si="85"/>
        <v>0</v>
      </c>
      <c r="J41"/>
      <c r="K41"/>
      <c r="L41"/>
    </row>
    <row r="42" spans="1:140" x14ac:dyDescent="0.25">
      <c r="A42" t="s">
        <v>206</v>
      </c>
      <c r="B42" t="str">
        <f>FindEnd(M24:IU24)</f>
        <v>AX</v>
      </c>
      <c r="C42" t="s">
        <v>720</v>
      </c>
      <c r="D42" t="s">
        <v>721</v>
      </c>
      <c r="H42" t="s">
        <v>153</v>
      </c>
      <c r="I42" s="142" t="s">
        <v>680</v>
      </c>
      <c r="J42" t="s">
        <v>744</v>
      </c>
      <c r="K42" s="44" t="s">
        <v>746</v>
      </c>
      <c r="L42" t="s">
        <v>748</v>
      </c>
      <c r="M42" t="s">
        <v>750</v>
      </c>
      <c r="N42" t="s">
        <v>752</v>
      </c>
    </row>
    <row r="43" spans="1:140" x14ac:dyDescent="0.25">
      <c r="A43" t="s">
        <v>681</v>
      </c>
      <c r="B43">
        <v>22</v>
      </c>
      <c r="C43">
        <f>B43</f>
        <v>22</v>
      </c>
      <c r="D43">
        <f>C43</f>
        <v>22</v>
      </c>
      <c r="H43">
        <f>D43</f>
        <v>22</v>
      </c>
      <c r="I43" s="142" t="s">
        <v>680</v>
      </c>
      <c r="J43">
        <f>H43</f>
        <v>22</v>
      </c>
      <c r="K43">
        <f t="shared" ref="K43:N45" si="86">J43</f>
        <v>22</v>
      </c>
      <c r="L43">
        <f t="shared" si="86"/>
        <v>22</v>
      </c>
      <c r="M43">
        <f t="shared" si="86"/>
        <v>22</v>
      </c>
      <c r="N43">
        <f t="shared" si="86"/>
        <v>22</v>
      </c>
    </row>
    <row r="44" spans="1:140" x14ac:dyDescent="0.25">
      <c r="A44" t="s">
        <v>682</v>
      </c>
      <c r="B44">
        <v>23</v>
      </c>
      <c r="C44">
        <f>B44</f>
        <v>23</v>
      </c>
      <c r="D44">
        <f>C44</f>
        <v>23</v>
      </c>
      <c r="H44">
        <f>D44</f>
        <v>23</v>
      </c>
      <c r="I44" s="142" t="s">
        <v>680</v>
      </c>
      <c r="J44">
        <f>H44</f>
        <v>23</v>
      </c>
      <c r="K44">
        <f t="shared" si="86"/>
        <v>23</v>
      </c>
      <c r="L44">
        <f t="shared" si="86"/>
        <v>23</v>
      </c>
      <c r="M44">
        <f t="shared" si="86"/>
        <v>23</v>
      </c>
      <c r="N44">
        <f t="shared" si="86"/>
        <v>23</v>
      </c>
    </row>
    <row r="45" spans="1:140" x14ac:dyDescent="0.25">
      <c r="A45" t="s">
        <v>669</v>
      </c>
      <c r="B45" t="s">
        <v>728</v>
      </c>
      <c r="C45" t="str">
        <f>B45</f>
        <v>K24</v>
      </c>
      <c r="D45" t="str">
        <f t="shared" ref="D45:J45" si="87">C45</f>
        <v>K24</v>
      </c>
      <c r="E45" t="str">
        <f t="shared" si="87"/>
        <v>K24</v>
      </c>
      <c r="F45" t="str">
        <f t="shared" si="87"/>
        <v>K24</v>
      </c>
      <c r="G45" t="str">
        <f t="shared" si="87"/>
        <v>K24</v>
      </c>
      <c r="H45" t="str">
        <f t="shared" si="87"/>
        <v>K24</v>
      </c>
      <c r="I45" t="str">
        <f t="shared" si="87"/>
        <v>K24</v>
      </c>
      <c r="J45" t="str">
        <f t="shared" si="87"/>
        <v>K24</v>
      </c>
      <c r="K45" t="str">
        <f t="shared" si="86"/>
        <v>K24</v>
      </c>
      <c r="L45" t="str">
        <f t="shared" si="86"/>
        <v>K24</v>
      </c>
      <c r="M45" t="str">
        <f t="shared" ref="M45" si="88">L45</f>
        <v>K24</v>
      </c>
      <c r="N45" t="str">
        <f t="shared" ref="N45" si="89">M45</f>
        <v>K24</v>
      </c>
    </row>
    <row r="46" spans="1:140" x14ac:dyDescent="0.25">
      <c r="A46" t="s">
        <v>658</v>
      </c>
      <c r="C46">
        <v>26</v>
      </c>
      <c r="D46">
        <f>C46</f>
        <v>26</v>
      </c>
      <c r="H46">
        <f>D46</f>
        <v>26</v>
      </c>
      <c r="I46" s="142" t="s">
        <v>680</v>
      </c>
      <c r="J46">
        <f>H46</f>
        <v>26</v>
      </c>
      <c r="K46">
        <f t="shared" ref="K46:N47" si="90">J46</f>
        <v>26</v>
      </c>
      <c r="L46">
        <f t="shared" si="90"/>
        <v>26</v>
      </c>
      <c r="M46">
        <f t="shared" si="90"/>
        <v>26</v>
      </c>
      <c r="N46">
        <f t="shared" si="90"/>
        <v>26</v>
      </c>
    </row>
    <row r="47" spans="1:140" x14ac:dyDescent="0.25">
      <c r="A47" t="s">
        <v>659</v>
      </c>
      <c r="C47">
        <v>28</v>
      </c>
      <c r="D47">
        <f>C47</f>
        <v>28</v>
      </c>
      <c r="H47">
        <f>D47</f>
        <v>28</v>
      </c>
      <c r="I47" s="142" t="s">
        <v>680</v>
      </c>
      <c r="J47">
        <f>H47</f>
        <v>28</v>
      </c>
      <c r="K47">
        <f t="shared" si="90"/>
        <v>28</v>
      </c>
      <c r="L47">
        <f t="shared" si="90"/>
        <v>28</v>
      </c>
      <c r="M47">
        <f t="shared" si="90"/>
        <v>28</v>
      </c>
      <c r="N47">
        <f t="shared" si="90"/>
        <v>28</v>
      </c>
    </row>
    <row r="50" spans="1:2" x14ac:dyDescent="0.25">
      <c r="B50">
        <v>3</v>
      </c>
    </row>
    <row r="51" spans="1:2" x14ac:dyDescent="0.25">
      <c r="B51">
        <v>21</v>
      </c>
    </row>
    <row r="52" spans="1:2" x14ac:dyDescent="0.25">
      <c r="A52" t="s">
        <v>753</v>
      </c>
      <c r="B52" t="s">
        <v>737</v>
      </c>
    </row>
    <row r="53" spans="1:2" x14ac:dyDescent="0.25">
      <c r="A53" t="s">
        <v>717</v>
      </c>
      <c r="B53" t="s">
        <v>738</v>
      </c>
    </row>
    <row r="54" spans="1:2" x14ac:dyDescent="0.25">
      <c r="A54" t="s">
        <v>718</v>
      </c>
      <c r="B54" t="s">
        <v>739</v>
      </c>
    </row>
    <row r="55" spans="1:2" x14ac:dyDescent="0.25">
      <c r="A55" t="s">
        <v>719</v>
      </c>
      <c r="B55" t="s">
        <v>740</v>
      </c>
    </row>
  </sheetData>
  <dataConsolidate/>
  <mergeCells count="7">
    <mergeCell ref="K1:K2"/>
    <mergeCell ref="L1:L2"/>
    <mergeCell ref="I1:I2"/>
    <mergeCell ref="A22:H22"/>
    <mergeCell ref="A23:H23"/>
    <mergeCell ref="A1:H2"/>
    <mergeCell ref="J1:J2"/>
  </mergeCells>
  <pageMargins left="0.7" right="0.7" top="0.78740157499999996" bottom="0.78740157499999996" header="0.3" footer="0.3"/>
  <pageSetup paperSize="9" orientation="portrait" r:id="rId1"/>
  <ignoredErrors>
    <ignoredError sqref="W22:X22 AD22 U22 AE22:AR22 AS22:AU22"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52"/>
  <sheetViews>
    <sheetView tabSelected="1" workbookViewId="0">
      <selection activeCell="A8" sqref="A8"/>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2"/>
      <c r="B3" s="73"/>
    </row>
    <row r="4" spans="1:2" x14ac:dyDescent="0.25">
      <c r="A4" s="72"/>
      <c r="B4" s="73"/>
    </row>
    <row r="5" spans="1:2" x14ac:dyDescent="0.25">
      <c r="A5" s="72"/>
      <c r="B5" s="73"/>
    </row>
    <row r="6" spans="1:2" x14ac:dyDescent="0.25">
      <c r="A6" s="72"/>
      <c r="B6" s="73"/>
    </row>
    <row r="7" spans="1:2" x14ac:dyDescent="0.25">
      <c r="A7" s="75">
        <v>44231</v>
      </c>
      <c r="B7" s="74" t="s">
        <v>764</v>
      </c>
    </row>
    <row r="8" spans="1:2" ht="90" x14ac:dyDescent="0.25">
      <c r="A8" s="72"/>
      <c r="B8" s="76" t="s">
        <v>787</v>
      </c>
    </row>
    <row r="9" spans="1:2" x14ac:dyDescent="0.25">
      <c r="A9" s="75">
        <v>44229</v>
      </c>
      <c r="B9" s="74" t="s">
        <v>764</v>
      </c>
    </row>
    <row r="10" spans="1:2" ht="75" x14ac:dyDescent="0.25">
      <c r="A10" s="72"/>
      <c r="B10" s="76" t="s">
        <v>786</v>
      </c>
    </row>
    <row r="11" spans="1:2" x14ac:dyDescent="0.25">
      <c r="A11" s="75">
        <v>44228</v>
      </c>
      <c r="B11" s="74" t="s">
        <v>663</v>
      </c>
    </row>
    <row r="12" spans="1:2" ht="45" x14ac:dyDescent="0.25">
      <c r="A12" s="72"/>
      <c r="B12" s="76" t="s">
        <v>785</v>
      </c>
    </row>
    <row r="13" spans="1:2" x14ac:dyDescent="0.25">
      <c r="A13" s="72"/>
      <c r="B13" s="73"/>
    </row>
    <row r="14" spans="1:2" x14ac:dyDescent="0.25">
      <c r="A14" s="75">
        <v>44227</v>
      </c>
      <c r="B14" s="74" t="s">
        <v>776</v>
      </c>
    </row>
    <row r="15" spans="1:2" ht="60" x14ac:dyDescent="0.25">
      <c r="A15" s="72"/>
      <c r="B15" s="76" t="s">
        <v>777</v>
      </c>
    </row>
    <row r="16" spans="1:2" x14ac:dyDescent="0.25">
      <c r="A16" s="75">
        <v>44226</v>
      </c>
      <c r="B16" s="74" t="s">
        <v>768</v>
      </c>
    </row>
    <row r="17" spans="1:2" x14ac:dyDescent="0.25">
      <c r="A17" s="72"/>
      <c r="B17" s="73" t="s">
        <v>775</v>
      </c>
    </row>
    <row r="18" spans="1:2" x14ac:dyDescent="0.25">
      <c r="A18" s="75">
        <v>44225</v>
      </c>
      <c r="B18" s="74" t="s">
        <v>608</v>
      </c>
    </row>
    <row r="19" spans="1:2" ht="105" x14ac:dyDescent="0.25">
      <c r="A19" s="72"/>
      <c r="B19" s="76" t="s">
        <v>774</v>
      </c>
    </row>
    <row r="20" spans="1:2" x14ac:dyDescent="0.25">
      <c r="A20" s="75">
        <v>44224</v>
      </c>
      <c r="B20" s="74" t="s">
        <v>772</v>
      </c>
    </row>
    <row r="21" spans="1:2" ht="45" x14ac:dyDescent="0.25">
      <c r="A21" s="72"/>
      <c r="B21" s="76" t="s">
        <v>773</v>
      </c>
    </row>
    <row r="22" spans="1:2" x14ac:dyDescent="0.25">
      <c r="A22" s="75">
        <v>44222</v>
      </c>
      <c r="B22" s="74" t="s">
        <v>730</v>
      </c>
    </row>
    <row r="23" spans="1:2" ht="135" x14ac:dyDescent="0.25">
      <c r="A23" s="72"/>
      <c r="B23" s="76" t="s">
        <v>767</v>
      </c>
    </row>
    <row r="24" spans="1:2" x14ac:dyDescent="0.25">
      <c r="A24" s="75">
        <v>44221</v>
      </c>
      <c r="B24" s="74" t="s">
        <v>764</v>
      </c>
    </row>
    <row r="25" spans="1:2" x14ac:dyDescent="0.25">
      <c r="B25" t="s">
        <v>765</v>
      </c>
    </row>
    <row r="26" spans="1:2" x14ac:dyDescent="0.25">
      <c r="A26" s="72"/>
      <c r="B26" s="73"/>
    </row>
    <row r="27" spans="1:2" x14ac:dyDescent="0.25">
      <c r="A27" s="75">
        <v>44220</v>
      </c>
      <c r="B27" s="74" t="s">
        <v>756</v>
      </c>
    </row>
    <row r="28" spans="1:2" ht="75" x14ac:dyDescent="0.25">
      <c r="A28" s="72"/>
      <c r="B28" s="76" t="s">
        <v>762</v>
      </c>
    </row>
    <row r="29" spans="1:2" x14ac:dyDescent="0.25">
      <c r="A29" s="75">
        <v>44219</v>
      </c>
      <c r="B29" s="74" t="s">
        <v>763</v>
      </c>
    </row>
    <row r="30" spans="1:2" x14ac:dyDescent="0.25">
      <c r="A30" s="72"/>
      <c r="B30" s="73" t="s">
        <v>761</v>
      </c>
    </row>
    <row r="31" spans="1:2" x14ac:dyDescent="0.25">
      <c r="A31" s="75">
        <v>44218</v>
      </c>
      <c r="B31" s="74" t="s">
        <v>756</v>
      </c>
    </row>
    <row r="32" spans="1:2" ht="60" x14ac:dyDescent="0.25">
      <c r="A32" s="72"/>
      <c r="B32" s="76" t="s">
        <v>757</v>
      </c>
    </row>
    <row r="33" spans="1:2" x14ac:dyDescent="0.25">
      <c r="A33" s="75">
        <v>44217</v>
      </c>
      <c r="B33" s="74" t="s">
        <v>664</v>
      </c>
    </row>
    <row r="34" spans="1:2" ht="60" x14ac:dyDescent="0.25">
      <c r="A34" s="72"/>
      <c r="B34" s="76" t="s">
        <v>755</v>
      </c>
    </row>
    <row r="35" spans="1:2" x14ac:dyDescent="0.25">
      <c r="A35" s="75">
        <v>44215</v>
      </c>
      <c r="B35" s="74" t="s">
        <v>663</v>
      </c>
    </row>
    <row r="36" spans="1:2" ht="135" x14ac:dyDescent="0.25">
      <c r="A36" s="72"/>
      <c r="B36" s="76" t="s">
        <v>736</v>
      </c>
    </row>
    <row r="37" spans="1:2" x14ac:dyDescent="0.25">
      <c r="A37" s="75">
        <v>44214</v>
      </c>
      <c r="B37" s="74" t="s">
        <v>730</v>
      </c>
    </row>
    <row r="38" spans="1:2" ht="105" x14ac:dyDescent="0.25">
      <c r="A38" s="72"/>
      <c r="B38" s="76" t="s">
        <v>731</v>
      </c>
    </row>
    <row r="39" spans="1:2" x14ac:dyDescent="0.25">
      <c r="A39" s="72"/>
      <c r="B39" s="73"/>
    </row>
    <row r="40" spans="1:2" x14ac:dyDescent="0.25">
      <c r="A40" s="75">
        <v>44211</v>
      </c>
      <c r="B40" s="74" t="s">
        <v>663</v>
      </c>
    </row>
    <row r="41" spans="1:2" ht="105" x14ac:dyDescent="0.25">
      <c r="A41" s="72"/>
      <c r="B41" s="76" t="s">
        <v>665</v>
      </c>
    </row>
    <row r="42" spans="1:2" x14ac:dyDescent="0.25">
      <c r="A42" s="75">
        <v>44210</v>
      </c>
      <c r="B42" s="74" t="s">
        <v>664</v>
      </c>
    </row>
    <row r="43" spans="1:2" ht="75" x14ac:dyDescent="0.25">
      <c r="A43" s="72"/>
      <c r="B43" s="76" t="s">
        <v>654</v>
      </c>
    </row>
    <row r="44" spans="1:2" x14ac:dyDescent="0.25">
      <c r="A44" s="75">
        <v>44208</v>
      </c>
      <c r="B44" s="74" t="s">
        <v>660</v>
      </c>
    </row>
    <row r="45" spans="1:2" ht="75" x14ac:dyDescent="0.25">
      <c r="A45" s="72"/>
      <c r="B45" s="76" t="s">
        <v>666</v>
      </c>
    </row>
    <row r="46" spans="1:2" x14ac:dyDescent="0.25">
      <c r="A46" s="75">
        <v>44207</v>
      </c>
      <c r="B46" s="74" t="s">
        <v>661</v>
      </c>
    </row>
    <row r="47" spans="1:2" ht="45" x14ac:dyDescent="0.25">
      <c r="A47" s="72"/>
      <c r="B47" s="76" t="s">
        <v>653</v>
      </c>
    </row>
    <row r="48" spans="1:2" x14ac:dyDescent="0.25">
      <c r="A48" s="72"/>
      <c r="B48" s="73"/>
    </row>
    <row r="49" spans="1:2" x14ac:dyDescent="0.25">
      <c r="A49" s="75">
        <v>44205</v>
      </c>
      <c r="B49" s="74" t="s">
        <v>662</v>
      </c>
    </row>
    <row r="50" spans="1:2" ht="60" x14ac:dyDescent="0.25">
      <c r="A50" s="72"/>
      <c r="B50" s="76" t="s">
        <v>652</v>
      </c>
    </row>
    <row r="51" spans="1:2" x14ac:dyDescent="0.25">
      <c r="A51" s="72"/>
      <c r="B51" s="73"/>
    </row>
    <row r="52" spans="1:2" x14ac:dyDescent="0.25">
      <c r="A52" s="72"/>
      <c r="B52"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7">
        <v>44161</v>
      </c>
      <c r="B2">
        <v>1</v>
      </c>
    </row>
    <row r="3" spans="1:4" x14ac:dyDescent="0.25">
      <c r="A3" s="197">
        <v>44175</v>
      </c>
      <c r="B3">
        <v>2</v>
      </c>
    </row>
    <row r="4" spans="1:4" x14ac:dyDescent="0.25">
      <c r="A4" s="197">
        <v>44183</v>
      </c>
      <c r="B4">
        <v>1</v>
      </c>
    </row>
    <row r="5" spans="1:4" x14ac:dyDescent="0.25">
      <c r="A5" s="197">
        <v>44186</v>
      </c>
      <c r="B5">
        <v>2</v>
      </c>
    </row>
    <row r="6" spans="1:4" x14ac:dyDescent="0.25">
      <c r="A6" s="197">
        <v>44187</v>
      </c>
      <c r="B6">
        <v>2</v>
      </c>
    </row>
    <row r="7" spans="1:4" x14ac:dyDescent="0.25">
      <c r="A7" s="197">
        <v>44203</v>
      </c>
      <c r="B7">
        <v>4.5</v>
      </c>
    </row>
    <row r="8" spans="1:4" x14ac:dyDescent="0.25">
      <c r="A8" s="197">
        <v>44204</v>
      </c>
      <c r="B8">
        <v>3</v>
      </c>
    </row>
    <row r="9" spans="1:4" x14ac:dyDescent="0.25">
      <c r="A9" s="197">
        <v>44207</v>
      </c>
      <c r="B9">
        <v>6</v>
      </c>
    </row>
    <row r="10" spans="1:4" x14ac:dyDescent="0.25">
      <c r="A10" s="197">
        <v>44208</v>
      </c>
      <c r="C10" t="s">
        <v>766</v>
      </c>
      <c r="D10">
        <v>4</v>
      </c>
    </row>
    <row r="11" spans="1:4" x14ac:dyDescent="0.25">
      <c r="A11" s="197">
        <v>44209</v>
      </c>
      <c r="C11" t="s">
        <v>766</v>
      </c>
      <c r="D11">
        <v>8</v>
      </c>
    </row>
    <row r="12" spans="1:4" x14ac:dyDescent="0.25">
      <c r="A12" s="197">
        <v>44210</v>
      </c>
      <c r="C12" t="s">
        <v>766</v>
      </c>
      <c r="D12">
        <v>5</v>
      </c>
    </row>
    <row r="13" spans="1:4" x14ac:dyDescent="0.25">
      <c r="A13" s="197">
        <v>44211</v>
      </c>
      <c r="B13">
        <v>4.5</v>
      </c>
    </row>
    <row r="14" spans="1:4" x14ac:dyDescent="0.25">
      <c r="A14" s="197">
        <v>44214</v>
      </c>
      <c r="B14">
        <v>5.5</v>
      </c>
    </row>
    <row r="15" spans="1:4" x14ac:dyDescent="0.25">
      <c r="A15" s="197">
        <v>44215</v>
      </c>
      <c r="B15">
        <v>3</v>
      </c>
    </row>
    <row r="16" spans="1:4" x14ac:dyDescent="0.25">
      <c r="A16" s="197">
        <v>44217</v>
      </c>
      <c r="B16">
        <v>7.5</v>
      </c>
    </row>
    <row r="17" spans="1:2" x14ac:dyDescent="0.25">
      <c r="A17" s="197">
        <v>44218</v>
      </c>
      <c r="B17">
        <v>2</v>
      </c>
    </row>
    <row r="18" spans="1:2" x14ac:dyDescent="0.25">
      <c r="A18" s="197">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732</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8" t="s">
        <v>769</v>
      </c>
    </row>
    <row r="31" spans="1:7" x14ac:dyDescent="0.25">
      <c r="A31">
        <v>1</v>
      </c>
      <c r="B31" s="8" t="s">
        <v>236</v>
      </c>
      <c r="C31" s="8" t="s">
        <v>237</v>
      </c>
      <c r="D31" s="8" t="s">
        <v>238</v>
      </c>
      <c r="E31" s="8" t="s">
        <v>239</v>
      </c>
      <c r="F31" s="18">
        <v>39425</v>
      </c>
      <c r="G31" s="96" t="s">
        <v>771</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8" t="s">
        <v>769</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8" t="s">
        <v>770</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8" t="s">
        <v>769</v>
      </c>
    </row>
    <row r="38" spans="1:7" x14ac:dyDescent="0.25">
      <c r="A38">
        <v>1</v>
      </c>
      <c r="B38" s="8" t="s">
        <v>428</v>
      </c>
      <c r="C38" s="8"/>
      <c r="D38" s="8" t="s">
        <v>429</v>
      </c>
      <c r="E38" s="8" t="s">
        <v>600</v>
      </c>
      <c r="F38" s="18">
        <v>40003</v>
      </c>
      <c r="G38" s="96" t="s">
        <v>771</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6" t="s">
        <v>144</v>
      </c>
      <c r="B2" s="226"/>
      <c r="C2" s="226"/>
      <c r="D2" s="226"/>
      <c r="E2" s="226"/>
      <c r="F2" s="39"/>
      <c r="G2" s="39"/>
      <c r="H2" s="39"/>
      <c r="I2" s="39"/>
      <c r="J2" s="39"/>
      <c r="K2" s="39"/>
      <c r="L2" s="39"/>
      <c r="M2" s="39"/>
      <c r="N2" s="39"/>
      <c r="O2" s="27"/>
      <c r="P2" s="227" t="s">
        <v>49</v>
      </c>
      <c r="Q2" s="223" t="s">
        <v>48</v>
      </c>
      <c r="R2" s="199"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6"/>
      <c r="B3" s="226"/>
      <c r="C3" s="226"/>
      <c r="D3" s="226"/>
      <c r="E3" s="226"/>
      <c r="F3" s="39"/>
      <c r="G3" s="39"/>
      <c r="H3" s="39"/>
      <c r="I3" s="39"/>
      <c r="J3" s="39"/>
      <c r="K3" s="39"/>
      <c r="L3" s="39"/>
      <c r="M3" s="39"/>
      <c r="N3" s="39"/>
      <c r="O3" s="27"/>
      <c r="P3" s="228"/>
      <c r="Q3" s="224"/>
      <c r="R3" s="22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19" t="s">
        <v>144</v>
      </c>
      <c r="B41" s="219"/>
      <c r="C41" s="219"/>
      <c r="D41" s="219"/>
      <c r="E41" s="220"/>
      <c r="F41" s="36"/>
      <c r="G41" s="36"/>
      <c r="H41" s="36"/>
      <c r="I41" s="36"/>
      <c r="J41" s="36"/>
      <c r="K41" s="36"/>
      <c r="L41" s="36"/>
      <c r="M41" s="36"/>
      <c r="N41" s="36"/>
      <c r="O41" s="35"/>
      <c r="P41" s="229" t="s">
        <v>49</v>
      </c>
      <c r="Q41" s="229" t="s">
        <v>48</v>
      </c>
      <c r="R41" s="23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1"/>
      <c r="B42" s="221"/>
      <c r="C42" s="221"/>
      <c r="D42" s="221"/>
      <c r="E42" s="222"/>
      <c r="F42" s="19"/>
      <c r="G42" s="19"/>
      <c r="H42" s="19"/>
      <c r="I42" s="19"/>
      <c r="J42" s="19"/>
      <c r="K42" s="19"/>
      <c r="L42" s="19"/>
      <c r="M42" s="19"/>
      <c r="N42" s="19"/>
      <c r="O42" s="9"/>
      <c r="P42" s="224"/>
      <c r="Q42" s="224"/>
      <c r="R42" s="22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782</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783</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783</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19" t="s">
        <v>144</v>
      </c>
      <c r="B72" s="219"/>
      <c r="C72" s="219"/>
      <c r="D72" s="219"/>
      <c r="E72" s="220"/>
      <c r="F72" s="30"/>
      <c r="G72" s="30"/>
      <c r="H72" s="30"/>
      <c r="I72" s="30"/>
      <c r="J72" s="30"/>
      <c r="K72" s="30"/>
      <c r="L72" s="30"/>
      <c r="M72" s="30"/>
      <c r="N72" s="30"/>
      <c r="O72" s="29"/>
      <c r="P72" s="223" t="s">
        <v>49</v>
      </c>
      <c r="Q72" s="223" t="s">
        <v>48</v>
      </c>
      <c r="R72" s="199"/>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1"/>
      <c r="B73" s="221"/>
      <c r="C73" s="221"/>
      <c r="D73" s="221"/>
      <c r="E73" s="222"/>
      <c r="F73" s="28"/>
      <c r="G73" s="28"/>
      <c r="H73" s="28"/>
      <c r="I73" s="28"/>
      <c r="J73" s="28"/>
      <c r="K73" s="28"/>
      <c r="L73" s="28"/>
      <c r="M73" s="28"/>
      <c r="N73" s="28"/>
      <c r="O73" s="27"/>
      <c r="P73" s="224"/>
      <c r="Q73" s="231"/>
      <c r="R73" s="22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5" t="s">
        <v>338</v>
      </c>
      <c r="B1" s="23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5" t="s">
        <v>339</v>
      </c>
      <c r="B7" s="235"/>
    </row>
    <row r="8" spans="1:2" ht="15.75" x14ac:dyDescent="0.25">
      <c r="A8" s="233" t="s">
        <v>330</v>
      </c>
      <c r="B8" s="233"/>
    </row>
    <row r="9" spans="1:2" x14ac:dyDescent="0.25">
      <c r="A9" t="s">
        <v>331</v>
      </c>
    </row>
    <row r="11" spans="1:2" ht="15.75" x14ac:dyDescent="0.25">
      <c r="A11" s="234" t="s">
        <v>327</v>
      </c>
      <c r="B11" s="23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2" t="s">
        <v>340</v>
      </c>
      <c r="B23" s="232"/>
    </row>
    <row r="25" spans="1:2" ht="15.75" x14ac:dyDescent="0.25">
      <c r="A25" s="233" t="s">
        <v>332</v>
      </c>
      <c r="B25" s="23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6" t="s">
        <v>297</v>
      </c>
      <c r="C5" s="237"/>
      <c r="D5" s="237"/>
      <c r="E5" s="237"/>
      <c r="F5" s="237"/>
      <c r="G5" s="237"/>
      <c r="H5" s="237"/>
      <c r="I5" s="237"/>
      <c r="J5" s="237"/>
      <c r="K5" s="237"/>
      <c r="L5" s="237"/>
      <c r="M5" s="237"/>
      <c r="N5" s="237"/>
      <c r="O5" s="237"/>
      <c r="P5" s="237"/>
      <c r="Q5" s="237"/>
      <c r="R5" s="237"/>
      <c r="S5" s="237"/>
      <c r="T5" s="237"/>
      <c r="U5" s="237"/>
      <c r="V5" s="237"/>
      <c r="W5" s="237"/>
      <c r="X5" s="237"/>
      <c r="Y5" s="237"/>
      <c r="Z5" s="237"/>
      <c r="AA5" s="237"/>
      <c r="AB5" s="237"/>
      <c r="AC5" s="237"/>
      <c r="AD5" s="237"/>
      <c r="AE5" s="237"/>
      <c r="AF5" s="237"/>
      <c r="AG5" s="237"/>
      <c r="AH5" s="237"/>
      <c r="AI5" s="237"/>
      <c r="AJ5" s="237"/>
      <c r="AK5" s="237"/>
      <c r="AL5" s="237"/>
      <c r="AM5" s="237"/>
      <c r="AN5" s="237"/>
      <c r="AO5" s="237"/>
      <c r="AP5" s="237"/>
      <c r="AQ5" s="237"/>
      <c r="AR5" s="237"/>
      <c r="AS5" s="237"/>
      <c r="AT5" s="237"/>
      <c r="AU5" s="237"/>
      <c r="AV5" s="237"/>
      <c r="AW5" s="237"/>
      <c r="AX5" s="237"/>
      <c r="AY5" s="237"/>
      <c r="AZ5" s="237"/>
      <c r="BA5" s="237"/>
      <c r="BB5" s="237"/>
      <c r="BC5" s="237"/>
      <c r="BD5" s="237"/>
      <c r="BE5" s="237"/>
      <c r="BF5" s="237"/>
      <c r="BG5" s="237"/>
      <c r="BH5" s="237"/>
      <c r="BI5" s="237"/>
      <c r="BJ5" s="237"/>
      <c r="BK5" s="237"/>
      <c r="BL5" s="237"/>
      <c r="BM5" s="237"/>
      <c r="BN5" s="237"/>
      <c r="BO5" s="237"/>
      <c r="BP5" s="237"/>
      <c r="BQ5" s="237"/>
      <c r="BR5" s="237"/>
    </row>
    <row r="6" spans="1:70" x14ac:dyDescent="0.25">
      <c r="C6" s="2" t="s">
        <v>3</v>
      </c>
    </row>
    <row r="7" spans="1:70" ht="45" customHeight="1" x14ac:dyDescent="0.25">
      <c r="C7" s="236" t="s">
        <v>281</v>
      </c>
      <c r="D7" s="237"/>
      <c r="E7" s="237"/>
      <c r="F7" s="237"/>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row>
    <row r="8" spans="1:70" x14ac:dyDescent="0.25">
      <c r="C8" s="2" t="s">
        <v>4</v>
      </c>
    </row>
    <row r="9" spans="1:70" ht="75" customHeight="1" x14ac:dyDescent="0.25">
      <c r="C9" s="236" t="s">
        <v>274</v>
      </c>
      <c r="D9" s="237"/>
      <c r="E9" s="237"/>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row>
    <row r="10" spans="1:70" x14ac:dyDescent="0.25">
      <c r="C10" s="2" t="s">
        <v>5</v>
      </c>
    </row>
    <row r="11" spans="1:70" ht="75" customHeight="1" x14ac:dyDescent="0.25">
      <c r="C11" s="236" t="s">
        <v>298</v>
      </c>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row>
    <row r="12" spans="1:70" x14ac:dyDescent="0.25">
      <c r="C12" s="2" t="s">
        <v>6</v>
      </c>
    </row>
    <row r="13" spans="1:70" ht="90.75" customHeight="1" x14ac:dyDescent="0.25">
      <c r="C13" s="236" t="s">
        <v>285</v>
      </c>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row>
    <row r="14" spans="1:70" x14ac:dyDescent="0.25">
      <c r="D14" s="2" t="s">
        <v>284</v>
      </c>
    </row>
    <row r="15" spans="1:70" ht="62.25" customHeight="1" x14ac:dyDescent="0.25">
      <c r="D15" s="236" t="s">
        <v>287</v>
      </c>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6"/>
      <c r="AM15" s="236"/>
      <c r="AN15" s="236"/>
      <c r="AO15" s="236"/>
      <c r="AP15" s="236"/>
      <c r="AQ15" s="236"/>
      <c r="AR15" s="236"/>
      <c r="AS15" s="236"/>
      <c r="AT15" s="236"/>
      <c r="AU15" s="236"/>
      <c r="AV15" s="236"/>
      <c r="AW15" s="236"/>
      <c r="AX15" s="236"/>
      <c r="AY15" s="236"/>
      <c r="AZ15" s="236"/>
      <c r="BA15" s="236"/>
      <c r="BB15" s="236"/>
      <c r="BC15" s="236"/>
      <c r="BD15" s="236"/>
      <c r="BE15" s="236"/>
      <c r="BF15" s="236"/>
      <c r="BG15" s="236"/>
      <c r="BH15" s="236"/>
      <c r="BI15" s="236"/>
      <c r="BJ15" s="236"/>
      <c r="BK15" s="236"/>
      <c r="BL15" s="236"/>
      <c r="BM15" s="236"/>
      <c r="BN15" s="236"/>
      <c r="BO15" s="236"/>
      <c r="BP15" s="236"/>
      <c r="BQ15" s="236"/>
      <c r="BR15" s="236"/>
    </row>
    <row r="16" spans="1:70" x14ac:dyDescent="0.25">
      <c r="D16" s="2" t="s">
        <v>195</v>
      </c>
    </row>
    <row r="17" spans="1:70" ht="47.25" customHeight="1" x14ac:dyDescent="0.25">
      <c r="D17" s="236" t="s">
        <v>267</v>
      </c>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6"/>
      <c r="BF17" s="236"/>
      <c r="BG17" s="236"/>
      <c r="BH17" s="236"/>
      <c r="BI17" s="236"/>
      <c r="BJ17" s="236"/>
      <c r="BK17" s="236"/>
      <c r="BL17" s="236"/>
      <c r="BM17" s="236"/>
      <c r="BN17" s="236"/>
      <c r="BO17" s="236"/>
      <c r="BP17" s="236"/>
      <c r="BQ17" s="236"/>
      <c r="BR17" s="236"/>
    </row>
    <row r="18" spans="1:70" ht="15.75" customHeight="1" x14ac:dyDescent="0.25">
      <c r="D18" s="238" t="s">
        <v>266</v>
      </c>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row>
    <row r="19" spans="1:70" ht="45.75" customHeight="1" x14ac:dyDescent="0.25">
      <c r="D19" s="236" t="s">
        <v>275</v>
      </c>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36"/>
      <c r="AM19" s="236"/>
      <c r="AN19" s="236"/>
      <c r="AO19" s="236"/>
      <c r="AP19" s="236"/>
      <c r="AQ19" s="236"/>
      <c r="AR19" s="236"/>
      <c r="AS19" s="236"/>
      <c r="AT19" s="236"/>
      <c r="AU19" s="236"/>
      <c r="AV19" s="236"/>
      <c r="AW19" s="236"/>
      <c r="AX19" s="236"/>
      <c r="AY19" s="236"/>
      <c r="AZ19" s="236"/>
      <c r="BA19" s="236"/>
      <c r="BB19" s="236"/>
      <c r="BC19" s="236"/>
      <c r="BD19" s="236"/>
      <c r="BE19" s="236"/>
      <c r="BF19" s="236"/>
      <c r="BG19" s="236"/>
      <c r="BH19" s="236"/>
      <c r="BI19" s="236"/>
      <c r="BJ19" s="236"/>
      <c r="BK19" s="236"/>
      <c r="BL19" s="236"/>
      <c r="BM19" s="236"/>
      <c r="BN19" s="236"/>
      <c r="BO19" s="236"/>
      <c r="BP19" s="236"/>
      <c r="BQ19" s="236"/>
      <c r="BR19" s="236"/>
    </row>
    <row r="20" spans="1:70" ht="15.75" customHeight="1" x14ac:dyDescent="0.25">
      <c r="D20" s="238" t="s">
        <v>283</v>
      </c>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row>
    <row r="21" spans="1:70" ht="44.25" customHeight="1" x14ac:dyDescent="0.25">
      <c r="D21" s="236" t="s">
        <v>276</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6"/>
      <c r="BF21" s="236"/>
      <c r="BG21" s="236"/>
      <c r="BH21" s="236"/>
      <c r="BI21" s="236"/>
      <c r="BJ21" s="236"/>
      <c r="BK21" s="236"/>
      <c r="BL21" s="236"/>
      <c r="BM21" s="236"/>
      <c r="BN21" s="236"/>
      <c r="BO21" s="236"/>
      <c r="BP21" s="236"/>
      <c r="BQ21" s="236"/>
      <c r="BR21" s="236"/>
    </row>
    <row r="22" spans="1:70" x14ac:dyDescent="0.25">
      <c r="B22" s="2" t="s">
        <v>191</v>
      </c>
      <c r="C22" s="2"/>
    </row>
    <row r="23" spans="1:70" ht="69.75" customHeight="1" x14ac:dyDescent="0.25">
      <c r="B23" s="236" t="s">
        <v>268</v>
      </c>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6"/>
      <c r="BF23" s="236"/>
      <c r="BG23" s="236"/>
      <c r="BH23" s="236"/>
      <c r="BI23" s="236"/>
      <c r="BJ23" s="236"/>
      <c r="BK23" s="236"/>
      <c r="BL23" s="236"/>
      <c r="BM23" s="236"/>
      <c r="BN23" s="236"/>
      <c r="BO23" s="236"/>
      <c r="BP23" s="236"/>
      <c r="BQ23" s="236"/>
      <c r="BR23" s="236"/>
    </row>
    <row r="24" spans="1:70" x14ac:dyDescent="0.25">
      <c r="C24" s="2" t="s">
        <v>192</v>
      </c>
    </row>
    <row r="25" spans="1:70" ht="204.75" customHeight="1" x14ac:dyDescent="0.25">
      <c r="C25" s="239" t="s">
        <v>210</v>
      </c>
      <c r="D25" s="239"/>
      <c r="E25" s="239"/>
      <c r="F25" s="239"/>
      <c r="G25" s="239"/>
      <c r="H25" s="239"/>
      <c r="I25" s="239"/>
      <c r="J25" s="239"/>
      <c r="K25" s="239"/>
      <c r="L25" s="239"/>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row>
    <row r="26" spans="1:70" x14ac:dyDescent="0.25">
      <c r="C26" s="2" t="s">
        <v>193</v>
      </c>
    </row>
    <row r="27" spans="1:70" ht="244.5" customHeight="1" x14ac:dyDescent="0.25">
      <c r="A27" s="1"/>
      <c r="C27" s="239" t="s">
        <v>194</v>
      </c>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row>
    <row r="28" spans="1:70" x14ac:dyDescent="0.25">
      <c r="B28" s="2" t="s">
        <v>269</v>
      </c>
      <c r="C28" s="43"/>
    </row>
    <row r="29" spans="1:70" ht="75" customHeight="1" x14ac:dyDescent="0.25">
      <c r="A29" s="1"/>
      <c r="B29" s="236" t="s">
        <v>280</v>
      </c>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6"/>
      <c r="BF29" s="236"/>
      <c r="BG29" s="236"/>
      <c r="BH29" s="236"/>
      <c r="BI29" s="236"/>
      <c r="BJ29" s="236"/>
      <c r="BK29" s="236"/>
      <c r="BL29" s="236"/>
      <c r="BM29" s="236"/>
      <c r="BN29" s="236"/>
      <c r="BO29" s="236"/>
      <c r="BP29" s="236"/>
      <c r="BQ29" s="236"/>
      <c r="BR29" s="236"/>
    </row>
    <row r="30" spans="1:70" x14ac:dyDescent="0.25">
      <c r="C30" s="2" t="s">
        <v>273</v>
      </c>
    </row>
    <row r="31" spans="1:70" ht="46.5" customHeight="1" x14ac:dyDescent="0.25">
      <c r="A31" s="1"/>
      <c r="C31" s="239" t="s">
        <v>279</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row>
    <row r="32" spans="1:70" ht="15.75" customHeight="1" x14ac:dyDescent="0.25">
      <c r="C32" s="238" t="s">
        <v>270</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row>
    <row r="33" spans="1:70" ht="120" customHeight="1" x14ac:dyDescent="0.25">
      <c r="A33" s="43"/>
      <c r="C33" s="236" t="s">
        <v>272</v>
      </c>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6"/>
      <c r="BF33" s="236"/>
      <c r="BG33" s="236"/>
      <c r="BH33" s="236"/>
      <c r="BI33" s="236"/>
      <c r="BJ33" s="236"/>
      <c r="BK33" s="236"/>
      <c r="BL33" s="236"/>
      <c r="BM33" s="236"/>
      <c r="BN33" s="236"/>
      <c r="BO33" s="236"/>
      <c r="BP33" s="236"/>
      <c r="BQ33" s="236"/>
      <c r="BR33" s="236"/>
    </row>
    <row r="34" spans="1:70" ht="15.75" customHeight="1" x14ac:dyDescent="0.25">
      <c r="C34" s="238" t="s">
        <v>271</v>
      </c>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row>
    <row r="35" spans="1:70" ht="47.25" customHeight="1" x14ac:dyDescent="0.25">
      <c r="C35" s="239" t="s">
        <v>278</v>
      </c>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row>
    <row r="36" spans="1:70" x14ac:dyDescent="0.25">
      <c r="B36" s="2" t="s">
        <v>2</v>
      </c>
    </row>
    <row r="37" spans="1:70" x14ac:dyDescent="0.25">
      <c r="B37" s="237" t="s">
        <v>12</v>
      </c>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c r="AL37" s="237"/>
      <c r="AM37" s="237"/>
      <c r="AN37" s="237"/>
      <c r="AO37" s="237"/>
      <c r="AP37" s="237"/>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row>
    <row r="38" spans="1:70" x14ac:dyDescent="0.25">
      <c r="C38" s="2" t="s">
        <v>7</v>
      </c>
    </row>
    <row r="39" spans="1:70" ht="45.75" customHeight="1" x14ac:dyDescent="0.25">
      <c r="C39" s="236" t="s">
        <v>8</v>
      </c>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2021-02-05T07:16:08Z</dcterms:modified>
</cp:coreProperties>
</file>